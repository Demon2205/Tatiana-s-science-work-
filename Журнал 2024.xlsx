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215EA76F-832A-410F-89D0-A6DD39712CD1}" xr6:coauthVersionLast="45" xr6:coauthVersionMax="45" xr10:uidLastSave="{00000000-0000-0000-0000-000000000000}"/>
  <bookViews>
    <workbookView xWindow="-120" yWindow="-120" windowWidth="29040" windowHeight="15840" tabRatio="598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в">[1]Лист2!$G$2:$G$9</definedName>
    <definedName name="Доставлен_СМП">Лист2!$F$16:$F$23</definedName>
    <definedName name="Из_других_больниц">Лист2!$J$16:$J$23</definedName>
    <definedName name="Из_операционной">Лист2!$G$16:$G$23</definedName>
    <definedName name="Из_профильных_отделений">Лист2!$I$16:$I$23</definedName>
    <definedName name="Из_родильных_домов">Лист2!$L$16:$L$23</definedName>
    <definedName name="Канал_поступления">Лист2!$E$2:$E$8</definedName>
    <definedName name="Категории_диагнозов">Лист3!$A$2:$A$18</definedName>
    <definedName name="Куда_переведён">Лист2!$G$2:$G$12</definedName>
    <definedName name="Манипуляции">Лист2!$Y$2:$Y$13</definedName>
    <definedName name="Отделения">Лист2!$G$2:$G$9</definedName>
    <definedName name="Повторное_поступление">Лист2!$K$16:$K$23</definedName>
    <definedName name="Самотёком">Лист2!$M$16:$M$23</definedName>
    <definedName name="Трансфузии">Лист2!$Q$2:$Q$8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4" i="1" l="1"/>
  <c r="H516" i="1" l="1"/>
  <c r="H515" i="1"/>
  <c r="V494" i="1" l="1"/>
  <c r="H478" i="1" l="1"/>
  <c r="H494" i="1"/>
  <c r="V438" i="1" l="1"/>
  <c r="W2511" i="2" l="1"/>
  <c r="V2511" i="2"/>
  <c r="V2511" i="1"/>
  <c r="H2511" i="1"/>
  <c r="W8" i="2"/>
  <c r="W2" i="2"/>
  <c r="H197" i="1"/>
  <c r="L2" i="2"/>
  <c r="V372" i="1" l="1"/>
  <c r="V407" i="1"/>
  <c r="V406" i="1"/>
  <c r="V405" i="1"/>
  <c r="U7" i="2" l="1"/>
  <c r="U5" i="2"/>
  <c r="U3" i="2"/>
  <c r="T9" i="2"/>
  <c r="T8" i="2"/>
  <c r="T7" i="2"/>
  <c r="T6" i="2"/>
  <c r="T5" i="2"/>
  <c r="T4" i="2"/>
  <c r="T3" i="2"/>
  <c r="T2" i="2"/>
  <c r="R12" i="2"/>
  <c r="R11" i="2"/>
  <c r="R10" i="2"/>
  <c r="R8" i="2"/>
  <c r="R7" i="2"/>
  <c r="R6" i="2"/>
  <c r="R5" i="2"/>
  <c r="R4" i="2"/>
  <c r="R3" i="2"/>
  <c r="R2" i="2"/>
  <c r="P4" i="2"/>
  <c r="P2" i="2"/>
  <c r="P3" i="2"/>
  <c r="N8" i="2"/>
  <c r="N7" i="2"/>
  <c r="N6" i="2"/>
  <c r="N5" i="2"/>
  <c r="N4" i="2"/>
  <c r="N3" i="2"/>
  <c r="N2" i="2"/>
  <c r="L6" i="2"/>
  <c r="L5" i="2"/>
  <c r="H12" i="2"/>
  <c r="H11" i="2"/>
  <c r="H10" i="2"/>
  <c r="H9" i="2"/>
  <c r="H8" i="2"/>
  <c r="H7" i="2"/>
  <c r="H6" i="2"/>
  <c r="H5" i="2"/>
  <c r="H4" i="2"/>
  <c r="H3" i="2"/>
  <c r="H2" i="2"/>
  <c r="F8" i="2"/>
  <c r="F7" i="2"/>
  <c r="F6" i="2"/>
  <c r="F5" i="2"/>
  <c r="F4" i="2"/>
  <c r="F3" i="2"/>
  <c r="F2" i="2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405" i="1" l="1"/>
  <c r="H407" i="1"/>
  <c r="H406" i="1"/>
  <c r="H405" i="1"/>
  <c r="H341" i="1" l="1"/>
  <c r="V243" i="1" l="1"/>
  <c r="V242" i="1"/>
  <c r="V240" i="1"/>
  <c r="H251" i="1" l="1"/>
  <c r="A243" i="1" l="1"/>
  <c r="H243" i="1"/>
  <c r="H241" i="1" l="1"/>
  <c r="V221" i="1" l="1"/>
  <c r="V175" i="1" l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2" i="1"/>
  <c r="H244" i="1"/>
  <c r="H245" i="1"/>
  <c r="H246" i="1"/>
  <c r="H247" i="1"/>
  <c r="H248" i="1"/>
  <c r="H249" i="1"/>
  <c r="H250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V48" i="1" l="1"/>
  <c r="V579" i="1" l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1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A561" i="1" l="1"/>
  <c r="A437" i="1" l="1"/>
  <c r="A396" i="1" l="1"/>
  <c r="A195" i="1" l="1"/>
  <c r="A77" i="1" l="1"/>
  <c r="R9" i="2" l="1"/>
  <c r="W484" i="2" l="1"/>
  <c r="W2510" i="2"/>
  <c r="W2509" i="2"/>
  <c r="W2508" i="2"/>
  <c r="W2507" i="2"/>
  <c r="W2506" i="2"/>
  <c r="W2505" i="2"/>
  <c r="W2504" i="2"/>
  <c r="W2503" i="2"/>
  <c r="W2502" i="2"/>
  <c r="W2501" i="2"/>
  <c r="W2500" i="2"/>
  <c r="W2499" i="2"/>
  <c r="W2498" i="2"/>
  <c r="W2497" i="2"/>
  <c r="W2496" i="2"/>
  <c r="W2495" i="2"/>
  <c r="W2494" i="2"/>
  <c r="W2493" i="2"/>
  <c r="W2492" i="2"/>
  <c r="W2491" i="2"/>
  <c r="W2490" i="2"/>
  <c r="W2489" i="2"/>
  <c r="W2488" i="2"/>
  <c r="W2487" i="2"/>
  <c r="W2486" i="2"/>
  <c r="W2485" i="2"/>
  <c r="W2484" i="2"/>
  <c r="W2483" i="2"/>
  <c r="W2482" i="2"/>
  <c r="W2481" i="2"/>
  <c r="W2480" i="2"/>
  <c r="W2479" i="2"/>
  <c r="W2478" i="2"/>
  <c r="W2477" i="2"/>
  <c r="W2476" i="2"/>
  <c r="W2475" i="2"/>
  <c r="W2474" i="2"/>
  <c r="W2473" i="2"/>
  <c r="W2472" i="2"/>
  <c r="W2471" i="2"/>
  <c r="W2470" i="2"/>
  <c r="W2469" i="2"/>
  <c r="W2468" i="2"/>
  <c r="W2467" i="2"/>
  <c r="W2466" i="2"/>
  <c r="W2465" i="2"/>
  <c r="W2464" i="2"/>
  <c r="W2463" i="2"/>
  <c r="W2462" i="2"/>
  <c r="W2461" i="2"/>
  <c r="W2460" i="2"/>
  <c r="W2459" i="2"/>
  <c r="W2458" i="2"/>
  <c r="W2457" i="2"/>
  <c r="W2456" i="2"/>
  <c r="W2455" i="2"/>
  <c r="W2454" i="2"/>
  <c r="W2453" i="2"/>
  <c r="W2452" i="2"/>
  <c r="W2451" i="2"/>
  <c r="W2450" i="2"/>
  <c r="W2449" i="2"/>
  <c r="W2448" i="2"/>
  <c r="W2447" i="2"/>
  <c r="W2446" i="2"/>
  <c r="W2445" i="2"/>
  <c r="W2444" i="2"/>
  <c r="W2443" i="2"/>
  <c r="W2442" i="2"/>
  <c r="W2441" i="2"/>
  <c r="W2440" i="2"/>
  <c r="W2439" i="2"/>
  <c r="W2438" i="2"/>
  <c r="W2437" i="2"/>
  <c r="W2436" i="2"/>
  <c r="W2435" i="2"/>
  <c r="W2434" i="2"/>
  <c r="W2433" i="2"/>
  <c r="W2432" i="2"/>
  <c r="W2431" i="2"/>
  <c r="W2430" i="2"/>
  <c r="W2429" i="2"/>
  <c r="W2428" i="2"/>
  <c r="W2427" i="2"/>
  <c r="W2426" i="2"/>
  <c r="W2425" i="2"/>
  <c r="W2424" i="2"/>
  <c r="W2423" i="2"/>
  <c r="W2422" i="2"/>
  <c r="W2421" i="2"/>
  <c r="W2420" i="2"/>
  <c r="W2419" i="2"/>
  <c r="W2418" i="2"/>
  <c r="W2417" i="2"/>
  <c r="W2416" i="2"/>
  <c r="W2415" i="2"/>
  <c r="W2414" i="2"/>
  <c r="W2413" i="2"/>
  <c r="W2412" i="2"/>
  <c r="W2411" i="2"/>
  <c r="W2410" i="2"/>
  <c r="W2409" i="2"/>
  <c r="W2408" i="2"/>
  <c r="W2407" i="2"/>
  <c r="W2406" i="2"/>
  <c r="W2405" i="2"/>
  <c r="W2404" i="2"/>
  <c r="W2403" i="2"/>
  <c r="W2402" i="2"/>
  <c r="W2401" i="2"/>
  <c r="W2400" i="2"/>
  <c r="W2399" i="2"/>
  <c r="W2398" i="2"/>
  <c r="W2397" i="2"/>
  <c r="W2396" i="2"/>
  <c r="W2395" i="2"/>
  <c r="W2394" i="2"/>
  <c r="W2393" i="2"/>
  <c r="W2392" i="2"/>
  <c r="W2391" i="2"/>
  <c r="W2390" i="2"/>
  <c r="W2389" i="2"/>
  <c r="W2388" i="2"/>
  <c r="W2387" i="2"/>
  <c r="W2386" i="2"/>
  <c r="W2385" i="2"/>
  <c r="W2384" i="2"/>
  <c r="W2383" i="2"/>
  <c r="W2382" i="2"/>
  <c r="W2381" i="2"/>
  <c r="W2380" i="2"/>
  <c r="W2379" i="2"/>
  <c r="W2378" i="2"/>
  <c r="W2377" i="2"/>
  <c r="W2376" i="2"/>
  <c r="W2375" i="2"/>
  <c r="W2374" i="2"/>
  <c r="W2373" i="2"/>
  <c r="W2372" i="2"/>
  <c r="W2371" i="2"/>
  <c r="W2370" i="2"/>
  <c r="W2369" i="2"/>
  <c r="W2368" i="2"/>
  <c r="W2367" i="2"/>
  <c r="W2366" i="2"/>
  <c r="W2365" i="2"/>
  <c r="W2364" i="2"/>
  <c r="W2363" i="2"/>
  <c r="W2362" i="2"/>
  <c r="W2361" i="2"/>
  <c r="W2360" i="2"/>
  <c r="W2359" i="2"/>
  <c r="W2358" i="2"/>
  <c r="W2357" i="2"/>
  <c r="W2356" i="2"/>
  <c r="W2355" i="2"/>
  <c r="W2354" i="2"/>
  <c r="W2353" i="2"/>
  <c r="W2352" i="2"/>
  <c r="W2351" i="2"/>
  <c r="W2350" i="2"/>
  <c r="W2349" i="2"/>
  <c r="W2348" i="2"/>
  <c r="W2347" i="2"/>
  <c r="W2346" i="2"/>
  <c r="W2345" i="2"/>
  <c r="W2344" i="2"/>
  <c r="W2343" i="2"/>
  <c r="W2342" i="2"/>
  <c r="W2341" i="2"/>
  <c r="W2340" i="2"/>
  <c r="W2339" i="2"/>
  <c r="W2338" i="2"/>
  <c r="W2337" i="2"/>
  <c r="W2336" i="2"/>
  <c r="W2335" i="2"/>
  <c r="W2334" i="2"/>
  <c r="W2333" i="2"/>
  <c r="W2332" i="2"/>
  <c r="W2331" i="2"/>
  <c r="W2330" i="2"/>
  <c r="W2329" i="2"/>
  <c r="W2328" i="2"/>
  <c r="W2327" i="2"/>
  <c r="W2326" i="2"/>
  <c r="W2325" i="2"/>
  <c r="W2324" i="2"/>
  <c r="W2323" i="2"/>
  <c r="W2322" i="2"/>
  <c r="W2321" i="2"/>
  <c r="W2320" i="2"/>
  <c r="W2319" i="2"/>
  <c r="W2318" i="2"/>
  <c r="W2317" i="2"/>
  <c r="W2316" i="2"/>
  <c r="W2315" i="2"/>
  <c r="W2314" i="2"/>
  <c r="W2313" i="2"/>
  <c r="W2312" i="2"/>
  <c r="W2311" i="2"/>
  <c r="W2310" i="2"/>
  <c r="W2309" i="2"/>
  <c r="W2308" i="2"/>
  <c r="W2307" i="2"/>
  <c r="W2306" i="2"/>
  <c r="W2305" i="2"/>
  <c r="W2304" i="2"/>
  <c r="W2303" i="2"/>
  <c r="W2302" i="2"/>
  <c r="W2301" i="2"/>
  <c r="W2300" i="2"/>
  <c r="W2299" i="2"/>
  <c r="W2298" i="2"/>
  <c r="W2297" i="2"/>
  <c r="W2296" i="2"/>
  <c r="W2295" i="2"/>
  <c r="W2294" i="2"/>
  <c r="W2293" i="2"/>
  <c r="W2292" i="2"/>
  <c r="W2291" i="2"/>
  <c r="W2290" i="2"/>
  <c r="W2289" i="2"/>
  <c r="W2288" i="2"/>
  <c r="W2287" i="2"/>
  <c r="W2286" i="2"/>
  <c r="W2285" i="2"/>
  <c r="W2284" i="2"/>
  <c r="W2283" i="2"/>
  <c r="W2282" i="2"/>
  <c r="W2281" i="2"/>
  <c r="W2280" i="2"/>
  <c r="W2279" i="2"/>
  <c r="W2278" i="2"/>
  <c r="W2277" i="2"/>
  <c r="W2276" i="2"/>
  <c r="W2275" i="2"/>
  <c r="W2274" i="2"/>
  <c r="W2273" i="2"/>
  <c r="W2272" i="2"/>
  <c r="W2271" i="2"/>
  <c r="W2270" i="2"/>
  <c r="W2269" i="2"/>
  <c r="W2268" i="2"/>
  <c r="W2267" i="2"/>
  <c r="W2266" i="2"/>
  <c r="W2265" i="2"/>
  <c r="W2264" i="2"/>
  <c r="W2263" i="2"/>
  <c r="W2262" i="2"/>
  <c r="W2261" i="2"/>
  <c r="W2260" i="2"/>
  <c r="W2259" i="2"/>
  <c r="W2258" i="2"/>
  <c r="W2257" i="2"/>
  <c r="W2256" i="2"/>
  <c r="W2255" i="2"/>
  <c r="W2254" i="2"/>
  <c r="W2253" i="2"/>
  <c r="W2252" i="2"/>
  <c r="W2251" i="2"/>
  <c r="W2250" i="2"/>
  <c r="W2249" i="2"/>
  <c r="W2248" i="2"/>
  <c r="W2247" i="2"/>
  <c r="W2246" i="2"/>
  <c r="W2245" i="2"/>
  <c r="W2244" i="2"/>
  <c r="W2243" i="2"/>
  <c r="W2242" i="2"/>
  <c r="W2241" i="2"/>
  <c r="W2240" i="2"/>
  <c r="W2239" i="2"/>
  <c r="W2238" i="2"/>
  <c r="W2237" i="2"/>
  <c r="W2236" i="2"/>
  <c r="W2235" i="2"/>
  <c r="W2234" i="2"/>
  <c r="W2233" i="2"/>
  <c r="W2232" i="2"/>
  <c r="W2231" i="2"/>
  <c r="W2230" i="2"/>
  <c r="W2229" i="2"/>
  <c r="W2228" i="2"/>
  <c r="W2227" i="2"/>
  <c r="W2226" i="2"/>
  <c r="W2225" i="2"/>
  <c r="W2224" i="2"/>
  <c r="W2223" i="2"/>
  <c r="W2222" i="2"/>
  <c r="W2221" i="2"/>
  <c r="W2220" i="2"/>
  <c r="W2219" i="2"/>
  <c r="W2218" i="2"/>
  <c r="W2217" i="2"/>
  <c r="W2216" i="2"/>
  <c r="W2215" i="2"/>
  <c r="W2214" i="2"/>
  <c r="W2213" i="2"/>
  <c r="W2212" i="2"/>
  <c r="W2211" i="2"/>
  <c r="W2210" i="2"/>
  <c r="W2209" i="2"/>
  <c r="W2208" i="2"/>
  <c r="W2207" i="2"/>
  <c r="W2206" i="2"/>
  <c r="W2205" i="2"/>
  <c r="W2204" i="2"/>
  <c r="W2203" i="2"/>
  <c r="W2202" i="2"/>
  <c r="W2201" i="2"/>
  <c r="W2200" i="2"/>
  <c r="W2199" i="2"/>
  <c r="W2198" i="2"/>
  <c r="W2197" i="2"/>
  <c r="W2196" i="2"/>
  <c r="W2195" i="2"/>
  <c r="W2194" i="2"/>
  <c r="W2193" i="2"/>
  <c r="W2192" i="2"/>
  <c r="W2191" i="2"/>
  <c r="W2190" i="2"/>
  <c r="W2189" i="2"/>
  <c r="W2188" i="2"/>
  <c r="W2187" i="2"/>
  <c r="W2186" i="2"/>
  <c r="W2185" i="2"/>
  <c r="W2184" i="2"/>
  <c r="W2183" i="2"/>
  <c r="W2182" i="2"/>
  <c r="W2181" i="2"/>
  <c r="W2180" i="2"/>
  <c r="W2179" i="2"/>
  <c r="W2178" i="2"/>
  <c r="W2177" i="2"/>
  <c r="W2176" i="2"/>
  <c r="W2175" i="2"/>
  <c r="W2174" i="2"/>
  <c r="W2173" i="2"/>
  <c r="W2172" i="2"/>
  <c r="W2171" i="2"/>
  <c r="W2170" i="2"/>
  <c r="W2169" i="2"/>
  <c r="W2168" i="2"/>
  <c r="W2167" i="2"/>
  <c r="W2166" i="2"/>
  <c r="W2165" i="2"/>
  <c r="W2164" i="2"/>
  <c r="W2163" i="2"/>
  <c r="W2162" i="2"/>
  <c r="W2161" i="2"/>
  <c r="W2160" i="2"/>
  <c r="W2159" i="2"/>
  <c r="W2158" i="2"/>
  <c r="W2157" i="2"/>
  <c r="W2156" i="2"/>
  <c r="W2155" i="2"/>
  <c r="W2154" i="2"/>
  <c r="W2153" i="2"/>
  <c r="W2152" i="2"/>
  <c r="W2151" i="2"/>
  <c r="W2150" i="2"/>
  <c r="W2149" i="2"/>
  <c r="W2148" i="2"/>
  <c r="W2147" i="2"/>
  <c r="W2146" i="2"/>
  <c r="W2145" i="2"/>
  <c r="W2144" i="2"/>
  <c r="W2143" i="2"/>
  <c r="W2142" i="2"/>
  <c r="W2141" i="2"/>
  <c r="W2140" i="2"/>
  <c r="W2139" i="2"/>
  <c r="W2138" i="2"/>
  <c r="W2137" i="2"/>
  <c r="W2136" i="2"/>
  <c r="W2135" i="2"/>
  <c r="W2134" i="2"/>
  <c r="W2133" i="2"/>
  <c r="W2132" i="2"/>
  <c r="W2131" i="2"/>
  <c r="W2130" i="2"/>
  <c r="W2129" i="2"/>
  <c r="W2128" i="2"/>
  <c r="W2127" i="2"/>
  <c r="W2126" i="2"/>
  <c r="W2125" i="2"/>
  <c r="W2124" i="2"/>
  <c r="W2123" i="2"/>
  <c r="W2122" i="2"/>
  <c r="W2121" i="2"/>
  <c r="W2120" i="2"/>
  <c r="W2119" i="2"/>
  <c r="W2118" i="2"/>
  <c r="W2117" i="2"/>
  <c r="W2116" i="2"/>
  <c r="W2115" i="2"/>
  <c r="W2114" i="2"/>
  <c r="W2113" i="2"/>
  <c r="W2112" i="2"/>
  <c r="W2111" i="2"/>
  <c r="W2110" i="2"/>
  <c r="W2109" i="2"/>
  <c r="W2108" i="2"/>
  <c r="W2107" i="2"/>
  <c r="W2106" i="2"/>
  <c r="W2105" i="2"/>
  <c r="W2104" i="2"/>
  <c r="W2103" i="2"/>
  <c r="W2102" i="2"/>
  <c r="W2101" i="2"/>
  <c r="W2100" i="2"/>
  <c r="W2099" i="2"/>
  <c r="W2098" i="2"/>
  <c r="W2097" i="2"/>
  <c r="W2096" i="2"/>
  <c r="W2095" i="2"/>
  <c r="W2094" i="2"/>
  <c r="W2093" i="2"/>
  <c r="W2092" i="2"/>
  <c r="W2091" i="2"/>
  <c r="W2090" i="2"/>
  <c r="W2089" i="2"/>
  <c r="W2088" i="2"/>
  <c r="W2087" i="2"/>
  <c r="W2086" i="2"/>
  <c r="W2085" i="2"/>
  <c r="W2084" i="2"/>
  <c r="W2083" i="2"/>
  <c r="W2082" i="2"/>
  <c r="W2081" i="2"/>
  <c r="W2080" i="2"/>
  <c r="W2079" i="2"/>
  <c r="W2078" i="2"/>
  <c r="W2077" i="2"/>
  <c r="W2076" i="2"/>
  <c r="W2075" i="2"/>
  <c r="W2074" i="2"/>
  <c r="W2073" i="2"/>
  <c r="W2072" i="2"/>
  <c r="W2071" i="2"/>
  <c r="W2070" i="2"/>
  <c r="W2069" i="2"/>
  <c r="W2068" i="2"/>
  <c r="W2067" i="2"/>
  <c r="W2066" i="2"/>
  <c r="W2065" i="2"/>
  <c r="W2064" i="2"/>
  <c r="W2063" i="2"/>
  <c r="W2062" i="2"/>
  <c r="W2061" i="2"/>
  <c r="W2060" i="2"/>
  <c r="W2059" i="2"/>
  <c r="W2058" i="2"/>
  <c r="W2057" i="2"/>
  <c r="W2056" i="2"/>
  <c r="W2055" i="2"/>
  <c r="W2054" i="2"/>
  <c r="W2053" i="2"/>
  <c r="W2052" i="2"/>
  <c r="W2051" i="2"/>
  <c r="W2050" i="2"/>
  <c r="W2049" i="2"/>
  <c r="W2048" i="2"/>
  <c r="W2047" i="2"/>
  <c r="W2046" i="2"/>
  <c r="W2045" i="2"/>
  <c r="W2044" i="2"/>
  <c r="W2043" i="2"/>
  <c r="W2042" i="2"/>
  <c r="W2041" i="2"/>
  <c r="W2040" i="2"/>
  <c r="W2039" i="2"/>
  <c r="W2038" i="2"/>
  <c r="W2037" i="2"/>
  <c r="W2036" i="2"/>
  <c r="W2035" i="2"/>
  <c r="W2034" i="2"/>
  <c r="W2033" i="2"/>
  <c r="W2032" i="2"/>
  <c r="W2031" i="2"/>
  <c r="W2030" i="2"/>
  <c r="W2029" i="2"/>
  <c r="W2028" i="2"/>
  <c r="W2027" i="2"/>
  <c r="W2026" i="2"/>
  <c r="W2025" i="2"/>
  <c r="W2024" i="2"/>
  <c r="W2023" i="2"/>
  <c r="W2022" i="2"/>
  <c r="W2021" i="2"/>
  <c r="W2020" i="2"/>
  <c r="W2019" i="2"/>
  <c r="W2018" i="2"/>
  <c r="W2017" i="2"/>
  <c r="W2016" i="2"/>
  <c r="W2015" i="2"/>
  <c r="W2014" i="2"/>
  <c r="W2013" i="2"/>
  <c r="W2012" i="2"/>
  <c r="W2011" i="2"/>
  <c r="W2010" i="2"/>
  <c r="W2009" i="2"/>
  <c r="W2008" i="2"/>
  <c r="W2007" i="2"/>
  <c r="W2006" i="2"/>
  <c r="W2005" i="2"/>
  <c r="W2004" i="2"/>
  <c r="W2003" i="2"/>
  <c r="W2002" i="2"/>
  <c r="W2001" i="2"/>
  <c r="W2000" i="2"/>
  <c r="W1999" i="2"/>
  <c r="W1998" i="2"/>
  <c r="W1997" i="2"/>
  <c r="W1996" i="2"/>
  <c r="W1995" i="2"/>
  <c r="W1994" i="2"/>
  <c r="W1993" i="2"/>
  <c r="W1992" i="2"/>
  <c r="W1991" i="2"/>
  <c r="W1990" i="2"/>
  <c r="W1989" i="2"/>
  <c r="W1988" i="2"/>
  <c r="W1987" i="2"/>
  <c r="W1986" i="2"/>
  <c r="W1985" i="2"/>
  <c r="W1984" i="2"/>
  <c r="W1983" i="2"/>
  <c r="W1982" i="2"/>
  <c r="W1981" i="2"/>
  <c r="W1980" i="2"/>
  <c r="W1979" i="2"/>
  <c r="W1978" i="2"/>
  <c r="W1977" i="2"/>
  <c r="W1976" i="2"/>
  <c r="W1975" i="2"/>
  <c r="W1974" i="2"/>
  <c r="W1973" i="2"/>
  <c r="W1972" i="2"/>
  <c r="W1971" i="2"/>
  <c r="W1970" i="2"/>
  <c r="W1969" i="2"/>
  <c r="W1968" i="2"/>
  <c r="W1967" i="2"/>
  <c r="W1966" i="2"/>
  <c r="W1965" i="2"/>
  <c r="W1964" i="2"/>
  <c r="W1963" i="2"/>
  <c r="W1962" i="2"/>
  <c r="W1961" i="2"/>
  <c r="W1960" i="2"/>
  <c r="W1959" i="2"/>
  <c r="W1958" i="2"/>
  <c r="W1957" i="2"/>
  <c r="W1956" i="2"/>
  <c r="W1955" i="2"/>
  <c r="W1954" i="2"/>
  <c r="W1953" i="2"/>
  <c r="W1952" i="2"/>
  <c r="W1951" i="2"/>
  <c r="W1950" i="2"/>
  <c r="W1949" i="2"/>
  <c r="W1948" i="2"/>
  <c r="W1947" i="2"/>
  <c r="W1946" i="2"/>
  <c r="W1945" i="2"/>
  <c r="W1944" i="2"/>
  <c r="W1943" i="2"/>
  <c r="W1942" i="2"/>
  <c r="W1941" i="2"/>
  <c r="W1940" i="2"/>
  <c r="W1939" i="2"/>
  <c r="W1938" i="2"/>
  <c r="W1937" i="2"/>
  <c r="W1936" i="2"/>
  <c r="W1935" i="2"/>
  <c r="W1934" i="2"/>
  <c r="W1933" i="2"/>
  <c r="W1932" i="2"/>
  <c r="W1931" i="2"/>
  <c r="W1930" i="2"/>
  <c r="W1929" i="2"/>
  <c r="W1928" i="2"/>
  <c r="W1927" i="2"/>
  <c r="W1926" i="2"/>
  <c r="W1925" i="2"/>
  <c r="W1924" i="2"/>
  <c r="W1923" i="2"/>
  <c r="W1922" i="2"/>
  <c r="W1921" i="2"/>
  <c r="W1920" i="2"/>
  <c r="W1919" i="2"/>
  <c r="W1918" i="2"/>
  <c r="W1917" i="2"/>
  <c r="W1916" i="2"/>
  <c r="W1915" i="2"/>
  <c r="W1914" i="2"/>
  <c r="W1913" i="2"/>
  <c r="W1912" i="2"/>
  <c r="W1911" i="2"/>
  <c r="W1910" i="2"/>
  <c r="W1909" i="2"/>
  <c r="W1908" i="2"/>
  <c r="W1907" i="2"/>
  <c r="W1906" i="2"/>
  <c r="W1905" i="2"/>
  <c r="W1904" i="2"/>
  <c r="W1903" i="2"/>
  <c r="W1902" i="2"/>
  <c r="W1901" i="2"/>
  <c r="W1900" i="2"/>
  <c r="W1899" i="2"/>
  <c r="W1898" i="2"/>
  <c r="W1897" i="2"/>
  <c r="W1896" i="2"/>
  <c r="W1895" i="2"/>
  <c r="W1894" i="2"/>
  <c r="W1893" i="2"/>
  <c r="W1892" i="2"/>
  <c r="W1891" i="2"/>
  <c r="W1890" i="2"/>
  <c r="W1889" i="2"/>
  <c r="W1888" i="2"/>
  <c r="W1887" i="2"/>
  <c r="W1886" i="2"/>
  <c r="W1885" i="2"/>
  <c r="W1884" i="2"/>
  <c r="W1883" i="2"/>
  <c r="W1882" i="2"/>
  <c r="W1881" i="2"/>
  <c r="W1880" i="2"/>
  <c r="W1879" i="2"/>
  <c r="W1878" i="2"/>
  <c r="W1877" i="2"/>
  <c r="W1876" i="2"/>
  <c r="W1875" i="2"/>
  <c r="W1874" i="2"/>
  <c r="W1873" i="2"/>
  <c r="W1872" i="2"/>
  <c r="W1871" i="2"/>
  <c r="W1870" i="2"/>
  <c r="W1869" i="2"/>
  <c r="W1868" i="2"/>
  <c r="W1867" i="2"/>
  <c r="W1866" i="2"/>
  <c r="W1865" i="2"/>
  <c r="W1864" i="2"/>
  <c r="W1863" i="2"/>
  <c r="W1862" i="2"/>
  <c r="W1861" i="2"/>
  <c r="W1860" i="2"/>
  <c r="W1859" i="2"/>
  <c r="W1858" i="2"/>
  <c r="W1857" i="2"/>
  <c r="W1856" i="2"/>
  <c r="W1855" i="2"/>
  <c r="W1854" i="2"/>
  <c r="W1853" i="2"/>
  <c r="W1852" i="2"/>
  <c r="W1851" i="2"/>
  <c r="W1850" i="2"/>
  <c r="W1849" i="2"/>
  <c r="W1848" i="2"/>
  <c r="W1847" i="2"/>
  <c r="W1846" i="2"/>
  <c r="W1845" i="2"/>
  <c r="W1844" i="2"/>
  <c r="W1843" i="2"/>
  <c r="W1842" i="2"/>
  <c r="W1841" i="2"/>
  <c r="W1840" i="2"/>
  <c r="W1839" i="2"/>
  <c r="W1838" i="2"/>
  <c r="W1837" i="2"/>
  <c r="W1836" i="2"/>
  <c r="W1835" i="2"/>
  <c r="W1834" i="2"/>
  <c r="W1833" i="2"/>
  <c r="W1832" i="2"/>
  <c r="W1831" i="2"/>
  <c r="W1830" i="2"/>
  <c r="W1829" i="2"/>
  <c r="W1828" i="2"/>
  <c r="W1827" i="2"/>
  <c r="W1826" i="2"/>
  <c r="W1825" i="2"/>
  <c r="W1824" i="2"/>
  <c r="W1823" i="2"/>
  <c r="W1822" i="2"/>
  <c r="W1821" i="2"/>
  <c r="W1820" i="2"/>
  <c r="W1819" i="2"/>
  <c r="W1818" i="2"/>
  <c r="W1817" i="2"/>
  <c r="W1816" i="2"/>
  <c r="W1815" i="2"/>
  <c r="W1814" i="2"/>
  <c r="W1813" i="2"/>
  <c r="W1812" i="2"/>
  <c r="W1811" i="2"/>
  <c r="W1810" i="2"/>
  <c r="W1809" i="2"/>
  <c r="W1808" i="2"/>
  <c r="W1807" i="2"/>
  <c r="W1806" i="2"/>
  <c r="W1805" i="2"/>
  <c r="W1804" i="2"/>
  <c r="W1803" i="2"/>
  <c r="W1802" i="2"/>
  <c r="W1801" i="2"/>
  <c r="W1800" i="2"/>
  <c r="W1799" i="2"/>
  <c r="W1798" i="2"/>
  <c r="W1797" i="2"/>
  <c r="W1796" i="2"/>
  <c r="W1795" i="2"/>
  <c r="W1794" i="2"/>
  <c r="W1793" i="2"/>
  <c r="W1792" i="2"/>
  <c r="W1791" i="2"/>
  <c r="W1790" i="2"/>
  <c r="W1789" i="2"/>
  <c r="W1788" i="2"/>
  <c r="W1787" i="2"/>
  <c r="W1786" i="2"/>
  <c r="W1785" i="2"/>
  <c r="W1784" i="2"/>
  <c r="W1783" i="2"/>
  <c r="W1782" i="2"/>
  <c r="W1781" i="2"/>
  <c r="W1780" i="2"/>
  <c r="W1779" i="2"/>
  <c r="W1778" i="2"/>
  <c r="W1777" i="2"/>
  <c r="W1776" i="2"/>
  <c r="W1775" i="2"/>
  <c r="W1774" i="2"/>
  <c r="W1773" i="2"/>
  <c r="W1772" i="2"/>
  <c r="W1771" i="2"/>
  <c r="W1770" i="2"/>
  <c r="W1769" i="2"/>
  <c r="W1768" i="2"/>
  <c r="W1767" i="2"/>
  <c r="W1766" i="2"/>
  <c r="W1765" i="2"/>
  <c r="W1764" i="2"/>
  <c r="W1763" i="2"/>
  <c r="W1762" i="2"/>
  <c r="W1761" i="2"/>
  <c r="W1760" i="2"/>
  <c r="W1759" i="2"/>
  <c r="W1758" i="2"/>
  <c r="W1757" i="2"/>
  <c r="W1756" i="2"/>
  <c r="W1755" i="2"/>
  <c r="W1754" i="2"/>
  <c r="W1753" i="2"/>
  <c r="W1752" i="2"/>
  <c r="W1751" i="2"/>
  <c r="W1750" i="2"/>
  <c r="W1749" i="2"/>
  <c r="W1748" i="2"/>
  <c r="W1747" i="2"/>
  <c r="W1746" i="2"/>
  <c r="W1745" i="2"/>
  <c r="W1744" i="2"/>
  <c r="W1743" i="2"/>
  <c r="W1742" i="2"/>
  <c r="W1741" i="2"/>
  <c r="W1740" i="2"/>
  <c r="W1739" i="2"/>
  <c r="W1738" i="2"/>
  <c r="W1737" i="2"/>
  <c r="W1736" i="2"/>
  <c r="W1735" i="2"/>
  <c r="W1734" i="2"/>
  <c r="W1733" i="2"/>
  <c r="W1732" i="2"/>
  <c r="W1731" i="2"/>
  <c r="W1730" i="2"/>
  <c r="W1729" i="2"/>
  <c r="W1728" i="2"/>
  <c r="W1727" i="2"/>
  <c r="W1726" i="2"/>
  <c r="W1725" i="2"/>
  <c r="W1724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8" i="2"/>
  <c r="W1707" i="2"/>
  <c r="W1706" i="2"/>
  <c r="W1705" i="2"/>
  <c r="W1704" i="2"/>
  <c r="W1703" i="2"/>
  <c r="W1702" i="2"/>
  <c r="W1701" i="2"/>
  <c r="W1700" i="2"/>
  <c r="W1699" i="2"/>
  <c r="W1698" i="2"/>
  <c r="W1697" i="2"/>
  <c r="W1696" i="2"/>
  <c r="W1695" i="2"/>
  <c r="W1694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W1659" i="2"/>
  <c r="W1658" i="2"/>
  <c r="W1657" i="2"/>
  <c r="W1656" i="2"/>
  <c r="W1655" i="2"/>
  <c r="W1654" i="2"/>
  <c r="W1653" i="2"/>
  <c r="W1652" i="2"/>
  <c r="W1651" i="2"/>
  <c r="W1650" i="2"/>
  <c r="W1649" i="2"/>
  <c r="W1648" i="2"/>
  <c r="W1647" i="2"/>
  <c r="W164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1629" i="2"/>
  <c r="W1628" i="2"/>
  <c r="W1627" i="2"/>
  <c r="W1626" i="2"/>
  <c r="W1625" i="2"/>
  <c r="W1624" i="2"/>
  <c r="W1623" i="2"/>
  <c r="W1622" i="2"/>
  <c r="W1621" i="2"/>
  <c r="W1620" i="2"/>
  <c r="W1619" i="2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1596" i="2"/>
  <c r="W1595" i="2"/>
  <c r="W1594" i="2"/>
  <c r="W1593" i="2"/>
  <c r="W1592" i="2"/>
  <c r="W1591" i="2"/>
  <c r="W1590" i="2"/>
  <c r="W1589" i="2"/>
  <c r="W1588" i="2"/>
  <c r="W1587" i="2"/>
  <c r="W1586" i="2"/>
  <c r="W1585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1571" i="2"/>
  <c r="W1570" i="2"/>
  <c r="W1569" i="2"/>
  <c r="W1568" i="2"/>
  <c r="W1567" i="2"/>
  <c r="W1566" i="2"/>
  <c r="W1565" i="2"/>
  <c r="W1564" i="2"/>
  <c r="W1563" i="2"/>
  <c r="W1562" i="2"/>
  <c r="W1561" i="2"/>
  <c r="W1560" i="2"/>
  <c r="W1559" i="2"/>
  <c r="W1558" i="2"/>
  <c r="W1557" i="2"/>
  <c r="W1556" i="2"/>
  <c r="W1555" i="2"/>
  <c r="W1554" i="2"/>
  <c r="W1553" i="2"/>
  <c r="W1552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W1537" i="2"/>
  <c r="W1536" i="2"/>
  <c r="W1535" i="2"/>
  <c r="W1534" i="2"/>
  <c r="W1533" i="2"/>
  <c r="W1532" i="2"/>
  <c r="W1531" i="2"/>
  <c r="W1530" i="2"/>
  <c r="W1529" i="2"/>
  <c r="W1528" i="2"/>
  <c r="W1527" i="2"/>
  <c r="W1526" i="2"/>
  <c r="W1525" i="2"/>
  <c r="W1524" i="2"/>
  <c r="W1523" i="2"/>
  <c r="W1522" i="2"/>
  <c r="W1521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1498" i="2"/>
  <c r="W1497" i="2"/>
  <c r="W1496" i="2"/>
  <c r="W1495" i="2"/>
  <c r="W1494" i="2"/>
  <c r="W1493" i="2"/>
  <c r="W1492" i="2"/>
  <c r="W1491" i="2"/>
  <c r="W1490" i="2"/>
  <c r="W1489" i="2"/>
  <c r="W1488" i="2"/>
  <c r="W1487" i="2"/>
  <c r="W1486" i="2"/>
  <c r="W1485" i="2"/>
  <c r="W1484" i="2"/>
  <c r="W1483" i="2"/>
  <c r="W1482" i="2"/>
  <c r="W1481" i="2"/>
  <c r="W1480" i="2"/>
  <c r="W1479" i="2"/>
  <c r="W1478" i="2"/>
  <c r="W1477" i="2"/>
  <c r="W1476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6" i="2"/>
  <c r="W1455" i="2"/>
  <c r="W1454" i="2"/>
  <c r="W1453" i="2"/>
  <c r="W1452" i="2"/>
  <c r="W1451" i="2"/>
  <c r="W1450" i="2"/>
  <c r="W1449" i="2"/>
  <c r="W1448" i="2"/>
  <c r="W1447" i="2"/>
  <c r="W1446" i="2"/>
  <c r="W1445" i="2"/>
  <c r="W1444" i="2"/>
  <c r="W1443" i="2"/>
  <c r="W1442" i="2"/>
  <c r="W1441" i="2"/>
  <c r="W1440" i="2"/>
  <c r="W1439" i="2"/>
  <c r="W1438" i="2"/>
  <c r="W1437" i="2"/>
  <c r="W1436" i="2"/>
  <c r="W1435" i="2"/>
  <c r="W1434" i="2"/>
  <c r="W1433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1420" i="2"/>
  <c r="W1419" i="2"/>
  <c r="W1418" i="2"/>
  <c r="W1417" i="2"/>
  <c r="W1416" i="2"/>
  <c r="W1415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8" i="2"/>
  <c r="W1397" i="2"/>
  <c r="W1396" i="2"/>
  <c r="W1395" i="2"/>
  <c r="W1394" i="2"/>
  <c r="W1393" i="2"/>
  <c r="W1392" i="2"/>
  <c r="W1391" i="2"/>
  <c r="W1390" i="2"/>
  <c r="W1389" i="2"/>
  <c r="W1388" i="2"/>
  <c r="W1387" i="2"/>
  <c r="W1386" i="2"/>
  <c r="W1385" i="2"/>
  <c r="W1384" i="2"/>
  <c r="W1383" i="2"/>
  <c r="W1382" i="2"/>
  <c r="W1381" i="2"/>
  <c r="W1380" i="2"/>
  <c r="W1379" i="2"/>
  <c r="W1378" i="2"/>
  <c r="W1377" i="2"/>
  <c r="W1376" i="2"/>
  <c r="W1375" i="2"/>
  <c r="W1374" i="2"/>
  <c r="W1373" i="2"/>
  <c r="W1372" i="2"/>
  <c r="W1371" i="2"/>
  <c r="W1370" i="2"/>
  <c r="W1369" i="2"/>
  <c r="W1368" i="2"/>
  <c r="W1367" i="2"/>
  <c r="W1366" i="2"/>
  <c r="W1365" i="2"/>
  <c r="W1364" i="2"/>
  <c r="W1363" i="2"/>
  <c r="W1362" i="2"/>
  <c r="W1361" i="2"/>
  <c r="W1360" i="2"/>
  <c r="W1359" i="2"/>
  <c r="W1358" i="2"/>
  <c r="W1357" i="2"/>
  <c r="W1356" i="2"/>
  <c r="W1355" i="2"/>
  <c r="W1354" i="2"/>
  <c r="W1353" i="2"/>
  <c r="W1352" i="2"/>
  <c r="W1351" i="2"/>
  <c r="W1350" i="2"/>
  <c r="W1349" i="2"/>
  <c r="W1348" i="2"/>
  <c r="W1347" i="2"/>
  <c r="W1346" i="2"/>
  <c r="W1345" i="2"/>
  <c r="W1344" i="2"/>
  <c r="W1343" i="2"/>
  <c r="W1342" i="2"/>
  <c r="W1341" i="2"/>
  <c r="W1340" i="2"/>
  <c r="W1339" i="2"/>
  <c r="W1338" i="2"/>
  <c r="W1337" i="2"/>
  <c r="W1336" i="2"/>
  <c r="W1335" i="2"/>
  <c r="W1334" i="2"/>
  <c r="W1333" i="2"/>
  <c r="W1332" i="2"/>
  <c r="W1331" i="2"/>
  <c r="W1330" i="2"/>
  <c r="W1329" i="2"/>
  <c r="W1328" i="2"/>
  <c r="W1327" i="2"/>
  <c r="W1326" i="2"/>
  <c r="W1325" i="2"/>
  <c r="W1324" i="2"/>
  <c r="W1323" i="2"/>
  <c r="W1322" i="2"/>
  <c r="W1321" i="2"/>
  <c r="W1320" i="2"/>
  <c r="W1319" i="2"/>
  <c r="W1318" i="2"/>
  <c r="W1317" i="2"/>
  <c r="W1316" i="2"/>
  <c r="W1315" i="2"/>
  <c r="W1314" i="2"/>
  <c r="W1313" i="2"/>
  <c r="W1312" i="2"/>
  <c r="W1311" i="2"/>
  <c r="W1310" i="2"/>
  <c r="W1309" i="2"/>
  <c r="W1308" i="2"/>
  <c r="W1307" i="2"/>
  <c r="W1306" i="2"/>
  <c r="W1305" i="2"/>
  <c r="W1304" i="2"/>
  <c r="W1303" i="2"/>
  <c r="W1302" i="2"/>
  <c r="W1301" i="2"/>
  <c r="W1300" i="2"/>
  <c r="W1299" i="2"/>
  <c r="W1298" i="2"/>
  <c r="W1297" i="2"/>
  <c r="W1296" i="2"/>
  <c r="W1295" i="2"/>
  <c r="W1294" i="2"/>
  <c r="W1293" i="2"/>
  <c r="W1292" i="2"/>
  <c r="W1291" i="2"/>
  <c r="W1290" i="2"/>
  <c r="W1289" i="2"/>
  <c r="W1288" i="2"/>
  <c r="W1287" i="2"/>
  <c r="W1286" i="2"/>
  <c r="W1285" i="2"/>
  <c r="W1284" i="2"/>
  <c r="W1283" i="2"/>
  <c r="W1282" i="2"/>
  <c r="W1281" i="2"/>
  <c r="W1280" i="2"/>
  <c r="W1279" i="2"/>
  <c r="W1278" i="2"/>
  <c r="W1277" i="2"/>
  <c r="W1276" i="2"/>
  <c r="W1275" i="2"/>
  <c r="W1274" i="2"/>
  <c r="W1273" i="2"/>
  <c r="W1272" i="2"/>
  <c r="W1271" i="2"/>
  <c r="W1270" i="2"/>
  <c r="W1269" i="2"/>
  <c r="W1268" i="2"/>
  <c r="W1267" i="2"/>
  <c r="W1266" i="2"/>
  <c r="W1265" i="2"/>
  <c r="W1264" i="2"/>
  <c r="W1263" i="2"/>
  <c r="W1262" i="2"/>
  <c r="W1261" i="2"/>
  <c r="W1260" i="2"/>
  <c r="W1259" i="2"/>
  <c r="W1258" i="2"/>
  <c r="W1257" i="2"/>
  <c r="W1256" i="2"/>
  <c r="W1255" i="2"/>
  <c r="W1254" i="2"/>
  <c r="W1253" i="2"/>
  <c r="W1252" i="2"/>
  <c r="W1251" i="2"/>
  <c r="W1250" i="2"/>
  <c r="W1249" i="2"/>
  <c r="W1248" i="2"/>
  <c r="W1247" i="2"/>
  <c r="W1246" i="2"/>
  <c r="W1245" i="2"/>
  <c r="W1244" i="2"/>
  <c r="W1243" i="2"/>
  <c r="W1242" i="2"/>
  <c r="W1241" i="2"/>
  <c r="W1240" i="2"/>
  <c r="W1239" i="2"/>
  <c r="W1238" i="2"/>
  <c r="W1237" i="2"/>
  <c r="W1236" i="2"/>
  <c r="W1235" i="2"/>
  <c r="W1234" i="2"/>
  <c r="W1233" i="2"/>
  <c r="W1232" i="2"/>
  <c r="W1231" i="2"/>
  <c r="W1230" i="2"/>
  <c r="W1229" i="2"/>
  <c r="W1228" i="2"/>
  <c r="W1227" i="2"/>
  <c r="W1226" i="2"/>
  <c r="W1225" i="2"/>
  <c r="W1224" i="2"/>
  <c r="W1223" i="2"/>
  <c r="W1222" i="2"/>
  <c r="W1221" i="2"/>
  <c r="W1220" i="2"/>
  <c r="W1219" i="2"/>
  <c r="W1218" i="2"/>
  <c r="W1217" i="2"/>
  <c r="W1216" i="2"/>
  <c r="W1215" i="2"/>
  <c r="W1214" i="2"/>
  <c r="W1213" i="2"/>
  <c r="W1212" i="2"/>
  <c r="W1211" i="2"/>
  <c r="W1210" i="2"/>
  <c r="W1209" i="2"/>
  <c r="W1208" i="2"/>
  <c r="W1207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1194" i="2"/>
  <c r="W1193" i="2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1180" i="2"/>
  <c r="W1179" i="2"/>
  <c r="W1178" i="2"/>
  <c r="W1177" i="2"/>
  <c r="W1176" i="2"/>
  <c r="W1175" i="2"/>
  <c r="W1174" i="2"/>
  <c r="W1173" i="2"/>
  <c r="W1172" i="2"/>
  <c r="W1171" i="2"/>
  <c r="W1170" i="2"/>
  <c r="W1169" i="2"/>
  <c r="W1168" i="2"/>
  <c r="W1167" i="2"/>
  <c r="W1166" i="2"/>
  <c r="W1165" i="2"/>
  <c r="W1164" i="2"/>
  <c r="W1163" i="2"/>
  <c r="W1162" i="2"/>
  <c r="W1161" i="2"/>
  <c r="W1160" i="2"/>
  <c r="W1159" i="2"/>
  <c r="W1158" i="2"/>
  <c r="W1157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131" i="2"/>
  <c r="W1130" i="2"/>
  <c r="W1129" i="2"/>
  <c r="W1128" i="2"/>
  <c r="W1127" i="2"/>
  <c r="W1126" i="2"/>
  <c r="W1125" i="2"/>
  <c r="W1124" i="2"/>
  <c r="W1123" i="2"/>
  <c r="W1122" i="2"/>
  <c r="W1121" i="2"/>
  <c r="W1120" i="2"/>
  <c r="W1119" i="2"/>
  <c r="W1118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1099" i="2"/>
  <c r="W1098" i="2"/>
  <c r="W1097" i="2"/>
  <c r="W1096" i="2"/>
  <c r="W1095" i="2"/>
  <c r="W1094" i="2"/>
  <c r="W1093" i="2"/>
  <c r="W1092" i="2"/>
  <c r="W1091" i="2"/>
  <c r="W1090" i="2"/>
  <c r="W1089" i="2"/>
  <c r="W1088" i="2"/>
  <c r="W1087" i="2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W1073" i="2"/>
  <c r="W1072" i="2"/>
  <c r="W1071" i="2"/>
  <c r="W1070" i="2"/>
  <c r="W1069" i="2"/>
  <c r="W1068" i="2"/>
  <c r="W1067" i="2"/>
  <c r="W1066" i="2"/>
  <c r="W1065" i="2"/>
  <c r="W1064" i="2"/>
  <c r="W1063" i="2"/>
  <c r="W1062" i="2"/>
  <c r="W1061" i="2"/>
  <c r="W1060" i="2"/>
  <c r="W1059" i="2"/>
  <c r="W1058" i="2"/>
  <c r="W1057" i="2"/>
  <c r="W1056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1035" i="2"/>
  <c r="W1034" i="2"/>
  <c r="W1033" i="2"/>
  <c r="W1032" i="2"/>
  <c r="W1031" i="2"/>
  <c r="W1030" i="2"/>
  <c r="W1029" i="2"/>
  <c r="W1028" i="2"/>
  <c r="W1027" i="2"/>
  <c r="W1026" i="2"/>
  <c r="W1025" i="2"/>
  <c r="W1024" i="2"/>
  <c r="W1023" i="2"/>
  <c r="W1022" i="2"/>
  <c r="W1021" i="2"/>
  <c r="W1020" i="2"/>
  <c r="W1019" i="2"/>
  <c r="W1018" i="2"/>
  <c r="W1017" i="2"/>
  <c r="W1016" i="2"/>
  <c r="W1015" i="2"/>
  <c r="W1014" i="2"/>
  <c r="W1013" i="2"/>
  <c r="W1012" i="2"/>
  <c r="W1011" i="2"/>
  <c r="W1010" i="2"/>
  <c r="W1009" i="2"/>
  <c r="W1008" i="2"/>
  <c r="W1007" i="2"/>
  <c r="W1006" i="2"/>
  <c r="W1005" i="2"/>
  <c r="W1004" i="2"/>
  <c r="W1003" i="2"/>
  <c r="W1002" i="2"/>
  <c r="W1001" i="2"/>
  <c r="W1000" i="2"/>
  <c r="W999" i="2"/>
  <c r="W998" i="2"/>
  <c r="W997" i="2"/>
  <c r="W996" i="2"/>
  <c r="W995" i="2"/>
  <c r="W994" i="2"/>
  <c r="W993" i="2"/>
  <c r="W992" i="2"/>
  <c r="W991" i="2"/>
  <c r="W990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950" i="2"/>
  <c r="W949" i="2"/>
  <c r="W948" i="2"/>
  <c r="W947" i="2"/>
  <c r="W946" i="2"/>
  <c r="W945" i="2"/>
  <c r="W944" i="2"/>
  <c r="W943" i="2"/>
  <c r="W942" i="2"/>
  <c r="W941" i="2"/>
  <c r="W940" i="2"/>
  <c r="W939" i="2"/>
  <c r="W938" i="2"/>
  <c r="W937" i="2"/>
  <c r="W936" i="2"/>
  <c r="W935" i="2"/>
  <c r="W934" i="2"/>
  <c r="W933" i="2"/>
  <c r="W932" i="2"/>
  <c r="W931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908" i="2"/>
  <c r="W907" i="2"/>
  <c r="W906" i="2"/>
  <c r="W905" i="2"/>
  <c r="W904" i="2"/>
  <c r="W903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3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T12" i="2" l="1"/>
  <c r="T13" i="2"/>
  <c r="T10" i="2"/>
  <c r="T11" i="2"/>
  <c r="T14" i="2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5" i="1"/>
  <c r="A76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8" i="1"/>
  <c r="A319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7" i="1"/>
  <c r="A398" i="1"/>
  <c r="A399" i="1"/>
  <c r="A400" i="1"/>
  <c r="A401" i="1"/>
  <c r="A402" i="1"/>
  <c r="A403" i="1"/>
  <c r="A404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N9" i="2" l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L4" i="2" l="1"/>
  <c r="L3" i="2"/>
  <c r="B23" i="3" l="1"/>
  <c r="L8" i="2" l="1"/>
  <c r="V2" i="2" l="1"/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W3" i="2"/>
  <c r="W4" i="2"/>
  <c r="W5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L7" i="2" l="1"/>
  <c r="J7" i="2"/>
  <c r="J5" i="2"/>
  <c r="J3" i="2"/>
  <c r="J8" i="2"/>
  <c r="J6" i="2"/>
  <c r="J4" i="2"/>
  <c r="J2" i="2"/>
  <c r="B2" i="2"/>
  <c r="B14" i="2"/>
  <c r="B4" i="2"/>
  <c r="B3" i="2"/>
  <c r="B5" i="2"/>
  <c r="D8" i="2"/>
  <c r="B22" i="3"/>
  <c r="B20" i="3"/>
  <c r="B21" i="3"/>
  <c r="B19" i="3"/>
  <c r="D3" i="2"/>
  <c r="D4" i="2"/>
  <c r="D5" i="2"/>
  <c r="D2" i="2"/>
  <c r="B6" i="2" l="1"/>
  <c r="J9" i="2"/>
  <c r="H13" i="2"/>
  <c r="D6" i="2"/>
  <c r="D7" i="2"/>
  <c r="D9" i="2" l="1"/>
  <c r="F9" i="2" l="1"/>
</calcChain>
</file>

<file path=xl/sharedStrings.xml><?xml version="1.0" encoding="utf-8"?>
<sst xmlns="http://schemas.openxmlformats.org/spreadsheetml/2006/main" count="4706" uniqueCount="1432">
  <si>
    <t>№ и/б</t>
  </si>
  <si>
    <t>Отделение</t>
  </si>
  <si>
    <t>Дата поступления</t>
  </si>
  <si>
    <t>Время поступления</t>
  </si>
  <si>
    <t>Дата рождения</t>
  </si>
  <si>
    <t>Возраст</t>
  </si>
  <si>
    <t>Канал поступления</t>
  </si>
  <si>
    <t>Длительность ИВЛ</t>
  </si>
  <si>
    <t>Куда переведён</t>
  </si>
  <si>
    <t>Дата перевода</t>
  </si>
  <si>
    <t>Диагноз при поступлении в ОРИТ</t>
  </si>
  <si>
    <t>Длительность</t>
  </si>
  <si>
    <t>До 1 сут.</t>
  </si>
  <si>
    <t>Свыше 30 сут.</t>
  </si>
  <si>
    <t>Кол-во</t>
  </si>
  <si>
    <t>Всего</t>
  </si>
  <si>
    <t>До 7 дней</t>
  </si>
  <si>
    <t>7-29 дней</t>
  </si>
  <si>
    <t>До 1 года</t>
  </si>
  <si>
    <t>1-3 года</t>
  </si>
  <si>
    <t>3-7 лет</t>
  </si>
  <si>
    <t>7-15 лет</t>
  </si>
  <si>
    <t>15-18 лет</t>
  </si>
  <si>
    <t>ДОТО</t>
  </si>
  <si>
    <t>Нефро</t>
  </si>
  <si>
    <t>ОПНН</t>
  </si>
  <si>
    <t>Педиатрия</t>
  </si>
  <si>
    <t>Пульмо</t>
  </si>
  <si>
    <t>Неврология</t>
  </si>
  <si>
    <t>Другие больницы</t>
  </si>
  <si>
    <t>Летальный исход</t>
  </si>
  <si>
    <t>Прочее</t>
  </si>
  <si>
    <t>ИВЛ детям в возрасте</t>
  </si>
  <si>
    <t>ИВЛ по срокам</t>
  </si>
  <si>
    <t>Новорожденным</t>
  </si>
  <si>
    <t>3-7 сут.</t>
  </si>
  <si>
    <t>1-3 сут.</t>
  </si>
  <si>
    <t>7-20 сут.</t>
  </si>
  <si>
    <t>Более 20 сут.</t>
  </si>
  <si>
    <t>Диагнозы</t>
  </si>
  <si>
    <t>Инфекционные и паразитарные болезни</t>
  </si>
  <si>
    <t>Новообразования</t>
  </si>
  <si>
    <t>Болезни крови и кроветворных органов</t>
  </si>
  <si>
    <t>Болезни эндокринной системы и нарушения обмена веществ</t>
  </si>
  <si>
    <t>Психические расстройства</t>
  </si>
  <si>
    <t>Ретинопатии</t>
  </si>
  <si>
    <t>Болезни нервной системы и органов чувств</t>
  </si>
  <si>
    <t>Болезни системы кровообращения</t>
  </si>
  <si>
    <t>Болезни органов дыхания</t>
  </si>
  <si>
    <t>Болезни органов пищеварения</t>
  </si>
  <si>
    <t>Болезни мочеполовой системы</t>
  </si>
  <si>
    <t>Болезни костно-мышечного аппарата</t>
  </si>
  <si>
    <t>Травма сочетанная и изолированная</t>
  </si>
  <si>
    <t>Флегмоны, абсцессы и другие повреждения мягких тканей</t>
  </si>
  <si>
    <t>Ожоговая травма</t>
  </si>
  <si>
    <t>Отравления</t>
  </si>
  <si>
    <t>Пороки и врождённые аномалии развития</t>
  </si>
  <si>
    <t>Болезни неонатального возраста</t>
  </si>
  <si>
    <t>Болезни в возрасте до 5 лет</t>
  </si>
  <si>
    <t>Болезни в возрасте 5-12 лет</t>
  </si>
  <si>
    <t>Болезни в возрасте 12-18 лет</t>
  </si>
  <si>
    <t>Кол-во2</t>
  </si>
  <si>
    <t>Кол-во3</t>
  </si>
  <si>
    <t>Кол-во4</t>
  </si>
  <si>
    <t>Кол-во5</t>
  </si>
  <si>
    <t>Кол-во6</t>
  </si>
  <si>
    <t>Адрес регистраци</t>
  </si>
  <si>
    <t>Фамилия, имя, отчество</t>
  </si>
  <si>
    <t>Категория диагноза</t>
  </si>
  <si>
    <t>Профиль отделения</t>
  </si>
  <si>
    <t>Длительность, сут.</t>
  </si>
  <si>
    <t>Возраст в днях</t>
  </si>
  <si>
    <t>3-30 сут.</t>
  </si>
  <si>
    <t>ЦВК</t>
  </si>
  <si>
    <t>Время перевода</t>
  </si>
  <si>
    <t>Самотёком</t>
  </si>
  <si>
    <t>Итого</t>
  </si>
  <si>
    <t>ДХО</t>
  </si>
  <si>
    <t>койко-дни</t>
  </si>
  <si>
    <t>№ п/п</t>
  </si>
  <si>
    <t>Пед. паллиатив</t>
  </si>
  <si>
    <t>Сосудистый доступ</t>
  </si>
  <si>
    <t>Регионарная анестезия</t>
  </si>
  <si>
    <t>Трансфузии</t>
  </si>
  <si>
    <t>ЭКД</t>
  </si>
  <si>
    <t>Кол-во9</t>
  </si>
  <si>
    <t>Гл. вен. линия</t>
  </si>
  <si>
    <t>Периф. вен. кат.</t>
  </si>
  <si>
    <t>Без доступа</t>
  </si>
  <si>
    <t>Кол-во11</t>
  </si>
  <si>
    <t>ЦВК №2</t>
  </si>
  <si>
    <t>ЦВК&gt;=№3</t>
  </si>
  <si>
    <t>Диализ. катетер</t>
  </si>
  <si>
    <t>ЦВК&gt;=3</t>
  </si>
  <si>
    <t>Эпидур. анест.</t>
  </si>
  <si>
    <t>СМА</t>
  </si>
  <si>
    <t>Блокады сплетений</t>
  </si>
  <si>
    <t>Регион. анестезия</t>
  </si>
  <si>
    <t>Кол-во93</t>
  </si>
  <si>
    <t>Кол-во94</t>
  </si>
  <si>
    <t>СЗП+/-крио</t>
  </si>
  <si>
    <t>Эр. масса</t>
  </si>
  <si>
    <t>Тромб.</t>
  </si>
  <si>
    <t>CVVHDF</t>
  </si>
  <si>
    <t>MPS</t>
  </si>
  <si>
    <t>PD</t>
  </si>
  <si>
    <t>Плазмаферез</t>
  </si>
  <si>
    <t>Кишеч. лаваж</t>
  </si>
  <si>
    <t>CVVHDF+MPS</t>
  </si>
  <si>
    <t>CVVHDF+PD</t>
  </si>
  <si>
    <t>CVVHDF+Кишеч. Лаваж</t>
  </si>
  <si>
    <t>Всего ЦВК</t>
  </si>
  <si>
    <t>Всего ЭКД</t>
  </si>
  <si>
    <t>Всего CVVHDF</t>
  </si>
  <si>
    <t>Всего MPS</t>
  </si>
  <si>
    <t>Всего PD</t>
  </si>
  <si>
    <t>Всего кишеч. Лаваж</t>
  </si>
  <si>
    <t>Койко-дней всего</t>
  </si>
  <si>
    <t>Доставлен_СМП</t>
  </si>
  <si>
    <t>Из_операционной</t>
  </si>
  <si>
    <t>Из_профильных_отделений</t>
  </si>
  <si>
    <t>Из_других_больниц</t>
  </si>
  <si>
    <t>Из_родильных_домов</t>
  </si>
  <si>
    <t>Повторное_поступление</t>
  </si>
  <si>
    <t>СЗП+Эр</t>
  </si>
  <si>
    <t>СЗП+Тр</t>
  </si>
  <si>
    <t>Эр+Тр</t>
  </si>
  <si>
    <t>СЗП+Эр+Тр</t>
  </si>
  <si>
    <t>СЗП всего</t>
  </si>
  <si>
    <t>Эр всего</t>
  </si>
  <si>
    <t>Тр всего</t>
  </si>
  <si>
    <t>Примечания</t>
  </si>
  <si>
    <t>Интестин. зонд</t>
  </si>
  <si>
    <t>Датчик ВЧД</t>
  </si>
  <si>
    <t>Инваз. АД</t>
  </si>
  <si>
    <t>Интестин. Зонд+датчик ВЧД</t>
  </si>
  <si>
    <t>Датчик ВЧД+Инваз. АД</t>
  </si>
  <si>
    <t>Интестин. Зонд+датчик ВЧД+инваз. АД</t>
  </si>
  <si>
    <t>Кобликов Артем Денисович</t>
  </si>
  <si>
    <t>Вичуга</t>
  </si>
  <si>
    <t>Ишунина Екатерина Владимировна</t>
  </si>
  <si>
    <t>Иваново 2 Сременная 6</t>
  </si>
  <si>
    <t>Оргаеическое поражение ЦНС, пневмония</t>
  </si>
  <si>
    <t>Кудрявцев Никита Анатольевич</t>
  </si>
  <si>
    <t>Отравление суррогатами алкоголя</t>
  </si>
  <si>
    <t xml:space="preserve">Иваново </t>
  </si>
  <si>
    <t>Кузнецов Ярослав Александрович</t>
  </si>
  <si>
    <t>Иваново</t>
  </si>
  <si>
    <t>отравление суррогатами алкоголя</t>
  </si>
  <si>
    <t>Кудряшова Елизавета Евгеньевна</t>
  </si>
  <si>
    <t>иваново дюковская 25-2</t>
  </si>
  <si>
    <t>аппендицит разлитой перитнит</t>
  </si>
  <si>
    <t>Гусев Семен Антонович</t>
  </si>
  <si>
    <t>Иваново пр круглый 32</t>
  </si>
  <si>
    <t>сочетанная травмаОЧМТ, ушиб головного мозга, ушибленные раны лица</t>
  </si>
  <si>
    <t>Гусева Алиса Антоновна</t>
  </si>
  <si>
    <t>иваново пр круглый 32</t>
  </si>
  <si>
    <t xml:space="preserve">Сочетанная травмаОЧМТ, ушиб головного мозга тяжелой степени, ушиб разможение правой лобной, теменной, височных долей, субдуральная гематома, травматическая САК. Пневмоцефалия, Ушиб легкмх, Закрытый перелом правого бедра </t>
  </si>
  <si>
    <t>Ведута Анастасия Максимовна</t>
  </si>
  <si>
    <t>Сахарный диабет впевые выявленный. Кетоацидоз</t>
  </si>
  <si>
    <t>Лысак Артём Александрович</t>
  </si>
  <si>
    <t>Ивановская обл., г. Шуя, ул. Восточная, 2, 61</t>
  </si>
  <si>
    <t>Сочетанная травма. ЗЧМТ. СГМ. ЗТГК. Ушиб лёгких. Закрытый неосложнённый перелом с/3 диафиза левого бедра со смещением отломков.</t>
  </si>
  <si>
    <t>Ошуркова Ясмин Юрьевна</t>
  </si>
  <si>
    <t>г. Иваново, ул. Сосновая, 1/12, 11</t>
  </si>
  <si>
    <t>БЛД ср. ст. тяж. ДН 0-1 ст. Ретинопатия OU. ППЛКС OU 10.01.24</t>
  </si>
  <si>
    <t>Александрова Надежда Руслановна</t>
  </si>
  <si>
    <t>Хим ожог пищевода</t>
  </si>
  <si>
    <t>Алиев Магомед Шамилович</t>
  </si>
  <si>
    <t>Ивановская обл., Тейковский р-н, с. Елховка, ул. Центральная, 40</t>
  </si>
  <si>
    <t>Электротравма. Электроожоги пальцев правой кисти IV ст. менее 1% тела.</t>
  </si>
  <si>
    <t>Колёскин Артём Дмитриевич</t>
  </si>
  <si>
    <t>Ивановская обл., г. Вичуга, ул. Циолковского, 23</t>
  </si>
  <si>
    <t xml:space="preserve">Органическое поражение ЦНС. Пневмония справа. ДН 3 ст. </t>
  </si>
  <si>
    <t>Дудин Кирилл Александрович</t>
  </si>
  <si>
    <t>Иваново пр.Строителей 104 56</t>
  </si>
  <si>
    <t>отравление угарным газом</t>
  </si>
  <si>
    <t>Дудин Илья Александрович</t>
  </si>
  <si>
    <t>Отравление угарным газом</t>
  </si>
  <si>
    <t>Иваново перСиликатный</t>
  </si>
  <si>
    <t>Терм ожг кипятком 15%</t>
  </si>
  <si>
    <t>Смирнов Сергей Сергеевич</t>
  </si>
  <si>
    <t>г. Тейково. Ул Авиационная  д 34</t>
  </si>
  <si>
    <t>Термический ожог кипятком, 10%</t>
  </si>
  <si>
    <t>сахарный диабет впевые выявленный. Кетоацидоз</t>
  </si>
  <si>
    <t>ивановский р-он д Беляницы</t>
  </si>
  <si>
    <t>Молева Василиса Антоновна</t>
  </si>
  <si>
    <t>Кинешма</t>
  </si>
  <si>
    <t>Моисеенков Марк Дмитриевич</t>
  </si>
  <si>
    <t>г. Иваново, дер. Иванцево</t>
  </si>
  <si>
    <t>Пневмония внебольничная, микоплазменная</t>
  </si>
  <si>
    <t>Лебедева Амилия  Антоновна</t>
  </si>
  <si>
    <t>Лицова Александра Антоновна</t>
  </si>
  <si>
    <t>Ивановская обл., г. Кинешма, ул. Красноветкинская, 9, 2</t>
  </si>
  <si>
    <t>Постинтубационный стеноз гортани. ДН 2 ст.</t>
  </si>
  <si>
    <t>Пожилова Анастасия Сергеевна</t>
  </si>
  <si>
    <t>г.Иваново, ул.Шубиных, д. 12, кв.27</t>
  </si>
  <si>
    <t>Эпилепсия?</t>
  </si>
  <si>
    <t>Смирнов Матвей Владимирович</t>
  </si>
  <si>
    <t>БЛД, тяжелое течене</t>
  </si>
  <si>
    <t>Комов Матвей Леонидович</t>
  </si>
  <si>
    <t>г.Иваново, мкр.ДСК, д.3, кв.105</t>
  </si>
  <si>
    <t>Первично-множественная нейробластома правого надпочечника</t>
  </si>
  <si>
    <t>Багандалиев Адам Рамильевич</t>
  </si>
  <si>
    <t>г. Иваново пер. Селикатный д 48. кв 11.</t>
  </si>
  <si>
    <t>Князева Анастасия Сергеевна</t>
  </si>
  <si>
    <t>г.Родники, ул. 5-Борисовская д. 11</t>
  </si>
  <si>
    <t>Анорексия?</t>
  </si>
  <si>
    <t>Ивановский р-он, д. Игнатово, ул. Деревенская, 108</t>
  </si>
  <si>
    <t>г. Иваново, ул. Кавалерийская, 14, 13</t>
  </si>
  <si>
    <t>Филиппов Матвей Максимович</t>
  </si>
  <si>
    <t>Шобибуллоев Ибрахим Фархадович</t>
  </si>
  <si>
    <t>г. Иваново, ул. Танкиста Александрова, 7, 21</t>
  </si>
  <si>
    <t>Множественные ВПР. Паллиативная операция на магистральных сосудах. Полиорганная недостаточность.</t>
  </si>
  <si>
    <t>Франц София Артёмовна</t>
  </si>
  <si>
    <t>Ивановский р-он, с. Богородское, ул. Центральная, 54а, 19</t>
  </si>
  <si>
    <t>Нейроинфекция</t>
  </si>
  <si>
    <t>Рахими Халина</t>
  </si>
  <si>
    <t>4-я Меланжевая, 6</t>
  </si>
  <si>
    <t>Гидроцефалия</t>
  </si>
  <si>
    <t>Вишневский Мирон Андреевич</t>
  </si>
  <si>
    <t>г. Кинешма, ул.Аристарха Макарова д.106А, кв.10</t>
  </si>
  <si>
    <t>Врождённый гипертрофический пилоростеноз</t>
  </si>
  <si>
    <t>Васильчикова Евлалия Александровна</t>
  </si>
  <si>
    <t>г. Иваново, ул. Демьяна Бедного, д. 113, кв.50</t>
  </si>
  <si>
    <t>Сахарный диабет I типа, фаза кетоацидоза.</t>
  </si>
  <si>
    <t>Лысяков Егор Дмитриевич</t>
  </si>
  <si>
    <t>кохма, ул Суворова 50</t>
  </si>
  <si>
    <t>пневмония, осложненная гидротораксом. ДН 2</t>
  </si>
  <si>
    <t>Попова Мария Сергеевна</t>
  </si>
  <si>
    <t>Объемное образоваине поясничной области</t>
  </si>
  <si>
    <t xml:space="preserve">Ушкова Виктория Дмитриевна </t>
  </si>
  <si>
    <t>Состояние после коррегирующией остеотомии бедра</t>
  </si>
  <si>
    <t>Соколова Виктория Дмитриевна</t>
  </si>
  <si>
    <t>Сахарный диабет, кетоацидоз</t>
  </si>
  <si>
    <t>WPW синдром. Париксизмальная тахикардия</t>
  </si>
  <si>
    <t>Аверьянова Алисия Александровна</t>
  </si>
  <si>
    <t>острое бытовое отрвление таблетками(микст)</t>
  </si>
  <si>
    <t>Дмитренко Екатерина Александровна</t>
  </si>
  <si>
    <t>Гусева Карина Романовна</t>
  </si>
  <si>
    <t>Приволжск, 2-8 Мичуринская</t>
  </si>
  <si>
    <t>Эпилепсия генерализованная</t>
  </si>
  <si>
    <t>Иваново. Пророкова 40</t>
  </si>
  <si>
    <t>отравление таб (парацетамол)</t>
  </si>
  <si>
    <t>Хазов</t>
  </si>
  <si>
    <t>заволжск</t>
  </si>
  <si>
    <t>гемоперитонеум</t>
  </si>
  <si>
    <t>Куличкова Кира Максимовна</t>
  </si>
  <si>
    <t>Перфоративный аппендицит. Распространённый перитонит. Операция 04.02.24. Лапароскопия, аппендэктомия, санация и дренирование бр. пол.</t>
  </si>
  <si>
    <t xml:space="preserve">Ивановский р-н, пос. Чернореченский, ул. </t>
  </si>
  <si>
    <t>Иваново Чапаева</t>
  </si>
  <si>
    <t>ЖКБ; ХЭ</t>
  </si>
  <si>
    <t>ЧМТ</t>
  </si>
  <si>
    <t>кострома. Мантурово</t>
  </si>
  <si>
    <t>дхо</t>
  </si>
  <si>
    <t>г. Иваново ул. Шошина, 13, 76</t>
  </si>
  <si>
    <t>Гастроэнтероколит аллергической природы</t>
  </si>
  <si>
    <t>Гацин Владислав Александрович</t>
  </si>
  <si>
    <t>Ивановская обл., г. Шуя, Комсомольская площадь, 15, 1</t>
  </si>
  <si>
    <t xml:space="preserve">Асфиксия. Пневмонит. </t>
  </si>
  <si>
    <t xml:space="preserve">Киселёва София Михайловна </t>
  </si>
  <si>
    <t>г. Иваново, ул. Першинская, 2, 40</t>
  </si>
  <si>
    <t>г. Москва, мкрн Московский, 2, 97</t>
  </si>
  <si>
    <t>Санина Мария Александровна</t>
  </si>
  <si>
    <t>Ивановская обл.</t>
  </si>
  <si>
    <t>Ивановская обл., г. Южа, ул. Фрунзе, дмвд 24/2</t>
  </si>
  <si>
    <t>Щербина Есенина Викторовна</t>
  </si>
  <si>
    <t>Ивановская обл</t>
  </si>
  <si>
    <t>Ивановская обл., г. Вичуга, ул. Ульяновская, 24/1, 31</t>
  </si>
  <si>
    <t>Фирстов Руслан Евгеньевич</t>
  </si>
  <si>
    <t>г. Иваново, ул. Станкостроителей, 6, 54</t>
  </si>
  <si>
    <t>Вальгусная деформация правого бедра. Операция 07.02.24: коррегирующая остеотомия правой бедренной кости.</t>
  </si>
  <si>
    <t>Харитонов Ярослав Алексеевич</t>
  </si>
  <si>
    <t>г. Иваново, мкрн Новая Ильинка, 32</t>
  </si>
  <si>
    <t>Энцефалит?</t>
  </si>
  <si>
    <t>Сергеев Арсений Ильич</t>
  </si>
  <si>
    <t>г.Южа, ул.Серп-Молот д. 66</t>
  </si>
  <si>
    <t>Термический ожог кипятком, 15%</t>
  </si>
  <si>
    <t>Троицкий Савелий Сергеевич</t>
  </si>
  <si>
    <t>г. Приволжск, ул. Фурманова, д. 75</t>
  </si>
  <si>
    <t>Термический ожог кипятком, 13%</t>
  </si>
  <si>
    <t>Яковенко Александр Андреевич</t>
  </si>
  <si>
    <t>г. Тейково., ул. Неделина , д. 3, кв. 41</t>
  </si>
  <si>
    <t>Бронхиолит</t>
  </si>
  <si>
    <t>Сироткина Дарья Андреевна</t>
  </si>
  <si>
    <t>г.Наоволоки, ул.Социалистическая, д. 1, кв. 16</t>
  </si>
  <si>
    <t>Поражение ЦНС (димиелинизирующий процесс?)</t>
  </si>
  <si>
    <t>Дущенко Злата Алексеевна</t>
  </si>
  <si>
    <t>Родники, ул. Рябикова 10</t>
  </si>
  <si>
    <t>Сахарный дабет</t>
  </si>
  <si>
    <t>Джалилова Аиша Абдуллаевна</t>
  </si>
  <si>
    <t>г. Шуя, ул. Заводская, д. 2, кв.63</t>
  </si>
  <si>
    <t>Левосторонняя субтотальная пневмония. Левосторонний гидроторакс</t>
  </si>
  <si>
    <t>Лунина Дарья Андреевна</t>
  </si>
  <si>
    <t>БЛД, энтероколит</t>
  </si>
  <si>
    <t>Погосян Марианна Мкртичовна</t>
  </si>
  <si>
    <t>Лежнево</t>
  </si>
  <si>
    <t>сахарный диабет, кетоацидоз</t>
  </si>
  <si>
    <t>Иваново, Неждановская</t>
  </si>
  <si>
    <t>торсионная деформация левого бедра</t>
  </si>
  <si>
    <t>Субботин Гордей Игоревич</t>
  </si>
  <si>
    <t>г. Иваново, ул. Революционная, 24, к4, 23</t>
  </si>
  <si>
    <t>ЗЧМТ. УГМ ср. ст. тяж. Перелом пр. теменной кости. Пластинчатая эпидуральная гематома. Кефалогематома. Синдром Вискотта-Олдрича.</t>
  </si>
  <si>
    <t>Жарикова Мария Сергеевна</t>
  </si>
  <si>
    <t xml:space="preserve">Ивановская обл., г. о. Кинешма, ул. Веснина, 19, 10 </t>
  </si>
  <si>
    <t>Дефект черепа. Носитель ВПШ. Операция 14.02.24: краниопластика.</t>
  </si>
  <si>
    <t>Ивановская обл., г. Шуя, ул. Советская, 25, 11</t>
  </si>
  <si>
    <t>Ущемлённая грыжа справа? ОКН. Крипторхизм справа. НМТ. Анемия недоношенных.</t>
  </si>
  <si>
    <t>г. Иваново, ул. 2-я Стременная, 6</t>
  </si>
  <si>
    <t>Несостоятельность гастростомы. ОПЦНС.</t>
  </si>
  <si>
    <t>Бибиков Савелий Александрович</t>
  </si>
  <si>
    <t>г.Иваново, ул. Ломоносова, д. 7, кв.6</t>
  </si>
  <si>
    <t>ЗЧМТ. Субдуральная гематома</t>
  </si>
  <si>
    <t>минская 83 кв 1</t>
  </si>
  <si>
    <t>стеноз гортани, пневмония</t>
  </si>
  <si>
    <t>Кузнецов Марк Артёмович</t>
  </si>
  <si>
    <t>Алоян Арина Сраповна</t>
  </si>
  <si>
    <t>Тихонова Елизавета Михайловна</t>
  </si>
  <si>
    <t>Грибовская Дина Юрьевна</t>
  </si>
  <si>
    <t>г. Иваново, пр. Ленина, 73</t>
  </si>
  <si>
    <t>Пневмония правосторонняя очаговая смешанного генеза. ДН 2-3 ст. ОПЦНС. Трахеостома. Гастростома.</t>
  </si>
  <si>
    <t>Ивановская обл., г. Приволжск, ул. 2 Мичуринская, 4</t>
  </si>
  <si>
    <t>Ивановская область</t>
  </si>
  <si>
    <t>Мозохина Анастасия Сергеевна</t>
  </si>
  <si>
    <t>г.Иваново, ул. Ташкентская, д.88Б, кв.72</t>
  </si>
  <si>
    <t>Пневмония внебольничная</t>
  </si>
  <si>
    <t>Мещаров Иван Алексеевич</t>
  </si>
  <si>
    <t>г. Иваново, ул. 3-я Чайковского, 1, 68</t>
  </si>
  <si>
    <t>Отравление неизвестным веществом? Синдром жестокого обращения? Психоз.</t>
  </si>
  <si>
    <t>Соколов Максим Андреевич</t>
  </si>
  <si>
    <t>г.Иваново ул.Панина 22</t>
  </si>
  <si>
    <t>Демихова Злата</t>
  </si>
  <si>
    <t>обструктивный бронхит</t>
  </si>
  <si>
    <t>токсикоаллергический дерматит</t>
  </si>
  <si>
    <t>кохма, ул ивановская 92-29</t>
  </si>
  <si>
    <t>Состояние после остетомии голени</t>
  </si>
  <si>
    <t>Молодова Доминика Алексеевна</t>
  </si>
  <si>
    <t>Фомина Анастасия Фёдоровна</t>
  </si>
  <si>
    <t>г.Иваново, ул.Кудряшова, 12А-59</t>
  </si>
  <si>
    <t>Ацетонемический криз</t>
  </si>
  <si>
    <t>Белова Татьяна Юрьевна</t>
  </si>
  <si>
    <t>г.Фурманов, ул.Тимирязева, 15-86</t>
  </si>
  <si>
    <t>Менингоэнцефалит</t>
  </si>
  <si>
    <t>Синявин Иван Александрович</t>
  </si>
  <si>
    <t>Романов Виктор Дмитриевич</t>
  </si>
  <si>
    <t>иваново</t>
  </si>
  <si>
    <t>перфоративных аппендицит,разлитой перитонит</t>
  </si>
  <si>
    <t>аппендицит, разлитой перитнит</t>
  </si>
  <si>
    <t>Русинова Александра Сергеевна</t>
  </si>
  <si>
    <t>Отравление лек. Средством</t>
  </si>
  <si>
    <t>Цыплова Анна Павловна</t>
  </si>
  <si>
    <t>Эпилепсия</t>
  </si>
  <si>
    <t>Голубева Вероника Андреевна</t>
  </si>
  <si>
    <t>г.Иваново, микрорайон ТЭЦ -3, д.11, кв. 59.</t>
  </si>
  <si>
    <t>Каримов Рахматуллох Мухсинович</t>
  </si>
  <si>
    <t>г.Иваново, 7 Березниковская, 89</t>
  </si>
  <si>
    <t>Остеомиелит правого плеча</t>
  </si>
  <si>
    <t>Авдеев Денис Алексеевич</t>
  </si>
  <si>
    <t>г.Иваново, ул.Мальцева 54-54</t>
  </si>
  <si>
    <t>Токсическое действие этанола</t>
  </si>
  <si>
    <t>О.аппендицит. О. панкреатит. Пневмония.</t>
  </si>
  <si>
    <t>ОПЦНС</t>
  </si>
  <si>
    <t>Козырева Анастасия Романовна</t>
  </si>
  <si>
    <t>Ивановская обл., г. Кохма, ул. Радужная, 1, 2</t>
  </si>
  <si>
    <t>Тонко-тонкокишечная инвагинация. СКН 2-3 ст. Поперечная лапаротомия, дезинвагинация 29.02.24.</t>
  </si>
  <si>
    <t>Иванцова Кристина Николаевна</t>
  </si>
  <si>
    <t>Кабутов Абубакар  Махмарузиевич</t>
  </si>
  <si>
    <t>Торсионная деформация нижних конечностей. Латерализация бугристостей большеберцовых костей. Реконструкция кости 27.02.24</t>
  </si>
  <si>
    <t>Салова Василиса Денисовна</t>
  </si>
  <si>
    <t>г. Иваново, ул. Маршала Василевского, 1, 35</t>
  </si>
  <si>
    <t>Шальнов Кирилл Романович</t>
  </si>
  <si>
    <t>Дрозд Алексей Михайлович</t>
  </si>
  <si>
    <t>г. Иваново, ул. Богдана Хмельницкого, 44к2, 34</t>
  </si>
  <si>
    <t>Сахарный диабет, впервые выявленный. Кетоацидоз.</t>
  </si>
  <si>
    <t>ОПЦНС, нижний парапарез</t>
  </si>
  <si>
    <t>ОПЦНС, пневмония</t>
  </si>
  <si>
    <t>Фокин Никита Валерьевич</t>
  </si>
  <si>
    <t>Ивановский р-н.д.Жуково 105</t>
  </si>
  <si>
    <t>Деформация грудной клетки, торакопластика</t>
  </si>
  <si>
    <t>Обухов Илья Романович</t>
  </si>
  <si>
    <t>Иваново Революционная 36 177</t>
  </si>
  <si>
    <t>бронхиальная астма, бронхообструктивный синдром</t>
  </si>
  <si>
    <t>Хаким Анна Шухруллаховна</t>
  </si>
  <si>
    <t>Ивоново Куконковых 130-11</t>
  </si>
  <si>
    <t>миостения</t>
  </si>
  <si>
    <t>Павлова А.Д</t>
  </si>
  <si>
    <t xml:space="preserve">МОС бедра </t>
  </si>
  <si>
    <t>Абдул Хаким Анна Шухруллаховна</t>
  </si>
  <si>
    <t>г. Иваново, ул. Куконковых, 130, 11</t>
  </si>
  <si>
    <t>СМА 1 тип</t>
  </si>
  <si>
    <t>Ивановская обл., г. Фурманов, ул. Тимирязева, 15, 86</t>
  </si>
  <si>
    <t>Сочетанная травма, перелом голени, ЗЧМТ, сотрясение головного мозга</t>
  </si>
  <si>
    <t>Пузанова Алиса Владимировна</t>
  </si>
  <si>
    <t>Куракина Анна Юрьевна</t>
  </si>
  <si>
    <t>Ивановская обл., Приволжский р-н, с. Ингарь, ул. Полевая, 11</t>
  </si>
  <si>
    <t>БЛД недоношенных, среднетяжёлое течение. ДН 0-1 ст. Анемия ср. ст. тяж.</t>
  </si>
  <si>
    <t>Глушков Даниид Артьемьевич</t>
  </si>
  <si>
    <t>Струнникова Марьяна Кирилловна</t>
  </si>
  <si>
    <t xml:space="preserve">г. Иваново, м-он ТЭЦ 3, д. 10, кв.2 </t>
  </si>
  <si>
    <t>Шувалова Алёна Анатольевна</t>
  </si>
  <si>
    <t>г. Кохма, ул. Ивановская, д. 73, к.3, кв. 36</t>
  </si>
  <si>
    <t xml:space="preserve">Отравление неизвестным веществом. </t>
  </si>
  <si>
    <t>Кузнецова Юлия Евгеньевна</t>
  </si>
  <si>
    <t>г. Вичуга, ул. Покровского, д. 17, кв. 55</t>
  </si>
  <si>
    <t>Сочетанная травма</t>
  </si>
  <si>
    <t>Коротков Роман Андреевич</t>
  </si>
  <si>
    <t>Ивановская обл., Ивановский р-н, с. Ново-Талицы, ул. Новинская, 27, 2</t>
  </si>
  <si>
    <t>Отравление неуточнённым веществом</t>
  </si>
  <si>
    <t>Опухоль 3го желудочка. НВД. Менингоэнцефалит.</t>
  </si>
  <si>
    <t>Леонов Дмитрий Алексеевич (неизвестный мальчик)</t>
  </si>
  <si>
    <t>г. Иваново, ул. Кудряшова, 108, 95</t>
  </si>
  <si>
    <t xml:space="preserve">Отравление неизвестным веществом тяж. Ст. Кома 1. </t>
  </si>
  <si>
    <t>Хим ожог пищевода (батарейка)</t>
  </si>
  <si>
    <t>Фоменко Ксения Назарьевна</t>
  </si>
  <si>
    <t>г. Иваново, ул. Дзержинского, 20, 155</t>
  </si>
  <si>
    <t>Пневмония внебольничная очаговая аспирационная. ДН 0-1 ст.</t>
  </si>
  <si>
    <t>Белянин Артемий Сергеевич</t>
  </si>
  <si>
    <t>Строганова Виктория Максимовна</t>
  </si>
  <si>
    <t>Торисионная деформация н. конечностей</t>
  </si>
  <si>
    <t>Белкин Семен Александрович</t>
  </si>
  <si>
    <t>г. Иваново, 1-ая Новаторская, 21</t>
  </si>
  <si>
    <t>Срединная лапаротомия, ликвидация кишечнойнепроходимости, аппендэктомия</t>
  </si>
  <si>
    <t>Гарин Данила Александрович</t>
  </si>
  <si>
    <t>г. Иваново, ул. Зверева, 17, 82</t>
  </si>
  <si>
    <t>Электротравма. ОКИ.</t>
  </si>
  <si>
    <t>Саидов Хасан Аслиддинович</t>
  </si>
  <si>
    <t>г. Иваново, ул Генерала Хлебникова, 42, 31</t>
  </si>
  <si>
    <t>Пневмония внебольничная, двусторонняя. ДН 1-2 ст.</t>
  </si>
  <si>
    <t>Ивановская обл., г. Кинешма, ул. Полины Осипенко, 79</t>
  </si>
  <si>
    <t>Беляев Денис Дмитриевич</t>
  </si>
  <si>
    <t>ОПЦНС.Пневмония справа.ДН 3 ст.</t>
  </si>
  <si>
    <t>Сахидад Юсуф Халедович</t>
  </si>
  <si>
    <t>г. Иваново, мкрн ДСК, 5, 13</t>
  </si>
  <si>
    <t>Острый бронхиолит. Пневмония справа. ДН 3.</t>
  </si>
  <si>
    <t>Шитов Алексей Иванович</t>
  </si>
  <si>
    <t>Пневмонии двусторонняя, обструктивный синдром</t>
  </si>
  <si>
    <t>Иваново, ул Попова</t>
  </si>
  <si>
    <t>Шуя пос. Южный</t>
  </si>
  <si>
    <t>Сах. Диабет кетацидоз</t>
  </si>
  <si>
    <t>Кучина Арина Альбертовна</t>
  </si>
  <si>
    <t>Г.Шуя , ул. Металлистов 1-я, д 1А</t>
  </si>
  <si>
    <t>Прохорова Полина Александровна</t>
  </si>
  <si>
    <t>БЛД, анемия</t>
  </si>
  <si>
    <t>г. Иваново, мкрн. ТЭЦ 3, д.11, кв. 59</t>
  </si>
  <si>
    <t>Трофимова Александра Евгеньевна</t>
  </si>
  <si>
    <t>г. Иваново, Шереметьевский проспект д. 151, кв. 15</t>
  </si>
  <si>
    <t>БЛД. Недоношенность 25 недель.</t>
  </si>
  <si>
    <t>Путцев Матвей Алексеевич</t>
  </si>
  <si>
    <t>г. Шуя, ул. 11-я Мичуринская д.4</t>
  </si>
  <si>
    <t>Внебольничная пневмония</t>
  </si>
  <si>
    <t>Николашин Никита Александрович</t>
  </si>
  <si>
    <t>Вичуга п ново -писцово</t>
  </si>
  <si>
    <t>Тупая травма живота, разрвыв мочевого пузыря, геморрагический шок2</t>
  </si>
  <si>
    <t>Хим. Ожог пищевода</t>
  </si>
  <si>
    <t>Герасимова Варвара Павловна</t>
  </si>
  <si>
    <t>Иваново, ул. Генерала Хлебникова, 3, 33</t>
  </si>
  <si>
    <t>Иванович Эльвира Онисеевна</t>
  </si>
  <si>
    <t>Ивановская обл., Ивановский р-н, д. Крутово, 50</t>
  </si>
  <si>
    <t>Внебольничная в/долевая пневмония справа. Бронхообструктивный синдром. ДН 2-3 ст.</t>
  </si>
  <si>
    <t>Ботвин Никита Вячеславович</t>
  </si>
  <si>
    <t>Иванов Ярослав Павлович</t>
  </si>
  <si>
    <t>Ивановская обл., г. Приволжск, ул. Б. Московская, 8, 118</t>
  </si>
  <si>
    <t>ЗЧМТ. УГМ ср. ст. тяж. Со сдавлением головного мозга острой субдуральной гематомой в правой теменной области.</t>
  </si>
  <si>
    <t>г. Вичуга, ул. Циолковского, 23</t>
  </si>
  <si>
    <t>г. Иваново, ул. Сакко, 48, 26</t>
  </si>
  <si>
    <t>Образование головного мозга. Окклюзионная гидроцефалия. Носитель НВД. Вентрикулит.</t>
  </si>
  <si>
    <t>Князева Дарья Алексеевна</t>
  </si>
  <si>
    <t>г. Иваново, мкрн Самоцветы, 2, 33</t>
  </si>
  <si>
    <t>Отравление стиральным порошком. Хим. Ожог ротоглотки, пищевода.</t>
  </si>
  <si>
    <t>Ивановский р-н, с. Калачово, ул. Вишнёвая, 1</t>
  </si>
  <si>
    <t>ОПЦНС. Пневмония. Трахеоканюляр. ДН 2-3 ст.</t>
  </si>
  <si>
    <t>Соколова Варвара Алексеевна</t>
  </si>
  <si>
    <t>г. Иваново, ул. Полка Нормандия-Неман, 61, 7</t>
  </si>
  <si>
    <t>Врождённая анемия. НМТ. ВПС. ППЦНС.</t>
  </si>
  <si>
    <t>Кравченко Елизавета Александровна</t>
  </si>
  <si>
    <t>г.Иваново, ул. Кузнецова д.8, кв. 251</t>
  </si>
  <si>
    <t>Острое отравление нейролептиками</t>
  </si>
  <si>
    <t>Вичуга Урицкого 19/1</t>
  </si>
  <si>
    <t>анемия</t>
  </si>
  <si>
    <t>Шуя, Вокзальная</t>
  </si>
  <si>
    <t>Сочет. Травма. ОЧМТ</t>
  </si>
  <si>
    <t>Терехов А.А.</t>
  </si>
  <si>
    <t>Иваново, 1-Подъельниковская 26</t>
  </si>
  <si>
    <t>отравление транквилизторами</t>
  </si>
  <si>
    <t>Красильникова Екатерина Ивановна</t>
  </si>
  <si>
    <t>Самойлова Алина Денисовна</t>
  </si>
  <si>
    <t>г. Иваново, ул. Шубиных, 11, 71</t>
  </si>
  <si>
    <t xml:space="preserve">Кататтравма. Сочетанная травма. ЗЧМТ. Ушиб головного мозга лёгкой ст. тяж. Ушибленная рана подбородка. ЗПСТ. З/компрессионный перелом тел Th6, Th9, L1-позвонков. ЗТГК. Ушиб лёгких лёгкой ст. Ушиб сердца? Тупая травма живота. Ушиб передней брюшной стенки. Тр. шок 1 ст. </t>
  </si>
  <si>
    <t xml:space="preserve">Лебедева Полина Михайловна </t>
  </si>
  <si>
    <t>Торсионная деформация нижних конечностей. Реконструкция кости 29.02.24</t>
  </si>
  <si>
    <t>кинешма менделеева д 7</t>
  </si>
  <si>
    <t>Опухоль ГМ. Гидроцефалия</t>
  </si>
  <si>
    <t>Наметкина</t>
  </si>
  <si>
    <t>Шуя</t>
  </si>
  <si>
    <t>пневмония? Бронхиолит</t>
  </si>
  <si>
    <t>иваново, большая воробьевская 16-100</t>
  </si>
  <si>
    <t>Ибронова Хадича Хабибуллохевна</t>
  </si>
  <si>
    <t>г.Иваново, ул.Б.Хмельницкого, 95-30</t>
  </si>
  <si>
    <t>Хим.ожог пищевода</t>
  </si>
  <si>
    <t>Фоменко Роман Владиславович</t>
  </si>
  <si>
    <t>г. Иваново, мкр-н ТЭЦ-3, д.17А, кв. 103</t>
  </si>
  <si>
    <t>Отравление неизвестным веществом</t>
  </si>
  <si>
    <t>Кабанова Евгения Альбертовна</t>
  </si>
  <si>
    <t>Ивановская обл., г. Шуя, ул. Моховая, 26</t>
  </si>
  <si>
    <t>Анорексия</t>
  </si>
  <si>
    <t>Желаева Арина Алексеевна</t>
  </si>
  <si>
    <t>г. Иваново, ул. Калинцева, 9, 55</t>
  </si>
  <si>
    <t>Гнойный гемисинусит. Менингит. Пневмония справа.</t>
  </si>
  <si>
    <t>Шиков Иван Дмитриевич</t>
  </si>
  <si>
    <t>г.Иваново, ул. Революционная д.24, кв.113</t>
  </si>
  <si>
    <t>Сахарный диабет 1 типа. Фаза кетоацидоза</t>
  </si>
  <si>
    <t>Рудаков Алексей Сергеевич</t>
  </si>
  <si>
    <t>г. Иваново, ул. Дюковская д. 19, кв.25</t>
  </si>
  <si>
    <t>Карпова (девочка)</t>
  </si>
  <si>
    <t>г. Иваново, ул. Чайковского д.31, кв.52</t>
  </si>
  <si>
    <t>ВПР: spina bifida</t>
  </si>
  <si>
    <t>Гнойный гемисинусит. Эмпиема ГМ.</t>
  </si>
  <si>
    <t>Агеев Фёдор Михайлович</t>
  </si>
  <si>
    <t>г. Иваново, Кохомское шоссе, д. 15, кв.157</t>
  </si>
  <si>
    <t>ВУИ. Гипоксически-геморрагическое поражение ГМ.</t>
  </si>
  <si>
    <t>г. Иваново, ул. Куконковых д.130, кв.11</t>
  </si>
  <si>
    <t>Романюк Матвей Ильич</t>
  </si>
  <si>
    <t>г. Иваново, ул. Лежневская д.136, кв.5</t>
  </si>
  <si>
    <t>Тромбоцитопения вторичная</t>
  </si>
  <si>
    <t>Лаврухина Алеся Евгеньевна</t>
  </si>
  <si>
    <t>Острое почечное повреждение?</t>
  </si>
  <si>
    <t>Михеев Максим Витальевич</t>
  </si>
  <si>
    <t>ТТЖ. Разрыв селезенки?</t>
  </si>
  <si>
    <t>ТТЖ. Разрыв селезенки. Состояние после санации и дренирования брюшной полости. Спленэктомия.</t>
  </si>
  <si>
    <t>Мельников Лев Романович</t>
  </si>
  <si>
    <t>Пилоростеноз</t>
  </si>
  <si>
    <t>Горбовский Сергей Александрович</t>
  </si>
  <si>
    <t>Иваново,пр.Текстильщиков,,38-10</t>
  </si>
  <si>
    <t>Эпистатус</t>
  </si>
  <si>
    <t>Горелов Пётр Романович</t>
  </si>
  <si>
    <t>Ивановская обл., Заволжский р-н, с. Воздвиженье, ул. Молодёжная, 8</t>
  </si>
  <si>
    <t>Ушиб поджелудочной железы</t>
  </si>
  <si>
    <t>Ершова Анастасия Владиславовна</t>
  </si>
  <si>
    <t>Ивановская обл., г. Вичуга, ул. Московская, 6</t>
  </si>
  <si>
    <t>Ковалёв Матвей Павлович</t>
  </si>
  <si>
    <t>Ивановская обл., г. Кинешма, ул. Менделеева, 58, 101</t>
  </si>
  <si>
    <t>Отравление метадоном тяж. Ст.</t>
  </si>
  <si>
    <t>Курьянов Алексей Дмитриевич</t>
  </si>
  <si>
    <t>г. Иваново, ул. Кудряшова, 4, 127</t>
  </si>
  <si>
    <t>Отравление карбамазепином</t>
  </si>
  <si>
    <t>г. Иваново, Кохомское шоссе, д. 16, кв. 84</t>
  </si>
  <si>
    <t>Ивановская обл., г. Кинешма, ул. Можайского, 6/5</t>
  </si>
  <si>
    <t>Ивановская обл., г. Фурманов, ул. Социалистический посёлок, 45, 2</t>
  </si>
  <si>
    <t>Панченко София Павловна</t>
  </si>
  <si>
    <t>Ивановская обл., Шуйский р-н, с. Введенье, ул. Фабричный двор, 3. 5</t>
  </si>
  <si>
    <t>Погодин Даниил Денисович</t>
  </si>
  <si>
    <t>Перфоративный аппендицит. Распространённый перитонит. Операция 07.04.24. Лапароскопия, аппендэктомия, санация и дренирование бр. пол.</t>
  </si>
  <si>
    <t>Ивановская обл., г. Кинешма, ул. Красноветкинская, 21а, 57</t>
  </si>
  <si>
    <t>Рябикова Алёна Олеговна</t>
  </si>
  <si>
    <t>Ивановская обл., г. Приволжск, ул. Б. Хмельницкого, 2, 21</t>
  </si>
  <si>
    <t xml:space="preserve">Острый нефритический синдром. Пневмония. Экссудативный перикардит. </t>
  </si>
  <si>
    <t>Сироткин Всеволод Владимирович</t>
  </si>
  <si>
    <t>Отравление баклосаном и алкоголем тяж. Ст.</t>
  </si>
  <si>
    <t>г. Иваново, пер. Ярмарочный, 8, 6</t>
  </si>
  <si>
    <t>Ху-шу-ун Олег Сергеевич</t>
  </si>
  <si>
    <t>г. Иваново, ул. 4 Первомайская, 27/4, 7</t>
  </si>
  <si>
    <t>Сочетанная травма. ЗЧМТ. УГМ ср. ст. тяж. П-м теменной и височной костей слева. ЗТГК. Ушиб гр. Кл. ТТЖ. Ушиб бр. Ст. Ушиб пр. плеч. Сустава.</t>
  </si>
  <si>
    <t>Чистов Максим Александрович</t>
  </si>
  <si>
    <t>Карлышев</t>
  </si>
  <si>
    <t>Белов Кирилл</t>
  </si>
  <si>
    <t>Платова Дарья</t>
  </si>
  <si>
    <t>Аллахвердян Алина Артуровна</t>
  </si>
  <si>
    <t>г. Иваново, ул. Красных Зорь, 1, 157</t>
  </si>
  <si>
    <t>Воронин Фёдор Алексеевич</t>
  </si>
  <si>
    <t>г. Иваново, мкрн. Новая Ильинка, 34</t>
  </si>
  <si>
    <t>Саркома переднего средостения. Гидроторакс. Гидроперикард. Двусторонняя пневмония.</t>
  </si>
  <si>
    <t xml:space="preserve">Якушин Антон Олегович </t>
  </si>
  <si>
    <t>Ивановская обл., Ильинский р-н, с. Аньково, ул. Советская, 103, 8</t>
  </si>
  <si>
    <t>Острый аппендицит. Распространённый перитонит. Лапароскопическая аппендэктомия, санация и дренирование брюшной полости 17.04.24</t>
  </si>
  <si>
    <t>Мухров Матвей Ильич</t>
  </si>
  <si>
    <t>Ивановская обл. г. Шуя, Южное шоссе д6, кв.9</t>
  </si>
  <si>
    <t>Некротизирующий энтероколит к плода и новорожденного</t>
  </si>
  <si>
    <t>Крымов Даниил Ильич</t>
  </si>
  <si>
    <t>Иваново Строителей 77-22</t>
  </si>
  <si>
    <t>Грошева Алина Ивановна</t>
  </si>
  <si>
    <t>Иваново Громобоя 13-16</t>
  </si>
  <si>
    <t>Степанова Диана Андреевна</t>
  </si>
  <si>
    <t>Иваново Б.Хмельницкого 13-16</t>
  </si>
  <si>
    <t>Петрачков Дмитрий Александрович</t>
  </si>
  <si>
    <t>Иваново Кавалерийская 52 71</t>
  </si>
  <si>
    <t>ЗЧМТ сотрясение, состояние после эпиприпадка?</t>
  </si>
  <si>
    <t>Пневмония</t>
  </si>
  <si>
    <t>г. Вичуга ул Ульяновская 24/1</t>
  </si>
  <si>
    <t>кохма, владимирская, 33</t>
  </si>
  <si>
    <t>инородное тело</t>
  </si>
  <si>
    <t>Розанов Арсений Павлович</t>
  </si>
  <si>
    <t>г. Кинешма ул Пионерская д10 кв34</t>
  </si>
  <si>
    <t>пилоростеноз</t>
  </si>
  <si>
    <t>ППЦНС.САК,ДН</t>
  </si>
  <si>
    <t>Киселева Ева Денисовна</t>
  </si>
  <si>
    <t>Фурманов Жуковского  17-28</t>
  </si>
  <si>
    <t>термический ожог</t>
  </si>
  <si>
    <t>Горбунов Никита Михайлович</t>
  </si>
  <si>
    <t>г. Иваново, Бакинский пр-д, 92, 47</t>
  </si>
  <si>
    <t>Худобородова Виталина Дмитриевна</t>
  </si>
  <si>
    <t>Устинин Максим Максимович</t>
  </si>
  <si>
    <t>г. Иваново, 30й мкрн, 53, 40</t>
  </si>
  <si>
    <t>Смирнов Даниил Алексеевич</t>
  </si>
  <si>
    <t>г. Кинешма, ул. Хользунова, 33</t>
  </si>
  <si>
    <t xml:space="preserve">Сахарный диабет. Кетоацидоз. </t>
  </si>
  <si>
    <t>Хушвахтов Ислам Газалшоевич</t>
  </si>
  <si>
    <t>Тейковский район с Елховка Юбилейная 3</t>
  </si>
  <si>
    <t>Сочетанная травма, ЗЧМТ сотрясение головного мозга ЗТГК,Ушиб грудной стенки, ушиб передней брюшной стенки</t>
  </si>
  <si>
    <t>Симоненко Ильяна Ильинична</t>
  </si>
  <si>
    <t>г. Иваново, ул. 4-я Сосневская, д.44А</t>
  </si>
  <si>
    <t>Острый лимфобластный лейкоз?</t>
  </si>
  <si>
    <t>Долотова Ульяна Ильинична</t>
  </si>
  <si>
    <t>Шуя,ул.Кооперативная 21-19</t>
  </si>
  <si>
    <t>ОЧМТ, ушиб головного мозга</t>
  </si>
  <si>
    <t>Сидорин Роберт Александрович</t>
  </si>
  <si>
    <t>1я Балинская, д 70</t>
  </si>
  <si>
    <t>Термический ожог 1-2 степени, S- 30%</t>
  </si>
  <si>
    <t>Парфенова Екатерина Викторовна</t>
  </si>
  <si>
    <t>Шуя, ул. Баликова, д 96</t>
  </si>
  <si>
    <t>СД 1 типа, стадия кетоацидоза</t>
  </si>
  <si>
    <t>Колпащиков Максим Сергеевич</t>
  </si>
  <si>
    <t>Кинешемский р-он, п. Станко д.4, кв.37</t>
  </si>
  <si>
    <t>Тупая травма живота.</t>
  </si>
  <si>
    <t>Шахвердян Алекс Гегамович</t>
  </si>
  <si>
    <t>Шуя, ул.Кооперативная, 49-78</t>
  </si>
  <si>
    <t>Инородное тело тощей кишки, лапаротомия</t>
  </si>
  <si>
    <t>Жукова Милана Андреевна</t>
  </si>
  <si>
    <t>Иваново Ташкенская 65-4</t>
  </si>
  <si>
    <t>Сочетанная кататравмаЗЧМТ, сотрясение головного мозгаЗТГК, ушиб грудной клетки, ушиб передней брюшной стенкиЗакрытый оскольчатый нестабильный перелом тела 12 грудного позвонка с повреждением спинного мозга нижняя параплегия травматический шок 1-2</t>
  </si>
  <si>
    <t>Лукьянов Олег Олегович</t>
  </si>
  <si>
    <t>Шуя, ул Демьяна Бедного 117</t>
  </si>
  <si>
    <t>Ушков Семён Васильевич</t>
  </si>
  <si>
    <t>г.Шуя, мкр.Афанасьево, 13А-2</t>
  </si>
  <si>
    <t>Березин Даниил Дмитриевич</t>
  </si>
  <si>
    <t>г. Кохма ул 1 мая д 10</t>
  </si>
  <si>
    <t>Исаева Ангелина Владимировна</t>
  </si>
  <si>
    <t>Иваново 2я нагоорная д 20</t>
  </si>
  <si>
    <t>отравление парацетамолом</t>
  </si>
  <si>
    <t>Осипов Артем Александрович</t>
  </si>
  <si>
    <t>Шуя ул.Игнатия Волкова 15</t>
  </si>
  <si>
    <t>Термический ожог 15%</t>
  </si>
  <si>
    <t>Долгов Евгений Алексеевич</t>
  </si>
  <si>
    <t>п. Верхний Ландех, ул. Октябрьская, д. 13</t>
  </si>
  <si>
    <t>Баатыров Таасир Баатырович</t>
  </si>
  <si>
    <t xml:space="preserve">Сочетанная кататравма. Ушибленная рана лобной области. ОЧМТ. Ушиб головного мозга тяжелой степени. ДАП. Отек головного мозга. ЗГТ. Ушиб легких. Травматический шок 1 степени. </t>
  </si>
  <si>
    <t xml:space="preserve">Хуркин Артем Андреевич </t>
  </si>
  <si>
    <t xml:space="preserve">г. Иваново, Погрничный пер. 26-29 </t>
  </si>
  <si>
    <t>Саинский район, п. Савино, ул. Первомайская 21-7</t>
  </si>
  <si>
    <t>ЯБДПК</t>
  </si>
  <si>
    <t>Лисихина Полина Георгиевна</t>
  </si>
  <si>
    <t>г. Иавново, мкр Московский 21-187</t>
  </si>
  <si>
    <t>Эпилепсия фокальная неуточненная. Дегенеративное заболевание ЦНС. Аутоимунный энцефалит?</t>
  </si>
  <si>
    <t>Данилов Михаил Алексеевич</t>
  </si>
  <si>
    <t>г.Палех, ул.Маяковского, 56</t>
  </si>
  <si>
    <t>Галимзянов Михаил Максимович</t>
  </si>
  <si>
    <t>г.Иваново, ул.Лежневская, 211-93</t>
  </si>
  <si>
    <t>Величко Максим Васильевич</t>
  </si>
  <si>
    <t>г. Кохма, ул. Коллективная д. 14</t>
  </si>
  <si>
    <t>Рубцовый стеноз привратника</t>
  </si>
  <si>
    <t>Соколов Владимир Александрович</t>
  </si>
  <si>
    <t>Тейковский р-н, д. Федино, д. 16</t>
  </si>
  <si>
    <t>Болезнь Кавасаки</t>
  </si>
  <si>
    <t>Острое бытовое отравление этанолом</t>
  </si>
  <si>
    <t>Белянин Евгений Игоревич</t>
  </si>
  <si>
    <t>Ивановский р-н, д.Конохово, ул.Нежная, 19</t>
  </si>
  <si>
    <t>Термический ожог кипятком</t>
  </si>
  <si>
    <t>г.Брянск, ул.Октябрьская,д.16, ком.423</t>
  </si>
  <si>
    <t>Михальчук Кирилл Викторович</t>
  </si>
  <si>
    <t>Открытая рана голени</t>
  </si>
  <si>
    <t>Барулина Анастасия Максимовна</t>
  </si>
  <si>
    <t>Ивановская обл., г. Приволжск, Станционный проезд, 16а, 35</t>
  </si>
  <si>
    <t>Иваново, Кудряшова 82</t>
  </si>
  <si>
    <t>Острый живот; Кетонурия</t>
  </si>
  <si>
    <t>Сидорова Варвара Сергеевна</t>
  </si>
  <si>
    <t>Иваново, Кохомское шоссе, 7</t>
  </si>
  <si>
    <t>Отравление таблетками теопек и алкоголем</t>
  </si>
  <si>
    <t>Зайцев Ярослав Сергеевич</t>
  </si>
  <si>
    <t>Иваново, Шереметевский пр., 153-100</t>
  </si>
  <si>
    <t>Отравление ингаляционным наркотическим веществом</t>
  </si>
  <si>
    <t>Цаллаев Марат Артурович</t>
  </si>
  <si>
    <t>г. Иваново, ул. Красных Зорь, 25, 143</t>
  </si>
  <si>
    <t>Отравление неизвестным веществом тяж. ст.</t>
  </si>
  <si>
    <t>Комаров Егор Эдуардович</t>
  </si>
  <si>
    <t>г. Фурманов ул Хлебникова кв41</t>
  </si>
  <si>
    <t>Термический + химический ожог</t>
  </si>
  <si>
    <t>Подрезов Никита Петрович</t>
  </si>
  <si>
    <t>г. Фурмонов ул Хлебникова д 22 кв28</t>
  </si>
  <si>
    <t>Термический +  химический ожог</t>
  </si>
  <si>
    <t>Комсомольский р-н с Писцово ул Больничная 1-я д8</t>
  </si>
  <si>
    <t>Ефимов Андрей Дмитриевич</t>
  </si>
  <si>
    <t>Катло Валид</t>
  </si>
  <si>
    <t>ЗЧМТ СГМ</t>
  </si>
  <si>
    <t>Травма связочного аппарата левого голенного сустава. Состояние после артроскопии левого коленного сустава. Злокачесвенная гипертермия высванная анестетиками</t>
  </si>
  <si>
    <t>Смуров Сергей Алексеевич</t>
  </si>
  <si>
    <t>Марков Роман Сергеевич</t>
  </si>
  <si>
    <t>Вторичный (отогенный) менингит.</t>
  </si>
  <si>
    <t>Новиков Данила Михайлович</t>
  </si>
  <si>
    <t>Иваново, Сакко, 63</t>
  </si>
  <si>
    <t>Отравление суррогатаи алкоголя</t>
  </si>
  <si>
    <t>Сочетанная травма, ЗЧМТ, СГМ, перелом с/3 правого бедра</t>
  </si>
  <si>
    <t>г. Шуя, ул. Игнатия Водкова д.15</t>
  </si>
  <si>
    <t>Термический ожог</t>
  </si>
  <si>
    <t>г. Вичуга ул Ульяновская 24/1, кв 31</t>
  </si>
  <si>
    <t>Гастроэзофагеальный рефлюкс с эзофагитом</t>
  </si>
  <si>
    <t>Савёнкова Алина Анатольевна</t>
  </si>
  <si>
    <t>Соколов Александр Дмитриевич</t>
  </si>
  <si>
    <t xml:space="preserve">БЛД  недоношенных. Ретинопатия недоношенных </t>
  </si>
  <si>
    <t>Вичугский р-н, д. Волково, 15-1</t>
  </si>
  <si>
    <t xml:space="preserve">Грибкова София Артемовна </t>
  </si>
  <si>
    <t>кинешемский р-он, д. Дьячево, ул. Садовая 17а</t>
  </si>
  <si>
    <t>менингоэнцефалит?</t>
  </si>
  <si>
    <t>Костенкова Валентина Александровна</t>
  </si>
  <si>
    <t>Острое бытовое отравление таблетками галоперидола</t>
  </si>
  <si>
    <t>Хохлов Матвей Андреевич</t>
  </si>
  <si>
    <t>Дисфункция шунта?</t>
  </si>
  <si>
    <t xml:space="preserve">г. Вичуга, ул. Циолковского, </t>
  </si>
  <si>
    <t>ППЦНС, пневмония</t>
  </si>
  <si>
    <t>г. Иваново, ул. Кудряшова, 121, 31</t>
  </si>
  <si>
    <t>Ивановская обл., г. Вичуга, ул. Старовичугская, 9</t>
  </si>
  <si>
    <t>г. Иваново, ул. Тимирязева, 43, 10</t>
  </si>
  <si>
    <t>Ивановская обл., п. Лух, ул. Комсомольская, 9</t>
  </si>
  <si>
    <t>Ивановская обл., п. Лежнево, ул. Центральная, 61</t>
  </si>
  <si>
    <t>г. Иваново, ул. 5-я Первомайская, 24, 2</t>
  </si>
  <si>
    <t>Хим ожог ротовой полости</t>
  </si>
  <si>
    <t>Волков Илья Алексеевич</t>
  </si>
  <si>
    <t>Иваново, ул. Дюковская</t>
  </si>
  <si>
    <t>Открытый проникающий перелом 1 плюсневой кости</t>
  </si>
  <si>
    <t>Коваленко Вероника Станиславовна</t>
  </si>
  <si>
    <t>Болезнь Крона?, разлитой перитонит</t>
  </si>
  <si>
    <t>Курочкина Мария Михайловна</t>
  </si>
  <si>
    <t>г. Иваново, Кохма</t>
  </si>
  <si>
    <t>Перелом бедра, МОС</t>
  </si>
  <si>
    <t>п. Лежнево, Ивановская области</t>
  </si>
  <si>
    <t>ОЧМТ, перелом основания черепа</t>
  </si>
  <si>
    <t>Пономарева Ирина Павловна</t>
  </si>
  <si>
    <t>Балалуева Алиса Дмитриевна</t>
  </si>
  <si>
    <t>г. Иваново, пер. Азовский, 5</t>
  </si>
  <si>
    <t>Простой бронхит. Пневмония? Анемия.</t>
  </si>
  <si>
    <t>Иванова Татьяна Александровна</t>
  </si>
  <si>
    <t>Респ. Чувашия, Мариинско-Посадский м. о., с. Бичурово, ул. Новая, 2, 3</t>
  </si>
  <si>
    <t>Анемия</t>
  </si>
  <si>
    <t>СергеевЭмиль Антонович</t>
  </si>
  <si>
    <t>Жаренов Тимофей Алексеевич</t>
  </si>
  <si>
    <t>Острый лимфобластный лейкоз</t>
  </si>
  <si>
    <t>Гладин Александр Евгеньеич</t>
  </si>
  <si>
    <t>г. Иваново, ул. Революционная, 16, 106</t>
  </si>
  <si>
    <t>ЗЧМТ, ущиб легких</t>
  </si>
  <si>
    <t>г. Иваново, ул. Кудряшова, 42</t>
  </si>
  <si>
    <t>г. Иваново</t>
  </si>
  <si>
    <t>Царьков Никита Андреевич</t>
  </si>
  <si>
    <t>Агапов Максим Михайлович</t>
  </si>
  <si>
    <t>г. Кохма, ул. Ивановская, 69/3, 45</t>
  </si>
  <si>
    <t>Алёшин Владимир Сергеевич</t>
  </si>
  <si>
    <t>г. Иваново, ул. 8 Березниковская, 18</t>
  </si>
  <si>
    <t>Острый интерстициальный нефрит.</t>
  </si>
  <si>
    <t>Эркаева Сафира Отабековна</t>
  </si>
  <si>
    <t>г. Тейково, ул. Песчаная д.13</t>
  </si>
  <si>
    <t>Полинейропатия?</t>
  </si>
  <si>
    <t>Колёскин Артем Дмитриевия</t>
  </si>
  <si>
    <t>Чалова Ярослава Дмитриевна</t>
  </si>
  <si>
    <t>г. Иваново, ул. Уточная, 25</t>
  </si>
  <si>
    <t>Соколов Данила Максимович</t>
  </si>
  <si>
    <t>Закрытый эпифизеолиз мыщелков правого бедрасо смещением отломков</t>
  </si>
  <si>
    <t>Григорьев Иван Александрович</t>
  </si>
  <si>
    <t>Юрьевецкий район, с.п. Соболевское, д. Гарь, Ул. Почтовая д2</t>
  </si>
  <si>
    <t>Тупая травма живота, разрыв почки</t>
  </si>
  <si>
    <t>Почкин Матвей Антонович</t>
  </si>
  <si>
    <t>г.Иваново, ул.Маршала Василевского, 2-27</t>
  </si>
  <si>
    <t>Яковлева Марьяна Алиевна</t>
  </si>
  <si>
    <t>Ивановская обл., г. Родники, ул. Маяковского, д.1, кв.35</t>
  </si>
  <si>
    <t>Хроническая обструктивная легочная болезнь неуточненная</t>
  </si>
  <si>
    <t>южский район  молодежная 10</t>
  </si>
  <si>
    <t>Ивново переулок силикатный 44-23</t>
  </si>
  <si>
    <t xml:space="preserve">Электротравма. </t>
  </si>
  <si>
    <t>ОЧМТ</t>
  </si>
  <si>
    <t>Инородное тело тонкой кишки, лапаротомия</t>
  </si>
  <si>
    <t>вичуга Покровская 28-81</t>
  </si>
  <si>
    <t>переломы костей бедра, травматический шок</t>
  </si>
  <si>
    <t>Новообразование головного мозга</t>
  </si>
  <si>
    <t>Ив. Облс. Шуйский район Поселок Коробова, ул фабричная 224/15</t>
  </si>
  <si>
    <t>Отравление ссурогатами алкоголя</t>
  </si>
  <si>
    <t>г.Иваново ул.Шуйская 13</t>
  </si>
  <si>
    <t>Г.Иваново Ул. Пушкина д2-14</t>
  </si>
  <si>
    <t>Макарова Есения Андреевна</t>
  </si>
  <si>
    <t>Кохма Ивановская 71-179</t>
  </si>
  <si>
    <t>ЗЧМТ,головного мозга средней степени тяжести. Закрытый линейный перелом правой теменной области Субдуральная гематома</t>
  </si>
  <si>
    <t>Ушанова Мария Алексеевна</t>
  </si>
  <si>
    <t>г Иваново ул 8-я меланжевая д4</t>
  </si>
  <si>
    <t>ОП ЦНС Пневмония</t>
  </si>
  <si>
    <t>г Иваново  уд Куконковых 130- 11</t>
  </si>
  <si>
    <t>Пневмонияя СМА1 типа</t>
  </si>
  <si>
    <t>Коваленко Даниил Никитич</t>
  </si>
  <si>
    <t>Кохма Ивановская 2-168</t>
  </si>
  <si>
    <t>Левосторнняя пневмония</t>
  </si>
  <si>
    <t>г. Иваново, ул. Володиной, 5-46</t>
  </si>
  <si>
    <t>Воронкообразня деформация грудной клетки</t>
  </si>
  <si>
    <t>Дьяконова Анна Юрьевна</t>
  </si>
  <si>
    <t>Новые Горки</t>
  </si>
  <si>
    <t>Вр. Пилоростеноз</t>
  </si>
  <si>
    <t>Виноградов Лев Александрович</t>
  </si>
  <si>
    <t>иваново, Сакко, 37А, 49</t>
  </si>
  <si>
    <t>Иваново 30мкрай-он 23-14</t>
  </si>
  <si>
    <t>острый аппендицит? Маточное кровотечение?Альгодисменорея</t>
  </si>
  <si>
    <t>Холматова Амина Отабековна</t>
  </si>
  <si>
    <t>Шуйский р-н., с.Китово, ул. Центральная, д 100, кв.15</t>
  </si>
  <si>
    <t>Балахонов Тимофей Андреевич</t>
  </si>
  <si>
    <t>Ивановская область, Колинцева 34-43</t>
  </si>
  <si>
    <t>электрожог</t>
  </si>
  <si>
    <t>болезнь двигательного неврона</t>
  </si>
  <si>
    <t>Ильиский район Хлебница Центральная 11</t>
  </si>
  <si>
    <t>Перфоративная язва желудка, местный перитонит</t>
  </si>
  <si>
    <t>Асцит</t>
  </si>
  <si>
    <t xml:space="preserve">Верещагин Дмитрий Алексеевич </t>
  </si>
  <si>
    <t>Комсомольск Красноармейская 44</t>
  </si>
  <si>
    <t>Термический ожог нижней конечности 2-3, ожоговый шок</t>
  </si>
  <si>
    <t>Емельянова Екатерина Максимовна</t>
  </si>
  <si>
    <t>Иваново Гагарина 4-159</t>
  </si>
  <si>
    <t>Сочетанная травма, правосторонний пневмоторакс, перелом лонной и седалищной кости, перелом 3 ребра.</t>
  </si>
  <si>
    <t>Сироткин Матвей Александрович</t>
  </si>
  <si>
    <t>Ивановская обл, г. Вичуга</t>
  </si>
  <si>
    <t>Эксикоз неуточненный</t>
  </si>
  <si>
    <t>савинский район, д Шестуниха</t>
  </si>
  <si>
    <t>ГУС</t>
  </si>
  <si>
    <t>Самотаев Афанасий Иванович</t>
  </si>
  <si>
    <t>Сочетанная травма, ЗЧМТ, СГМ, ЗТГК, ТТЖ</t>
  </si>
  <si>
    <t>Емельянов Арсений Андреевич</t>
  </si>
  <si>
    <t>Тейково</t>
  </si>
  <si>
    <t>Сочетанная травма. ЗЧМТ. Сотрясение ГМ. Ушиб легких. Закрытый перелом с/з правой бедренной кости</t>
  </si>
  <si>
    <t>Яковлева Софья Игоревна</t>
  </si>
  <si>
    <t>Большакова Диана Сергеевна</t>
  </si>
  <si>
    <t>Кечемаев Александр Алексеевич</t>
  </si>
  <si>
    <t>Ивановская обл, д. Афанасово</t>
  </si>
  <si>
    <t>Сочетанная травма. ОЧМТ. Ушиб головного мозга лёгкой ст. тяж. Ссадины левого верхнего века. ЗТГК. Ушиб лёгких. ТТЖ. Ушиб брюшной стенки.Аутизм.</t>
  </si>
  <si>
    <t>Балахов  Арсен Аркадьевич</t>
  </si>
  <si>
    <t>Балышев Дмитрий Юсуфджонович</t>
  </si>
  <si>
    <t>Батин Алексей Антонович</t>
  </si>
  <si>
    <t>ВПР ЦНС. Лиссэнцефалия, внутренняя гидроцефалия. Пароксизмальное состояние неясного генеза.</t>
  </si>
  <si>
    <t>Ивановская обл., г. Кинешма</t>
  </si>
  <si>
    <t>Грибенюк Михаил Алексеевич</t>
  </si>
  <si>
    <t>Отравление ФОС</t>
  </si>
  <si>
    <t>Демидов Артур Игоревич</t>
  </si>
  <si>
    <t>Дюковкина Ульяна Денисовна</t>
  </si>
  <si>
    <t>Ермошин Тимофей Алексеевич</t>
  </si>
  <si>
    <t>Органическое поражение ЦНС. Трахеоканюляр. Пневмония.</t>
  </si>
  <si>
    <t>Загиров Юсуф Магомедович</t>
  </si>
  <si>
    <t>Капитанская Любовь Антоновна</t>
  </si>
  <si>
    <t>г. Иваново, ул. Любимова, 11</t>
  </si>
  <si>
    <t>Кукушкин Никита Андреевич</t>
  </si>
  <si>
    <t>Сочетанная кататравма. ЗЧМТ. СГМ. ТТЖ. Разрыв селезёнки. Гемоперитонеум. З/перелом пр. луч. кости со см. З/перелом дист. метаэпифиза лев. луч. кости без см. Тр. шок 2 ст. Лапаротомия, спленэктомия 09.06.24.</t>
  </si>
  <si>
    <t>Лебедев Степан Сергеевич</t>
  </si>
  <si>
    <t>Николаев Владислав Владимирович</t>
  </si>
  <si>
    <t>ЖКБ. ЛХЭ 11.06.24</t>
  </si>
  <si>
    <t>Никулин Виктор Алексеевич</t>
  </si>
  <si>
    <t>Павлов Макар Константинович</t>
  </si>
  <si>
    <t>Пасынков Руслан Артёмович</t>
  </si>
  <si>
    <t>Подогов Сергей Владимирович</t>
  </si>
  <si>
    <t>Пучков Илья Андреевич</t>
  </si>
  <si>
    <t>Севастьянова Марина Михайловна</t>
  </si>
  <si>
    <t xml:space="preserve">Оперированный ВПС: ДМПП. Гидроторакс справа. Асцит. Лёгкая БЭН. </t>
  </si>
  <si>
    <t>Ивановская обл., г. Комсомольск, ул. Ломоносова, 2</t>
  </si>
  <si>
    <t>Студенов Данила Евгеньевич</t>
  </si>
  <si>
    <t>Тимофеев Ярослав Александрович</t>
  </si>
  <si>
    <t>Закрытый поперечный перелом левой бедр. Кости</t>
  </si>
  <si>
    <t>Ивановская обл., г. Шуя, ул. Вокзальная</t>
  </si>
  <si>
    <t>Нагноение апертуры гастростомы.</t>
  </si>
  <si>
    <t>Яковлев Артём Михайлович</t>
  </si>
  <si>
    <t xml:space="preserve">Ивановская обл. </t>
  </si>
  <si>
    <t>вичуга, коршунова 25</t>
  </si>
  <si>
    <t>варусная деформация н/конечностей</t>
  </si>
  <si>
    <t>Скуратова Эвелина Владимировна</t>
  </si>
  <si>
    <t>г.Иваново, ул.1-я Водопроводная, д.24</t>
  </si>
  <si>
    <t>Гипогликемия неуточнённая</t>
  </si>
  <si>
    <t>Духлинцев Ярослав Игоревич</t>
  </si>
  <si>
    <t>Г. Иваново, пр. Строителей, д 53, кв 93</t>
  </si>
  <si>
    <t>Носовое кровотечение, тампонада, состояние после аденэктомии</t>
  </si>
  <si>
    <t>Нетесова Екатерина Владимировна</t>
  </si>
  <si>
    <t>Сосков Вячеслав Николаевич</t>
  </si>
  <si>
    <t>Ивановская обл., г. Южа, ул. Мичурина, 17</t>
  </si>
  <si>
    <t>Сочетанная травма. ОЧМТ. УГМ тяж. ст. Острая пидуральная гематома левой теменной области. Перелом левой теменной кости, стенок левой орбиты без см. отл. Раны лица, в/ч головы. ЗТГК. Ушиб лёгких. З/поперечный неосложн. перелом с/3 пр. бедр. кости  со см. отл. Поперечный перелом обеих костей н/3 пр. предпл. со см. отл. Множ. ссадины туловища. Травм. шок 2-3 ст.  Наложение АНФ, МОС костей пр. предпл. спицами.</t>
  </si>
  <si>
    <t>Сочетанная травма. ОЧМТ. Ушиб головного мозга лёгкой ст. тяж. Ссадины левого верхнего века. ЗТГК. Ушиб лёгких. ТТЖ. Ушиб брюшной стенки.Аутизм</t>
  </si>
  <si>
    <t xml:space="preserve">Термический ожог пламенем левой верхней конечности, передней грудной, брюшгой стенки, спины. </t>
  </si>
  <si>
    <t>Палехский р-н д.Майдаково мкр Дружба 6-10</t>
  </si>
  <si>
    <t>Петряева Алина Евгеньевка</t>
  </si>
  <si>
    <t>Костюничева Юлия Сергеевна</t>
  </si>
  <si>
    <t>Пучежский р-н, д. Кораблёво, мкрн Пучежский, ул. Привольная, 29</t>
  </si>
  <si>
    <t>Судорожный синдром</t>
  </si>
  <si>
    <t>Кузьмичева Анастасия Владимировна</t>
  </si>
  <si>
    <t>г. Иваново, Бакинский пр-д, 55</t>
  </si>
  <si>
    <t>г. Иваново, ул. Нормандии-Неман, 83к2, 48</t>
  </si>
  <si>
    <t>Королёв Александр Андреевич</t>
  </si>
  <si>
    <t>г. Иваново, ул. Спортивная, 3, 1</t>
  </si>
  <si>
    <t>Костин Макар Владиславович</t>
  </si>
  <si>
    <t>Ивановская обл., г. Тейково, ул. Октябрьская, 23, 2</t>
  </si>
  <si>
    <t>Острый гангренозный дивертикулит. Катаральный аппендицит. Операция 14.07.24: диагн. лапароскопия, лапаротомия, резекция дивертикула, аппендэктомия, санация и дренирование брюшной полости.</t>
  </si>
  <si>
    <t>Горелов Александр Геннадьевич</t>
  </si>
  <si>
    <t>Сочетанная травма. ОЧТМ. Ушиб головного мозга тяж. ст. ЗТГ. Ушиб лёгких.</t>
  </si>
  <si>
    <t>Александрова Елизавета Эдуардовна</t>
  </si>
  <si>
    <t>г. Москва</t>
  </si>
  <si>
    <t>Аппендикулярный абсцесс</t>
  </si>
  <si>
    <t>Саварец Виктор Романович</t>
  </si>
  <si>
    <t>г москва</t>
  </si>
  <si>
    <t>Ушиб головного мозга легкой степени</t>
  </si>
  <si>
    <t xml:space="preserve">Яковлева Алиса Анатольевна </t>
  </si>
  <si>
    <t>Комсомольский р-н С Сорохта 26</t>
  </si>
  <si>
    <t>Отравление лекарственными средствами</t>
  </si>
  <si>
    <t>Манукян Ашот Главросович</t>
  </si>
  <si>
    <t>Кохма, Владимирская,25-77</t>
  </si>
  <si>
    <t>Пневмония двусторонняя, плеврит слева, генетическая фокальная эпилепсия.</t>
  </si>
  <si>
    <t>Шуя, 9 Северная</t>
  </si>
  <si>
    <t>Лейкоз</t>
  </si>
  <si>
    <t>Ивченко Полина Артёмовна</t>
  </si>
  <si>
    <t>Нестеров Михаил Александрович</t>
  </si>
  <si>
    <t>Ивановская обл., г. Южа, ул. Футбольная, 71</t>
  </si>
  <si>
    <t>Веселова Злата Николаевна</t>
  </si>
  <si>
    <t>Ивановская обл., п. Лежнево, ул. Красная Горка, 2, 2</t>
  </si>
  <si>
    <t>Открытый перелом обеих костей левой голени со смещением отломков. Наложение АНФ 23.07.24</t>
  </si>
  <si>
    <t>Новикова Арина Никитовна</t>
  </si>
  <si>
    <t>палехский р-н, д.Пенки</t>
  </si>
  <si>
    <t>Терм.ожог 10%, 1-3ст. Ожоговый шок</t>
  </si>
  <si>
    <t>Теряев Глеб Евгеньевич</t>
  </si>
  <si>
    <t xml:space="preserve">п.Чернореченский 2 я заречная 6-2 </t>
  </si>
  <si>
    <t>Сахарный диабет 1 типа кетоацидоз</t>
  </si>
  <si>
    <t>Золотков Артем Максимович</t>
  </si>
  <si>
    <t>Острое отравление газообразным хлором</t>
  </si>
  <si>
    <t>иваново Свободы 43-8</t>
  </si>
  <si>
    <t>Иваново Батурина 23-40</t>
  </si>
  <si>
    <t>Химический ожог пищевода и ротоглотки</t>
  </si>
  <si>
    <t>Жильцов Дмитрий Сергеевич</t>
  </si>
  <si>
    <t>Шуя комсомольская12-146</t>
  </si>
  <si>
    <t>Термический ожог грудной, брюшной стенки, бедер, площадь 12 1-2 степени</t>
  </si>
  <si>
    <t>Кузьменко Адам Владимирович</t>
  </si>
  <si>
    <t>ШуяСеверный тракт 10-6</t>
  </si>
  <si>
    <t>Двухсторонняя пневмония</t>
  </si>
  <si>
    <t>Сергеева Василиса Владиславовна</t>
  </si>
  <si>
    <t>пр-кт Текстильщиков Д6б кв 27</t>
  </si>
  <si>
    <t>Алемаев Матвей Дмитриевич</t>
  </si>
  <si>
    <t>Комсомольск</t>
  </si>
  <si>
    <t>Онохин Вячеслав Андреевич</t>
  </si>
  <si>
    <t>Палех</t>
  </si>
  <si>
    <t>спаечная кишечная непроходимость</t>
  </si>
  <si>
    <t>Анисимов Александр Александрович</t>
  </si>
  <si>
    <t>г. Иваново, ул. Владимирская, 64</t>
  </si>
  <si>
    <t>Смирнов (мальчик)</t>
  </si>
  <si>
    <t>Асфиксия. Доношенный новорожд.</t>
  </si>
  <si>
    <t>Любимцева Снежана Алексевна</t>
  </si>
  <si>
    <t>Колоторезанные ранения передней брюшной стенки, геморрагический шок1-2</t>
  </si>
  <si>
    <t>Иваново, ул. Авдотьинская, 32, 5</t>
  </si>
  <si>
    <t>Куликов Константин Дмитриевич</t>
  </si>
  <si>
    <t>г.Шуя, 2-ой Дубковский переулок д. 18</t>
  </si>
  <si>
    <t>Химический ожог ротоглотки, пищевода (?) уксусной эссенцией</t>
  </si>
  <si>
    <t xml:space="preserve">Корнев Артем Николаевич </t>
  </si>
  <si>
    <t>Вичуга Советская 41А 8</t>
  </si>
  <si>
    <t>Тупая травма живота, разрыв селезенки</t>
  </si>
  <si>
    <t>Першанина (дев)</t>
  </si>
  <si>
    <t>Вр пневмония</t>
  </si>
  <si>
    <t>Ивоново Кирякиных 13-48</t>
  </si>
  <si>
    <t>Аспирационная пневмония</t>
  </si>
  <si>
    <t>Иваново. Рабфаковская</t>
  </si>
  <si>
    <t>ЗЧМТ Ушиб ГМ</t>
  </si>
  <si>
    <t>Иваново Кохм. Шоссе</t>
  </si>
  <si>
    <t>инородное тело трахеи. Асфиксия</t>
  </si>
  <si>
    <t>Абгарян Сона Торосовна</t>
  </si>
  <si>
    <t>г. Иваново, мкр. ТЭЦ-3 д.8, кв.51</t>
  </si>
  <si>
    <t>Острый промиелоцитарный лейкоз? Пневмония двусторонняя полисегментарная</t>
  </si>
  <si>
    <t>г. Пучеж, д. Кораблёва, ул. Приволжская, д.29</t>
  </si>
  <si>
    <t>Последствия ППЦНС.</t>
  </si>
  <si>
    <t>Кузнецова Ксения Сергеевна</t>
  </si>
  <si>
    <t>г.Иваново, ул.Ташкентская, 88-3</t>
  </si>
  <si>
    <t>Острое бытовое отравление суррогатами алкоголя</t>
  </si>
  <si>
    <t>Осинин Андрей Алексеевич</t>
  </si>
  <si>
    <t>г.Рязань Интернациональная 1-103</t>
  </si>
  <si>
    <t>Сочетанная травма Ушиь головного мозга,САКУшибленная рана волосистой части головы,ушиб легких,Перелом правой бедренной кости, перелом костей правого предплечья</t>
  </si>
  <si>
    <t>Осинина Дарья Алексеевна</t>
  </si>
  <si>
    <t>Соченная травма. Ушиб головного мозга тяжелой степени. Ушибленные раны лобной области и носа. Периорбитальная гематома справаУшиб правого легкого. Правосторонний пневмоторакс. Перелом правой ключицы, перелом кретца, перелом костей таза, синдром длительного сдавления правой нижней конечности. Травматический шок 3</t>
  </si>
  <si>
    <t>Бачериков Арсений Александрович</t>
  </si>
  <si>
    <t>г. Иваново, ул. Новосельская, д.4, кв.51</t>
  </si>
  <si>
    <t>Острое отравление неизвестным веществом (суррогатами алкоголя?).</t>
  </si>
  <si>
    <t>нарушение ритма сердца новорожденного</t>
  </si>
  <si>
    <t xml:space="preserve">ОПЦНС, энцефаломаляция, бульбарный с-м. Пневмония в/д справа. Трахеоканюляр. Гастростома. </t>
  </si>
  <si>
    <t>Сочетанная травма Ушиб головного мозга ср. ст. тяж.,САК. Ушибленная рана волосистой части головы. ЗТГК. Ушиб лёгких. Перелом правой бедренной кости, перелом костей правого предплечья. Опер.: МОС пра. Бедра 14.08.24</t>
  </si>
  <si>
    <t>Иваново 2 Нагорная</t>
  </si>
  <si>
    <t>отравление метформином</t>
  </si>
  <si>
    <t>Южа</t>
  </si>
  <si>
    <t>Сахарный диабет кетацидоз</t>
  </si>
  <si>
    <t>Бакала Даниил Романович</t>
  </si>
  <si>
    <t>ЗЧМТ. СГМ</t>
  </si>
  <si>
    <t>Ланцов малчик</t>
  </si>
  <si>
    <t>Апноэ новорожденных</t>
  </si>
  <si>
    <t>Жохов Артем Романович</t>
  </si>
  <si>
    <t>Г. Шуя</t>
  </si>
  <si>
    <t>менингит</t>
  </si>
  <si>
    <t>Васильев Архип Андреевич</t>
  </si>
  <si>
    <t>Терпмический ожог 15%</t>
  </si>
  <si>
    <t>Лазарашвили Арсений Паатович</t>
  </si>
  <si>
    <t>Флегмонозный дивертикул Меккеля</t>
  </si>
  <si>
    <t>Каримова Ирина Владимировна</t>
  </si>
  <si>
    <t>Родники Лунная 7</t>
  </si>
  <si>
    <t>Пневмония, гастродуоденит ЖКК</t>
  </si>
  <si>
    <t>Кузнецов Виктор Александрович</t>
  </si>
  <si>
    <t>Филиппова София Александровна</t>
  </si>
  <si>
    <t>вр.пилоростеноз</t>
  </si>
  <si>
    <t>Гуськова Дарья Валерьевна</t>
  </si>
  <si>
    <t>Ивановская обл., г. Шуя, ул. 1 Текстильная, 33</t>
  </si>
  <si>
    <t>Отравление алкоголем</t>
  </si>
  <si>
    <t>Кляузов Савелий Алексеевич</t>
  </si>
  <si>
    <t>Курсакина Злата Антоновна</t>
  </si>
  <si>
    <t>Нуманов Амир Дамирович</t>
  </si>
  <si>
    <t>Оллаёрова Хуснора Улугбек кизи</t>
  </si>
  <si>
    <t>г. Иваново, ул. Сарментовой, 10, 26</t>
  </si>
  <si>
    <t>Прытков Артём Олегович</t>
  </si>
  <si>
    <t>Ивановская обл., г. Гав.-Посад, пер. Новый, 6</t>
  </si>
  <si>
    <t>Тарасов Виктор Владимирович</t>
  </si>
  <si>
    <t>Харитонов Лев Артёмович</t>
  </si>
  <si>
    <t>Врождённая пневмония. ОНМТ. Анемия недоношенных. НЭК. ППЦНС.</t>
  </si>
  <si>
    <t>Репин Сергей Сергеевич</t>
  </si>
  <si>
    <t>Родники</t>
  </si>
  <si>
    <t>сах.диабет, кетоацидоз</t>
  </si>
  <si>
    <t>Г.Иваново</t>
  </si>
  <si>
    <t xml:space="preserve">Алкогольное отравление </t>
  </si>
  <si>
    <t>Ахмедова Дарина Арсеновна</t>
  </si>
  <si>
    <t>Адамов Максим Михайлович</t>
  </si>
  <si>
    <t>Ивановская обл., п. Пестяки, ул. Кашина, 7, 27</t>
  </si>
  <si>
    <t>Сочетанная травма. Тяжёлая ОЧМТ. Закрытый п-м обеих теменных костей, левой височной кости. О. правосторонняя эпидуральная гематома. Пневмоцефалия. Перелом левой орбиты. З/осложнённый перелом 5-6 рёбер слева. Пневмоторакс слева. Ушиб левого лёгкого. З/перелом с/3 левой бедренной кости со смещением отломков. Множественные ссадины обоих предплечий, области левой лопатки. Травматический шок 1 ст.</t>
  </si>
  <si>
    <t>Егишев Никита Дмитриевич</t>
  </si>
  <si>
    <t>Ивановская обл., п. Нерль, ул. Красная, 20</t>
  </si>
  <si>
    <t xml:space="preserve">Сочетанная травма. ЗЧМТ. СГМ. Ушибленная ссадина лица. ЗПСТ. Закрытый стабильный компрессионно-сгибательный перелом тел Th6-Th8 позвонков.  ЗТГК. Ушиб обоих лёгких. Ушиб мягких тканей грудной клетки. Рваная рана правой пяточной области. Множественные ушибы мягких тканей верхних и нижних конечностей. Травматический шок 1 ст. </t>
  </si>
  <si>
    <t>Савин Владимир Романович</t>
  </si>
  <si>
    <t>г. Кохма, ул. Машиностроительная, 23, 72</t>
  </si>
  <si>
    <t>Врождённый пилоростеноз?</t>
  </si>
  <si>
    <t>Иваново, 1-я Сусанина</t>
  </si>
  <si>
    <t>Резаная рана н/3 правого плеча</t>
  </si>
  <si>
    <t>Минутин Даниил Андреевич</t>
  </si>
  <si>
    <t>Кузнецов Артём Михайлович</t>
  </si>
  <si>
    <t>г. Иваново, ул. Б. Хмельницкого, 71</t>
  </si>
  <si>
    <t>Задумин Кирилл Васильевич</t>
  </si>
  <si>
    <t>г. Иваново ул. Генерала Хлебникова, 10, 77</t>
  </si>
  <si>
    <t>Тарарыкин Ярослав Сергеевич</t>
  </si>
  <si>
    <t>г. Иваново, ул Первомайской</t>
  </si>
  <si>
    <t>Сахарный диабет 1 типа</t>
  </si>
  <si>
    <t>Шатунин Клим Андреевич</t>
  </si>
  <si>
    <t>г.Иваново, ул.1-я Новаторская, 14</t>
  </si>
  <si>
    <t>Термический ожог пламенем лица, шеи</t>
  </si>
  <si>
    <t>Бойко Алексей Анатольевич</t>
  </si>
  <si>
    <t>г.Иваново, ул.Минская, 79-4</t>
  </si>
  <si>
    <t>ЗЧМТ. Ушиб ГМ</t>
  </si>
  <si>
    <t>г.Комсомольск, ул.Ломоносова, 28</t>
  </si>
  <si>
    <t>Доманчук Кирилл Владимирович</t>
  </si>
  <si>
    <t>г.Тейково, ул.1-я Комовская, 4-29</t>
  </si>
  <si>
    <t>Термический ожог кипятком, спины, живота</t>
  </si>
  <si>
    <t>Боричева Алиса Константиновна</t>
  </si>
  <si>
    <t>Г. Иваново, ул Садовая</t>
  </si>
  <si>
    <t>Отравление антидепрессантами</t>
  </si>
  <si>
    <t>Клишин Владимир Алексеевич</t>
  </si>
  <si>
    <t>Сахарный диабет 1 типа. Кетоацидоз. Синдром дауна</t>
  </si>
  <si>
    <t>Смирнова Елизавета Алексеевна</t>
  </si>
  <si>
    <t>Воронкообразня деформация грудной клетки. Состояние после торокопластики</t>
  </si>
  <si>
    <t>Соловьева Вероника Дмитриевна</t>
  </si>
  <si>
    <t>г Юрьевиц ул Герцена д 24 кв 1</t>
  </si>
  <si>
    <t>Вичуга, заречная д 17</t>
  </si>
  <si>
    <t>иваново. Держинского д 2 кв 28</t>
  </si>
  <si>
    <t>Крылов Михаил Александрович</t>
  </si>
  <si>
    <t>Трихобезоар. Состояние после гастротомии, уделения трихобезоара от 03.09.2024.</t>
  </si>
  <si>
    <t>г. Кохма</t>
  </si>
  <si>
    <t>Тупая травма живота</t>
  </si>
  <si>
    <t>Януш Денис Андреевич</t>
  </si>
  <si>
    <t>Санкт-Петербург</t>
  </si>
  <si>
    <t>г. Шуя, Северный тракт, д. 10, кв.6</t>
  </si>
  <si>
    <t>Савельев Платон Александрович</t>
  </si>
  <si>
    <t>г. Иваново, ул. Окуловой, д. 73, корпус 4, кв. 2</t>
  </si>
  <si>
    <t>Электротравма</t>
  </si>
  <si>
    <t>Томаров Иван Русланович</t>
  </si>
  <si>
    <t>БОС</t>
  </si>
  <si>
    <t>Г. Кинешма, ул Добролюбова 1/12-11</t>
  </si>
  <si>
    <t>Иваново, Красных зорь, 12-63</t>
  </si>
  <si>
    <t>Курасова Дарья Сергеевна</t>
  </si>
  <si>
    <t>Сахарный диабет 1 типа, кетоацидоз</t>
  </si>
  <si>
    <t>Максак Анна Николаевна</t>
  </si>
  <si>
    <t>д. Запольново,  Ивановский район</t>
  </si>
  <si>
    <t>Сочетанная травма, перелом плечевой кости справа, перело предплечья слева</t>
  </si>
  <si>
    <t>Лебедев Даниил Евгеньевич</t>
  </si>
  <si>
    <t>г. Иваново, пр. Строителей,  д 29, кв 14</t>
  </si>
  <si>
    <t>Самофалов Артем Сергеевич</t>
  </si>
  <si>
    <t>г. Кинешма</t>
  </si>
  <si>
    <t>Кардиомиопатия</t>
  </si>
  <si>
    <t>Дементьева Яна Александровна</t>
  </si>
  <si>
    <t>г. Иваново, ул Сакко, 41-1</t>
  </si>
  <si>
    <t>Отравление трицеклическими и тетрациклическими антидепресантами</t>
  </si>
  <si>
    <t>Мартышова Вероника Владимировна</t>
  </si>
  <si>
    <t>г. Иваново, ул Любимова, 2-16</t>
  </si>
  <si>
    <t>Термичекий ожог кипятком</t>
  </si>
  <si>
    <t>Имонкулова Сабина Ботировна</t>
  </si>
  <si>
    <t>г.Иваново, пр-т Текстильщиков, 40-12</t>
  </si>
  <si>
    <t>иваново громобоя  19-69</t>
  </si>
  <si>
    <t>Ганренозный аппендицит, интестинальная недостаточность</t>
  </si>
  <si>
    <t>Балуков Даннил Павлович</t>
  </si>
  <si>
    <t>Родники Рябикова 5А-9</t>
  </si>
  <si>
    <t>Алексеенко Кирилл Павлович</t>
  </si>
  <si>
    <t>Шуя Фабричная 17-61</t>
  </si>
  <si>
    <t>Андрианов Артем Васильевич</t>
  </si>
  <si>
    <t>Родники Интернациональная 7</t>
  </si>
  <si>
    <t>Термический ожог 2ст S12% J;jujdsq ijr</t>
  </si>
  <si>
    <t>Бурлаков Глеб Артемович</t>
  </si>
  <si>
    <t>Иваново.3 Западная д.8</t>
  </si>
  <si>
    <t>Состояние после краниопластики</t>
  </si>
  <si>
    <t xml:space="preserve">Грошева Юлия Александровна </t>
  </si>
  <si>
    <t>Кохма Владимирская 19-72</t>
  </si>
  <si>
    <t>Воронкообразная грудная клетка. Состояние после торакопластики по Нассу.</t>
  </si>
  <si>
    <t>Дёмина Полина Алексеевна</t>
  </si>
  <si>
    <t>г. Иваново, ул. 3-я Чапаева, 45, 5</t>
  </si>
  <si>
    <t>г. Шуя</t>
  </si>
  <si>
    <t>Гнойный синусит. Абсцессы мозга. Пункция абсцессов мозга 04.09.24.</t>
  </si>
  <si>
    <t>Зюзин Даниил Александрович</t>
  </si>
  <si>
    <t>г. Иваново, ул. Октябрьская, 3/70, 82</t>
  </si>
  <si>
    <t xml:space="preserve">Сочетанная травма. ЗЧМТ. СГМ. ЗТГК. Ушиб лёгких. Двусторонний малый пневмоторакс. Тр. Шок. 1 ст. </t>
  </si>
  <si>
    <t>Иванова Вероника Рустамовна</t>
  </si>
  <si>
    <t>Ивановская обл., Ивановский р-н, д. Малинки, с. П. Куликовское, 45а.</t>
  </si>
  <si>
    <t>Воздействие электрического тока</t>
  </si>
  <si>
    <t>Кабаров Артем Егеньевич</t>
  </si>
  <si>
    <t>Королев Денис Дмитриевич</t>
  </si>
  <si>
    <t>Кудрявцев Максим Александрович</t>
  </si>
  <si>
    <t>Павлов (мальчик)</t>
  </si>
  <si>
    <t>Саакян Аревик Арамовна</t>
  </si>
  <si>
    <t>Врождённый пилоростеноз</t>
  </si>
  <si>
    <t>Ивановская обл., г. Кинешма, ул. Макарова, 56, 55</t>
  </si>
  <si>
    <t>Соловьёв Илья Сергеевич</t>
  </si>
  <si>
    <t>Чепеленок Алексей Владимирович</t>
  </si>
  <si>
    <t>Ивановский р-н, д. Коляново, ул. Загородная, 3, 3</t>
  </si>
  <si>
    <t>Яровицын Артем Андреевич</t>
  </si>
  <si>
    <t>Бабанова Миана Александровна</t>
  </si>
  <si>
    <t>Отравление сосудосуживающими каплями</t>
  </si>
  <si>
    <t>Ивановская обл., Ивановский р-н, с. Подвязновский, 7, 43</t>
  </si>
  <si>
    <t>Халезов Максим Евгеньевич</t>
  </si>
  <si>
    <t>Ивановская обл., п. Савино, ул. Комсомольская, 17а</t>
  </si>
  <si>
    <t>Гемофилия А. Орг. Поражение ЦНС.</t>
  </si>
  <si>
    <t>Двухсторонняя пневмония. Сепсис. Эпилептическая энцефалопатия, осложняющая дефицит пируватдегидрогеназы.</t>
  </si>
  <si>
    <t>Острый бронхит.</t>
  </si>
  <si>
    <t>Куранов Никита Романович</t>
  </si>
  <si>
    <t>г. Иваново, 30 мкрн, 27, 14</t>
  </si>
  <si>
    <t xml:space="preserve">Укушенные раны правой голени. </t>
  </si>
  <si>
    <t xml:space="preserve">Байрам Элис Сюлеймноновна </t>
  </si>
  <si>
    <t>Иваново Беляницы 37</t>
  </si>
  <si>
    <t>отравление антидепрессантами</t>
  </si>
  <si>
    <t>Вичуга Зхалтуринская 52</t>
  </si>
  <si>
    <t>Ивановская обл., г. Комсомольск, ул. Ломоносова, 28</t>
  </si>
  <si>
    <t>Воронкообразная деформация грудной клетки. Торакопластика по Нассу 24.09.24.</t>
  </si>
  <si>
    <t>ССВР.</t>
  </si>
  <si>
    <t>Пигалкин Даниил Андреевич</t>
  </si>
  <si>
    <t>Прохоров Иван Александрович</t>
  </si>
  <si>
    <t>г. Иваново, пр. Текстильщиков, 6В, 36</t>
  </si>
  <si>
    <t>ЗЧМТ. УГМ лёгкой ст..</t>
  </si>
  <si>
    <t>Иваново Кочетовой 37-70</t>
  </si>
  <si>
    <t>п.Пестяки Калинина 9-45</t>
  </si>
  <si>
    <t>Кинешма Каллевкая 6-1</t>
  </si>
  <si>
    <t>Кишечная непродимость</t>
  </si>
  <si>
    <t>Вичуга Тепличная 13</t>
  </si>
  <si>
    <t>Желудочное кровотечение</t>
  </si>
  <si>
    <t>Барановская Карина Николаевна</t>
  </si>
  <si>
    <t>Кохма</t>
  </si>
  <si>
    <t>Диафрагмальная грыжа. Рецидив</t>
  </si>
  <si>
    <t>Афонин Даниил Михайлович</t>
  </si>
  <si>
    <t>Беликова Анна Романовна</t>
  </si>
  <si>
    <t>Илеостома. Восстановление проходимости кишечника 26.09.24</t>
  </si>
  <si>
    <t>Феоктистова Вера Павловна</t>
  </si>
  <si>
    <t>Худжаев Захуридин Хушнудович</t>
  </si>
  <si>
    <t>Вичуга Володарского, 107</t>
  </si>
  <si>
    <t>Фоменко Леонид Назарьевич</t>
  </si>
  <si>
    <t>Ивановская обл., г. Вичуга, ул. Циолковского, 107</t>
  </si>
  <si>
    <t>Гетаев Ренат Эмильевич</t>
  </si>
  <si>
    <t>г. Иваново, пер. 2-й Спортивный, 3, 6</t>
  </si>
  <si>
    <t>Отравление неизв. Веществом</t>
  </si>
  <si>
    <t>Органическое поражение ЦНС</t>
  </si>
  <si>
    <t>Баранова София Дмитриевна</t>
  </si>
  <si>
    <t>Палехский р-н, с.Майданово, ул. Комсомольская, д. 1</t>
  </si>
  <si>
    <t>Белково-энергетическая недостаточность. Пилоростеноз?</t>
  </si>
  <si>
    <t>Саитова Ева Владимировна</t>
  </si>
  <si>
    <t>Ивановский р-н, д.Беляницы, ул. 3-я Сосновая д.3</t>
  </si>
  <si>
    <t>Гемангиома теменно-височной области</t>
  </si>
  <si>
    <t>Ив. Район. Подвязновский</t>
  </si>
  <si>
    <t>отравление мучкатным орехом</t>
  </si>
  <si>
    <t>Хренов Александр Тимофеевич</t>
  </si>
  <si>
    <t>Иваново Утечная 2-3</t>
  </si>
  <si>
    <t>ЗЧМТ Ушиб головного мозга средней степени</t>
  </si>
  <si>
    <t>Новиков Артем Александрович</t>
  </si>
  <si>
    <t>Сочетанная травма, ушиб легких, перелом пяточной кости,</t>
  </si>
  <si>
    <t>Тульский Кирилл Андреевич</t>
  </si>
  <si>
    <t>г.Иваново, ул. Ташкентская, 40-89</t>
  </si>
  <si>
    <t>Дивертикул Меккеля</t>
  </si>
  <si>
    <t>Анкудинов Данила Романович</t>
  </si>
  <si>
    <t>Ивановская обл., г.Заволжск, ул. Мира, д.15, кв.10, ком.8</t>
  </si>
  <si>
    <t>Федотов Арсений Андреевич</t>
  </si>
  <si>
    <t>с. Ново -Писцово Октябрская 6-4</t>
  </si>
  <si>
    <t>отравление клофелином</t>
  </si>
  <si>
    <t>Малов Андрей Сергеевич</t>
  </si>
  <si>
    <t>г. Иваново, ул. Дзержинского, 16, 14</t>
  </si>
  <si>
    <t>Токоева Акылай Алмазбековна</t>
  </si>
  <si>
    <t>Голубев Илья Андреевич</t>
  </si>
  <si>
    <t>г. Иваново, ул. Генерала Хлебникова, 8, 11</t>
  </si>
  <si>
    <t>Нарушение ритма сердца. Пароксизмальная наджелудочковая тахикардия.</t>
  </si>
  <si>
    <t>Налетова Кристина Андреевна</t>
  </si>
  <si>
    <t>с Ново-Талицы совхозная 13-2</t>
  </si>
  <si>
    <t>Корыгина Валерия Максимовна</t>
  </si>
  <si>
    <t>с Ново-Талицы Школьная 6-53</t>
  </si>
  <si>
    <t>Корольков Александр Владимирович</t>
  </si>
  <si>
    <t>Тейкково</t>
  </si>
  <si>
    <t>Отравление суррогатами алкоголя,  СД типа, ст кетоацидоза</t>
  </si>
  <si>
    <t>Барабанщиков Сергей Сергеевич</t>
  </si>
  <si>
    <t xml:space="preserve">Г. Приволжск </t>
  </si>
  <si>
    <t>Острый тубулоинтерстициальный нефрит. ОПП</t>
  </si>
  <si>
    <t>г. Иваново, ул. Сарментовой, 4, 21</t>
  </si>
  <si>
    <t>Голубев Матвей Евгеньевич</t>
  </si>
  <si>
    <t>г. Иваново, ул. Кузнецово, 42/32, 1</t>
  </si>
  <si>
    <t>ОЧМТ. СГМ. Ушибленная рана лба.</t>
  </si>
  <si>
    <t>Ивановская обл., Палехский район, с. Майдаково, ул. Комсомольская, 12</t>
  </si>
  <si>
    <t>Первичная надпочечниковая недостаточность. Сольтеряющий синдром. БЭН 2-3 ст.</t>
  </si>
  <si>
    <t>Пр-кт Текстильщиков Д39</t>
  </si>
  <si>
    <t>Тютина Анастасия Николаевна</t>
  </si>
  <si>
    <t>г. Шуя, ул. Свердлова, д.34, кв.140</t>
  </si>
  <si>
    <t>Г.Шуя пер.Свободы 5</t>
  </si>
  <si>
    <t>ЗЧМТ.СГМ</t>
  </si>
  <si>
    <t>Стецик Денис Николаевич</t>
  </si>
  <si>
    <t>Иваново Московский пер 24</t>
  </si>
  <si>
    <t>ОПЦНС, состоние после наложения гастростомы</t>
  </si>
  <si>
    <t>Лазарев Мирон Юрьевич</t>
  </si>
  <si>
    <t>г. Кохма, ул. Ивановская, 92а, 9</t>
  </si>
  <si>
    <t>Круковский Максим Александрович</t>
  </si>
  <si>
    <t>г. Иваново, ул. 12-я Санаторная, 2, 6</t>
  </si>
  <si>
    <t>Тихомиров Никита Михайлович</t>
  </si>
  <si>
    <t>г.Родники мкр Машиностроителей 22</t>
  </si>
  <si>
    <t xml:space="preserve">Химический ожог ротоглотки, пищевода (?) </t>
  </si>
  <si>
    <t>Вичуга. Запрудная</t>
  </si>
  <si>
    <t>Иваново Строителей 88</t>
  </si>
  <si>
    <t>Ив. Р-н Дерябиха</t>
  </si>
  <si>
    <t>Кохма. Кочетова 53</t>
  </si>
  <si>
    <t>Бойков Д.А.</t>
  </si>
  <si>
    <t>Акбарова Фотима</t>
  </si>
  <si>
    <t>ОЧМТ. УГМ. Переломы черепа. Постановка датчика ВЧД</t>
  </si>
  <si>
    <t>Новиков Артем Владиславович</t>
  </si>
  <si>
    <t>Сочетанная травма. ЗЧМТ</t>
  </si>
  <si>
    <t>г. Фурманов</t>
  </si>
  <si>
    <t>Лоханов Денис Станисоавович</t>
  </si>
  <si>
    <t>Шуя Вихрева 80-21</t>
  </si>
  <si>
    <t xml:space="preserve">ДЦП. Эпилептическая энцефалопатия. </t>
  </si>
  <si>
    <t>Иваово Ташкентская 64</t>
  </si>
  <si>
    <t>Аппендэктомия Инфильтрат бр. Пол.</t>
  </si>
  <si>
    <t>Иваново Неждановская</t>
  </si>
  <si>
    <t>ОПЦНС, Пневмония</t>
  </si>
  <si>
    <t>Окатова Варвара Алексеевна</t>
  </si>
  <si>
    <t>Иваново 1 Комбинатская 1/2</t>
  </si>
  <si>
    <t>Вирусный энцефалит ?</t>
  </si>
  <si>
    <t>Иваново. Кооперативная</t>
  </si>
  <si>
    <t>ЖКК</t>
  </si>
  <si>
    <t>Лисина Алисия Антоновна</t>
  </si>
  <si>
    <t>Лазаренко Екатерина Вячеславовна</t>
  </si>
  <si>
    <t>7лет</t>
  </si>
  <si>
    <t>Иваново Велижская</t>
  </si>
  <si>
    <t>Эписиндром</t>
  </si>
  <si>
    <t>ЗЧМТ. УГМ</t>
  </si>
  <si>
    <t>Байков Даниил Александрович</t>
  </si>
  <si>
    <t>Байкова Вера Александровна</t>
  </si>
  <si>
    <t>Костин Василий Александрович</t>
  </si>
  <si>
    <t>Белоцерковский Мирон Дмитриевич</t>
  </si>
  <si>
    <t>Бондаренко Денис Валерьевич</t>
  </si>
  <si>
    <t>Дубков Виктор Андреевич</t>
  </si>
  <si>
    <t>Коняев Станислав Александрович</t>
  </si>
  <si>
    <t>Острый аппендицит. Лапаротомия, аппендэктомия, санация и дренирование брюшной полости  10.11.24</t>
  </si>
  <si>
    <t>Отравление бутиратом</t>
  </si>
  <si>
    <t>Костомаров Евгений Дмитриевич</t>
  </si>
  <si>
    <t>Краснов Денис Никитич</t>
  </si>
  <si>
    <t>Ивановская обл., г. Кинешма, ул. Вязниковская, 40</t>
  </si>
  <si>
    <t>ОЧМТ. УГМ ср. ст. тяж. Со сдавлением головного мозга импрессионным переломом правой височной кости. ПХО 05.11.24</t>
  </si>
  <si>
    <t>Малахов Артем  Дмитриевич</t>
  </si>
  <si>
    <t>Мальцев Эдуард Александрович</t>
  </si>
  <si>
    <t>Зарубин Сергей Алексеевич</t>
  </si>
  <si>
    <t>Силуянов Илья Евгеньевич</t>
  </si>
  <si>
    <t>Ивановская обл., г. Кинешма, ул. Высоковольтная, 39, 1</t>
  </si>
  <si>
    <t>ЗЧМТ. СГМ.</t>
  </si>
  <si>
    <t>Суспицин Артём Максимович</t>
  </si>
  <si>
    <t>Федорчукова Анастасия Владимировна</t>
  </si>
  <si>
    <t>Холов Хабиб Жамалиддинович</t>
  </si>
  <si>
    <t>Ивановская обл., Вичужский р-н, д. Кирикино, 34</t>
  </si>
  <si>
    <t>Сочет. Травма. ЗЧМТ. СГМ. ЗТГК. Ушиб лёгких. ТТЖ. Ушиб бр. Стенки. З/перелом н/3 левой бедр. Кости.</t>
  </si>
  <si>
    <t>Третьяков Даниил Витальевич</t>
  </si>
  <si>
    <t>Алексеева Юлия Олеговна</t>
  </si>
  <si>
    <t>Ивановский р-н, д. Коляново, ул. Мирная, 8</t>
  </si>
  <si>
    <t>Мациев Леон Русланович</t>
  </si>
  <si>
    <t>г. Иваново, ул. Комсомольская, 19а, 7</t>
  </si>
  <si>
    <t>Тарпан Никита Иванович</t>
  </si>
  <si>
    <t>г. Иваново, ул. 23я Линия, 24, 77</t>
  </si>
  <si>
    <t>Электротравма. Электроожог 1 пальца левой кисти 3 ст.</t>
  </si>
  <si>
    <t>Назакова Ева Эдуардовна</t>
  </si>
  <si>
    <t>Ивановская обл., г. Кохма, ул. Владимирская, 36, 14</t>
  </si>
  <si>
    <t>Бронхит острый обструктивный. ДН 2 ст.</t>
  </si>
  <si>
    <t>Эльдаров Адам Русланович</t>
  </si>
  <si>
    <t>г.Иваново, ул.Богдана Хмельницкого 30-153</t>
  </si>
  <si>
    <t>Анафилактический шок</t>
  </si>
  <si>
    <t>Белов Иван Сергеевич</t>
  </si>
  <si>
    <t>Балашова Алиса Сергеевна</t>
  </si>
  <si>
    <t>Иваново ул.Кудряшова 80-73</t>
  </si>
  <si>
    <t>Рзаев Руслан Натикович</t>
  </si>
  <si>
    <t>СД, кетацидоз</t>
  </si>
  <si>
    <t>г. Кохма, ул. Кочетовой, 53</t>
  </si>
  <si>
    <t>Миопатия Дюшенна. ДН 3 ст.</t>
  </si>
  <si>
    <t>Сосипатрова Арина Андреевна</t>
  </si>
  <si>
    <t>Ивановская обл., г. Тейково, ул. Молодёжная, 13, 9</t>
  </si>
  <si>
    <t>Острое отравление моксонидином</t>
  </si>
  <si>
    <t>Салахова Полина Сергеевна</t>
  </si>
  <si>
    <t>Коренева Полина Денисовна</t>
  </si>
  <si>
    <t>г. Иваново, мкрн Рождественский, 2, 119</t>
  </si>
  <si>
    <t>Желтуха грудного молока. Синдром угнетения.</t>
  </si>
  <si>
    <t>Наумов Кирил Олегович</t>
  </si>
  <si>
    <t>пр-кт Стороителей д 70 кв 40</t>
  </si>
  <si>
    <t>ЖКБ; калькулезный колецестит</t>
  </si>
  <si>
    <t>Осипова Василиса Александровна</t>
  </si>
  <si>
    <t>7я Минеевская 37/40</t>
  </si>
  <si>
    <t>О. аппендицит. Разлитой гнойный перитонит</t>
  </si>
  <si>
    <t>Кишечный свищ</t>
  </si>
  <si>
    <t>Рахими Халима</t>
  </si>
  <si>
    <t>опухоль мозга</t>
  </si>
  <si>
    <t>Жолдошбекова (девочка)</t>
  </si>
  <si>
    <t xml:space="preserve">г.Иваново, ул. Новая, д85. </t>
  </si>
  <si>
    <t>г. Вичуга</t>
  </si>
  <si>
    <t>Киселев Иван Алесандрович</t>
  </si>
  <si>
    <t>г. Иваново, ТЭЦ-3, 8-80</t>
  </si>
  <si>
    <t>Закрытное повреждение капсульно-связочного аппарата левого ТБС</t>
  </si>
  <si>
    <t>Горелова Анастасия Дмитриевна</t>
  </si>
  <si>
    <t>г.о Кохма , ул. Московская 55-1</t>
  </si>
  <si>
    <t>ЖКБ</t>
  </si>
  <si>
    <t>Пещеров Роман Васильевч</t>
  </si>
  <si>
    <t>р-н Ивановский, с.п. Чернореченское, с. Чернореченский, ул. Ленина 6</t>
  </si>
  <si>
    <t>Острый аппендицит</t>
  </si>
  <si>
    <t>Тимощук Дмитрий Андреевич</t>
  </si>
  <si>
    <t>г.Мваново, Кохомское шоссе 4-6</t>
  </si>
  <si>
    <t>Отравление этанолом</t>
  </si>
  <si>
    <t>Мельников Тимофей Станиславович</t>
  </si>
  <si>
    <t>г. Иваново, ул. Суворова</t>
  </si>
  <si>
    <t>Энцефалит</t>
  </si>
  <si>
    <t>Чурикова Карина Александровна</t>
  </si>
  <si>
    <t>г. Кохма, ул Кочеотва</t>
  </si>
  <si>
    <t>Хронический пиелонефрит</t>
  </si>
  <si>
    <t>пиелонефрит трансплантированной почки</t>
  </si>
  <si>
    <t>Столбец1</t>
  </si>
  <si>
    <t>Устинова Кира Леонидовна</t>
  </si>
  <si>
    <t>Гав. Посад</t>
  </si>
  <si>
    <t>Красильникова Аливия Максимовна</t>
  </si>
  <si>
    <t>Инвагинация</t>
  </si>
  <si>
    <t>Долгова Виктория Сергеевна</t>
  </si>
  <si>
    <t>г.Иваново, ул.кКуконковых, 128-52</t>
  </si>
  <si>
    <t>Новикова Анфиса Олеговна</t>
  </si>
  <si>
    <t>Тейково  пос Пчелина 2-2</t>
  </si>
  <si>
    <t>Отравление валокардином</t>
  </si>
  <si>
    <t>Кинешма ул. Кутузова 38</t>
  </si>
  <si>
    <t>Опухоль головного мозга</t>
  </si>
  <si>
    <t>Шестакова Виктория Эдуардовна</t>
  </si>
  <si>
    <t>Поздняя спаечная кишечная непроходимость</t>
  </si>
  <si>
    <t>Угарова Мария Александровна</t>
  </si>
  <si>
    <t>Котова Ксения Максимовна</t>
  </si>
  <si>
    <t>Лигатурный свищ</t>
  </si>
  <si>
    <t>Лебедева Дарья Юрьевна</t>
  </si>
  <si>
    <t>Мастонбекзода Зухра</t>
  </si>
  <si>
    <t>Ивановская обл., г. Вичуга, ул. Планировочная, 23</t>
  </si>
  <si>
    <t>Отравление деконгестантом.</t>
  </si>
  <si>
    <t>Непроходимость пищевода. Состояние после бужирования.</t>
  </si>
  <si>
    <t>Хромов Андрей Игоревич</t>
  </si>
  <si>
    <t>Ивановская обл., г. Шуя, ул. 3-я Текстильная, 59</t>
  </si>
  <si>
    <t>Поляковский Леонид Леонидович</t>
  </si>
  <si>
    <t>г. Кохма, ул. Московская, 55, 1</t>
  </si>
  <si>
    <t>Пневмония правосторонняя, ИВЛ-ассоциированная. Опухоль мозга. Трахеоканюляр.</t>
  </si>
  <si>
    <t>Пневмония правосторонняя субтотальная. Пневмогидроторакс. Нейрофиброматоз.</t>
  </si>
  <si>
    <t>Колесникова Ульяна Марковна</t>
  </si>
  <si>
    <t>г. Иваново, ул. Стрелковая, 8, 44</t>
  </si>
  <si>
    <t>Пароксизмальная наджелудочковая тахикардия. ОРВИ.</t>
  </si>
  <si>
    <t>Рогозин Александр Алексеевич</t>
  </si>
  <si>
    <t>г. Иваново, ул. Профессиональная, 37, 3</t>
  </si>
  <si>
    <t>ОНМК по ишемическому типу в бассейне ПСМА</t>
  </si>
  <si>
    <t>Парфёнова Татьяна Вячеславовна</t>
  </si>
  <si>
    <t>Ивановская обл., г. Южа, проезд Глушицкий, 4, 34</t>
  </si>
  <si>
    <t>пульмо</t>
  </si>
  <si>
    <t>Астафьев Данила Андреевич</t>
  </si>
  <si>
    <t>Иваново, Авдотьинская 32,33</t>
  </si>
  <si>
    <t>Острое ингаляционное отравление</t>
  </si>
  <si>
    <t>Архангельская Вероника Сергеевна</t>
  </si>
  <si>
    <t>Отравление суррогатами алгоголя</t>
  </si>
  <si>
    <t>Ланцов Матвей Николаевич</t>
  </si>
  <si>
    <t>Трахеомаляция</t>
  </si>
  <si>
    <t>Иванова Елизавета Викторовна</t>
  </si>
  <si>
    <t>Ивановская обл., Ивановский р-н, д. Беляницы, ул. Региональная, 8</t>
  </si>
  <si>
    <t>Подозрение на дисфункцию вентрикуло-перитонеального шунта.</t>
  </si>
  <si>
    <t>Климович Даниил Кириллович</t>
  </si>
  <si>
    <t>г. Иваново, ул. Демидова, 6, 41</t>
  </si>
  <si>
    <t>Термический ожог лица, шеи, передней грудной стенки, спины, верхних конечностей 2-3а ст. 18% тела. Ожоговый шок 1 ст.</t>
  </si>
  <si>
    <t>Катан Матвей Алексеевич</t>
  </si>
  <si>
    <t>закрыт оскольчат перелом в/3правой бедренной кости со смещением отломков</t>
  </si>
  <si>
    <t>Ивановская обл, г. Южа</t>
  </si>
  <si>
    <t>Чистякова Анна Дмитриевна</t>
  </si>
  <si>
    <t>Ивановск обл, г. Кинешма</t>
  </si>
  <si>
    <t>Левосторонняя нижнедолевая пневмония</t>
  </si>
  <si>
    <t>иваново, кохомское шоссе, 14- 155</t>
  </si>
  <si>
    <t>сахарный диабет 1 типа, кетоацидоз</t>
  </si>
  <si>
    <t>шуя, 2 высокая, д 34</t>
  </si>
  <si>
    <t>о менингоэнцефалит, судорожный синдром</t>
  </si>
  <si>
    <t>Опухоль головного мога</t>
  </si>
  <si>
    <t>отравление фенибутом</t>
  </si>
  <si>
    <t>Лапшина Арина Дмитриевна</t>
  </si>
  <si>
    <t>г Тейково ул Новожилова д 20 кв 9</t>
  </si>
  <si>
    <t>Острый обструктивный бронхит</t>
  </si>
  <si>
    <t>г.Вичуга, ул. Циалковского, д.23</t>
  </si>
  <si>
    <t>Изюмов Дмитрий Вячеславович</t>
  </si>
  <si>
    <t>Ивановский р-н, пос.Савино, ул. Комсомольская, д. 77</t>
  </si>
  <si>
    <t>Малова Елизавета Алексеевна</t>
  </si>
  <si>
    <t>г.Шуя, ул.Свердлова, д.113А, кв.2</t>
  </si>
  <si>
    <t>Острое отравление карбамазепином</t>
  </si>
  <si>
    <t>Алиев Гусейн Русланович</t>
  </si>
  <si>
    <t>г.Иваново, ул. Лежневская д.132, кв.70</t>
  </si>
  <si>
    <t>Кузнецова Алиса Артемовна</t>
  </si>
  <si>
    <t>Мезаденит</t>
  </si>
  <si>
    <t>пр. Строителей</t>
  </si>
  <si>
    <t>Перелом бедренной кости</t>
  </si>
  <si>
    <t>Войтикова Алина Алексеевна</t>
  </si>
  <si>
    <t>Залётов Владислав Сергеевич</t>
  </si>
  <si>
    <t>Колесникова Виктория Николаевна</t>
  </si>
  <si>
    <t>Ячменев Александр Евгеньевич</t>
  </si>
  <si>
    <t>Зайцева Надежда Васильевна</t>
  </si>
  <si>
    <t>Эпилепсия фокальная неуточненная. Эпистатус.</t>
  </si>
  <si>
    <t>г. Кохма, ул. Ивановская, 73, к. 2, 97</t>
  </si>
  <si>
    <t>Наумов Кирилл Олегович</t>
  </si>
  <si>
    <t>Нечаева Анастасия Дмитриевна</t>
  </si>
  <si>
    <t>Термический ожог кипятком шеи, передней грудной стенки, верхних конечностей 2-3а ст. 16% площади тела. Ож. Шок 1 ст.</t>
  </si>
  <si>
    <t>Ивановская обл., г. Вичуга, ул. 3-я Халтуринская, 58</t>
  </si>
  <si>
    <t>Веретенникова Елизавета Романовна</t>
  </si>
  <si>
    <t>г. Иваново, ул. 3-я Южная, 4а, 32</t>
  </si>
  <si>
    <t>Пневмония правосторонняя, аспирационная, тяжёлая. ДН 3 ст. ДЦП. Снижение минеральной плотности костной ткани.</t>
  </si>
  <si>
    <t>Кинешма, Кутузова,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</si>
</sst>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9C0006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</font>
  </fonts>
  <fills count="12">
    <fill>
      <patternFill patternType="none"/>
    </fill>
    <fill>
      <patternFill patternType="gray125"/>
    </fill>
    <fill>
      <patternFill patternType="solid">
        <fgColor theme="4" tint="0.39994506668294322"/>
        <bgColor theme="5" tint="0.5999938962981048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5999938962981048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0" fontId="1" fillId="9" borderId="0" applyNumberFormat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0" xfId="1" applyFont="1" applyFill="1" applyAlignment="1" applyProtection="1">
      <alignment horizontal="center" vertical="center" wrapText="1"/>
      <protection locked="0"/>
    </xf>
    <xf numFmtId="20" fontId="5" fillId="0" borderId="0" xfId="1" applyNumberFormat="1" applyFont="1" applyFill="1" applyAlignment="1">
      <alignment horizontal="center" vertical="center" wrapText="1"/>
    </xf>
    <xf numFmtId="14" fontId="5" fillId="0" borderId="0" xfId="1" applyNumberFormat="1" applyFont="1" applyFill="1" applyAlignment="1">
      <alignment horizontal="center" vertical="center" wrapText="1"/>
    </xf>
    <xf numFmtId="20" fontId="5" fillId="0" borderId="0" xfId="0" applyNumberFormat="1" applyFont="1" applyFill="1" applyAlignment="1">
      <alignment horizontal="center" vertical="center" wrapText="1"/>
    </xf>
    <xf numFmtId="14" fontId="5" fillId="0" borderId="0" xfId="0" applyNumberFormat="1" applyFont="1" applyFill="1" applyAlignment="1">
      <alignment horizontal="center" vertical="center" wrapText="1"/>
    </xf>
    <xf numFmtId="0" fontId="5" fillId="0" borderId="0" xfId="1" applyNumberFormat="1" applyFont="1" applyFill="1" applyAlignment="1">
      <alignment horizontal="center" vertical="center" wrapText="1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5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wrapText="1"/>
    </xf>
    <xf numFmtId="49" fontId="5" fillId="0" borderId="0" xfId="1" applyNumberFormat="1" applyFont="1" applyFill="1" applyAlignment="1">
      <alignment horizontal="center" vertical="center" wrapText="1"/>
    </xf>
    <xf numFmtId="14" fontId="7" fillId="0" borderId="0" xfId="2" applyNumberFormat="1" applyFont="1" applyFill="1" applyAlignment="1">
      <alignment horizontal="center" vertical="center" wrapText="1"/>
    </xf>
    <xf numFmtId="0" fontId="7" fillId="0" borderId="0" xfId="2" applyFont="1" applyFill="1" applyAlignment="1">
      <alignment horizontal="center" vertical="center" wrapText="1"/>
    </xf>
    <xf numFmtId="0" fontId="7" fillId="0" borderId="0" xfId="2" applyFont="1" applyFill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20" fontId="7" fillId="0" borderId="0" xfId="2" applyNumberFormat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 applyProtection="1">
      <alignment horizontal="center" vertical="center" wrapText="1"/>
      <protection locked="0"/>
    </xf>
    <xf numFmtId="14" fontId="7" fillId="0" borderId="0" xfId="1" applyNumberFormat="1" applyFont="1" applyFill="1" applyAlignment="1">
      <alignment horizontal="center" vertical="center" wrapText="1"/>
    </xf>
    <xf numFmtId="20" fontId="7" fillId="0" borderId="0" xfId="1" applyNumberFormat="1" applyFont="1" applyFill="1" applyAlignment="1">
      <alignment horizontal="center" vertical="center" wrapText="1"/>
    </xf>
    <xf numFmtId="49" fontId="7" fillId="0" borderId="0" xfId="1" applyNumberFormat="1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14" fontId="4" fillId="3" borderId="0" xfId="1" applyNumberFormat="1" applyAlignment="1">
      <alignment horizontal="center" vertical="center" wrapText="1"/>
    </xf>
    <xf numFmtId="20" fontId="4" fillId="3" borderId="0" xfId="1" applyNumberFormat="1" applyAlignment="1">
      <alignment horizontal="center" vertical="center" wrapText="1"/>
    </xf>
    <xf numFmtId="0" fontId="4" fillId="3" borderId="0" xfId="1" applyAlignment="1">
      <alignment horizontal="center" vertical="center" wrapText="1"/>
    </xf>
    <xf numFmtId="0" fontId="4" fillId="3" borderId="0" xfId="1" applyAlignment="1" applyProtection="1">
      <alignment horizontal="center" vertical="center" wrapText="1"/>
      <protection locked="0"/>
    </xf>
    <xf numFmtId="49" fontId="4" fillId="3" borderId="0" xfId="1" applyNumberForma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0" borderId="0" xfId="0" applyFont="1" applyFill="1" applyAlignment="1" applyProtection="1">
      <alignment horizontal="center" vertical="center" wrapText="1"/>
      <protection locked="0"/>
    </xf>
    <xf numFmtId="14" fontId="5" fillId="10" borderId="0" xfId="0" applyNumberFormat="1" applyFont="1" applyFill="1" applyAlignment="1">
      <alignment horizontal="center" vertical="center" wrapText="1"/>
    </xf>
    <xf numFmtId="20" fontId="5" fillId="10" borderId="0" xfId="0" applyNumberFormat="1" applyFont="1" applyFill="1" applyAlignment="1">
      <alignment horizontal="center" vertical="center" wrapText="1"/>
    </xf>
    <xf numFmtId="49" fontId="5" fillId="10" borderId="0" xfId="0" applyNumberFormat="1" applyFont="1" applyFill="1" applyAlignment="1">
      <alignment horizontal="center" vertical="center" wrapText="1"/>
    </xf>
    <xf numFmtId="20" fontId="9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0" xfId="0" applyFont="1" applyFill="1" applyAlignment="1" applyProtection="1">
      <alignment horizontal="center" vertical="center" wrapText="1"/>
      <protection locked="0"/>
    </xf>
    <xf numFmtId="14" fontId="5" fillId="11" borderId="0" xfId="0" applyNumberFormat="1" applyFont="1" applyFill="1" applyAlignment="1">
      <alignment horizontal="center" vertical="center" wrapText="1"/>
    </xf>
    <xf numFmtId="20" fontId="5" fillId="11" borderId="0" xfId="0" applyNumberFormat="1" applyFont="1" applyFill="1" applyAlignment="1">
      <alignment horizontal="center" vertical="center" wrapText="1"/>
    </xf>
    <xf numFmtId="49" fontId="5" fillId="11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  <protection locked="0"/>
    </xf>
    <xf numFmtId="14" fontId="10" fillId="0" borderId="0" xfId="0" applyNumberFormat="1" applyFont="1" applyFill="1" applyAlignment="1">
      <alignment horizontal="center" vertical="center" wrapText="1"/>
    </xf>
    <xf numFmtId="20" fontId="10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49" fontId="10" fillId="0" borderId="0" xfId="0" applyNumberFormat="1" applyFont="1" applyFill="1" applyAlignment="1">
      <alignment horizontal="center" vertical="center" wrapText="1"/>
    </xf>
    <xf numFmtId="0" fontId="4" fillId="3" borderId="0" xfId="1" applyNumberForma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14" fontId="5" fillId="0" borderId="0" xfId="0" applyNumberFormat="1" applyFont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1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Fill="1" applyAlignment="1" applyProtection="1">
      <alignment horizontal="center" vertical="center" wrapText="1"/>
      <protection locked="0"/>
    </xf>
    <xf numFmtId="0" fontId="11" fillId="0" borderId="0" xfId="0" applyFont="1" applyFill="1" applyAlignment="1" applyProtection="1">
      <alignment horizontal="center" vertical="center" wrapText="1"/>
      <protection locked="0"/>
    </xf>
    <xf numFmtId="14" fontId="1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49" fontId="11" fillId="0" borderId="0" xfId="0" applyNumberFormat="1" applyFont="1" applyFill="1" applyAlignment="1">
      <alignment horizontal="center" vertical="center" wrapText="1"/>
    </xf>
    <xf numFmtId="0" fontId="11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</cellXfs>
  <cellStyles count="3">
    <cellStyle name="20% — акцент1" xfId="2" builtinId="30"/>
    <cellStyle name="Обычный" xfId="0" builtinId="0"/>
    <cellStyle name="Плохой" xfId="1" builtinId="27"/>
  </cellStyles>
  <dxfs count="5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bazhenov/Downloads/&#1046;&#1091;&#1088;&#1085;&#1072;&#1083;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/>
      <sheetData sheetId="1">
        <row r="2">
          <cell r="G2" t="str">
            <v>ДХО-1</v>
          </cell>
        </row>
        <row r="3">
          <cell r="G3" t="str">
            <v>ДХО-2</v>
          </cell>
        </row>
        <row r="4">
          <cell r="G4" t="str">
            <v>ДОТО</v>
          </cell>
        </row>
        <row r="5">
          <cell r="G5" t="str">
            <v>Нефро</v>
          </cell>
        </row>
        <row r="6">
          <cell r="G6" t="str">
            <v>ОПНН</v>
          </cell>
        </row>
        <row r="7">
          <cell r="G7" t="str">
            <v>Пульмо</v>
          </cell>
        </row>
        <row r="8">
          <cell r="G8" t="str">
            <v>Педиатрия</v>
          </cell>
        </row>
        <row r="9">
          <cell r="G9" t="str">
            <v>Неврология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X2511" insertRowShift="1" totalsRowShown="0" headerRowDxfId="55" dataDxfId="54">
  <autoFilter ref="A1:X2511" xr:uid="{00000000-0009-0000-0100-000001000000}"/>
  <tableColumns count="24">
    <tableColumn id="1" xr3:uid="{00000000-0010-0000-0000-000001000000}" name="№ п/п" dataDxfId="53">
      <calculatedColumnFormula>ROW(A1)</calculatedColumnFormula>
    </tableColumn>
    <tableColumn id="2" xr3:uid="{00000000-0010-0000-0000-000002000000}" name="№ и/б" dataDxfId="52"/>
    <tableColumn id="3" xr3:uid="{00000000-0010-0000-0000-000003000000}" name="Отделение" dataDxfId="51"/>
    <tableColumn id="4" xr3:uid="{00000000-0010-0000-0000-000004000000}" name="Дата поступления" dataDxfId="50"/>
    <tableColumn id="5" xr3:uid="{00000000-0010-0000-0000-000005000000}" name="Время поступления" dataDxfId="49"/>
    <tableColumn id="6" xr3:uid="{00000000-0010-0000-0000-000006000000}" name="Фамилия, имя, отчество" dataDxfId="48"/>
    <tableColumn id="7" xr3:uid="{00000000-0010-0000-0000-000007000000}" name="Дата рождения" dataDxfId="47"/>
    <tableColumn id="8" xr3:uid="{00000000-0010-0000-0000-000008000000}" name="Возраст" dataDxfId="46">
      <calculatedColumnFormula>DATEDIF(G2,D2,"y") &amp; " г. " &amp; DATEDIF(G2,D2,"ym") &amp; " мес. " &amp; DATEDIF(G2,D2,"md") &amp; " дн."</calculatedColumnFormula>
    </tableColumn>
    <tableColumn id="9" xr3:uid="{00000000-0010-0000-0000-000009000000}" name="Канал поступления" dataDxfId="45"/>
    <tableColumn id="18" xr3:uid="{00000000-0010-0000-0000-000012000000}" name="Профиль отделения" dataDxfId="44"/>
    <tableColumn id="10" xr3:uid="{00000000-0010-0000-0000-00000A000000}" name="Адрес регистраци" dataDxfId="43"/>
    <tableColumn id="11" xr3:uid="{00000000-0010-0000-0000-00000B000000}" name="Диагноз при поступлении в ОРИТ" dataDxfId="42"/>
    <tableColumn id="16" xr3:uid="{00000000-0010-0000-0000-000010000000}" name="Категория диагноза" dataDxfId="41"/>
    <tableColumn id="12" xr3:uid="{00000000-0010-0000-0000-00000C000000}" name="Длительность ИВЛ" dataDxfId="40"/>
    <tableColumn id="25" xr3:uid="{00000000-0010-0000-0000-000019000000}" name="Сосудистый доступ" dataDxfId="39"/>
    <tableColumn id="24" xr3:uid="{00000000-0010-0000-0000-000018000000}" name="Регионарная анестезия" dataDxfId="38"/>
    <tableColumn id="23" xr3:uid="{00000000-0010-0000-0000-000017000000}" name="Трансфузии" dataDxfId="37"/>
    <tableColumn id="26" xr3:uid="{00000000-0010-0000-0000-00001A000000}" name="ЭКД" dataDxfId="36"/>
    <tableColumn id="14" xr3:uid="{00000000-0010-0000-0000-00000E000000}" name="Куда переведён" dataDxfId="35"/>
    <tableColumn id="15" xr3:uid="{00000000-0010-0000-0000-00000F000000}" name="Дата перевода" dataDxfId="34"/>
    <tableColumn id="17" xr3:uid="{00000000-0010-0000-0000-000011000000}" name="Время перевода" dataDxfId="33"/>
    <tableColumn id="19" xr3:uid="{00000000-0010-0000-0000-000013000000}" name="койко-дни" dataDxfId="32"/>
    <tableColumn id="13" xr3:uid="{00000000-0010-0000-0000-00000D000000}" name="Примечания" dataDxfId="31"/>
    <tableColumn id="20" xr3:uid="{67ADFC0F-052A-40E9-928F-1A283E9B3781}" name="Столбец1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U14" totalsRowShown="0" headerRowDxfId="29" dataDxfId="28">
  <autoFilter ref="A1:U14" xr:uid="{00000000-0009-0000-0100-000002000000}"/>
  <tableColumns count="21">
    <tableColumn id="1" xr3:uid="{00000000-0010-0000-0100-000001000000}" name="Длительность" dataDxfId="27"/>
    <tableColumn id="2" xr3:uid="{00000000-0010-0000-0100-000002000000}" name="Кол-во" dataDxfId="26">
      <calculatedColumnFormula>COUNTIF(Таблица4[[#This Row],[Длительность, сут.]], "&gt;=0")-COUNTIF(Таблица4[[#This Row],[Длительность, сут.]], "&gt;=1")-COUNTIF(Таблица1[[#This Row],[Дата перевода]], "=")</calculatedColumnFormula>
    </tableColumn>
    <tableColumn id="3" xr3:uid="{00000000-0010-0000-0100-000003000000}" name="Возраст" dataDxfId="25"/>
    <tableColumn id="4" xr3:uid="{00000000-0010-0000-0100-000004000000}" name="Кол-во2" dataDxfId="24">
      <calculatedColumnFormula>COUNTIF(W:W,"&gt;=0")-COUNTIF(W:W, "&gt;=6")</calculatedColumnFormula>
    </tableColumn>
    <tableColumn id="5" xr3:uid="{00000000-0010-0000-0100-000005000000}" name="Канал поступления" dataDxfId="23"/>
    <tableColumn id="6" xr3:uid="{00000000-0010-0000-0100-000006000000}" name="Кол-во3" dataDxfId="22">
      <calculatedColumnFormula>COUNTIF(Лист1!G:G, "СМП")</calculatedColumnFormula>
    </tableColumn>
    <tableColumn id="7" xr3:uid="{00000000-0010-0000-0100-000007000000}" name="Куда переведён" dataDxfId="21"/>
    <tableColumn id="8" xr3:uid="{00000000-0010-0000-0100-000008000000}" name="Кол-во4" dataDxfId="20">
      <calculatedColumnFormula>COUNTIF(Лист1!Q:Q, "ДХО-1")</calculatedColumnFormula>
    </tableColumn>
    <tableColumn id="9" xr3:uid="{00000000-0010-0000-0100-000009000000}" name="ИВЛ детям в возрасте" dataDxfId="19"/>
    <tableColumn id="10" xr3:uid="{00000000-0010-0000-0100-00000A000000}" name="Кол-во5" dataDxfId="18">
      <calculatedColumnFormula>COUNTIF(W:W,"&gt;=0")-COUNTIF(W:W, "&gt;=7")-COUNTIF(Таблица1[[#This Row],[Длительность ИВЛ]], "=0")+1</calculatedColumnFormula>
    </tableColumn>
    <tableColumn id="11" xr3:uid="{00000000-0010-0000-0100-00000B000000}" name="ИВЛ по срокам" dataDxfId="17"/>
    <tableColumn id="12" xr3:uid="{00000000-0010-0000-0100-00000C000000}" name="Кол-во6" dataDxfId="16">
      <calculatedColumnFormula>COUNTIFS(Лист1!N2:N2511,"&lt;24")-COUNTIFS(Лист1!N2:N2511,"=0")</calculatedColumnFormula>
    </tableColumn>
    <tableColumn id="15" xr3:uid="{00000000-0010-0000-0100-00000F000000}" name="Сосудистый доступ" dataDxfId="15"/>
    <tableColumn id="19" xr3:uid="{00000000-0010-0000-0100-000013000000}" name="Кол-во11" dataDxfId="14">
      <calculatedColumnFormula>COUNTIF(Лист1!M:M,"=Без доступа")</calculatedColumnFormula>
    </tableColumn>
    <tableColumn id="16" xr3:uid="{00000000-0010-0000-0100-000010000000}" name="Регион. анестезия" dataDxfId="13"/>
    <tableColumn id="17" xr3:uid="{00000000-0010-0000-0100-000011000000}" name="Кол-во9" dataDxfId="12">
      <calculatedColumnFormula>COUNTIF(Лист1!N:N,"Эпидур. анест.")</calculatedColumnFormula>
    </tableColumn>
    <tableColumn id="20" xr3:uid="{00000000-0010-0000-0100-000014000000}" name="Трансфузии" dataDxfId="11"/>
    <tableColumn id="21" xr3:uid="{00000000-0010-0000-0100-000015000000}" name="Кол-во93" dataDxfId="10"/>
    <tableColumn id="23" xr3:uid="{00000000-0010-0000-0100-000017000000}" name="ЭКД" dataDxfId="9"/>
    <tableColumn id="22" xr3:uid="{00000000-0010-0000-0100-000016000000}" name="Кол-во94" dataDxfId="8"/>
    <tableColumn id="13" xr3:uid="{00000000-0010-0000-0100-00000D000000}" name="Примечания" dataDxfId="7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Таблица4" displayName="Таблица4" ref="V1:W2511" totalsRowShown="0" headerRowDxfId="6" dataDxfId="5">
  <autoFilter ref="V1:W2511" xr:uid="{00000000-0009-0000-0100-000004000000}"/>
  <tableColumns count="2">
    <tableColumn id="1" xr3:uid="{00000000-0010-0000-0200-000001000000}" name="Длительность, сут." dataDxfId="4">
      <calculatedColumnFormula>Таблица1[[#This Row],[Дата перевода]]-Таблица1[[#This Row],[Дата поступления]]</calculatedColumnFormula>
    </tableColumn>
    <tableColumn id="2" xr3:uid="{00000000-0010-0000-0200-000002000000}" name="Возраст в днях" dataDxfId="3">
      <calculatedColumnFormula>Таблица1[[#This Row],[Дата поступления]]-Таблица1[[#This Row],[Дата рождения]]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Таблица3" displayName="Таблица3" ref="A1:B23" totalsRowShown="0" headerRowDxfId="2">
  <autoFilter ref="A1:B23" xr:uid="{00000000-0009-0000-0100-000003000000}"/>
  <tableColumns count="2">
    <tableColumn id="1" xr3:uid="{00000000-0010-0000-0300-000001000000}" name="Диагнозы" dataDxfId="1"/>
    <tableColumn id="2" xr3:uid="{00000000-0010-0000-0300-000002000000}" name="Кол-во" dataDxfId="0">
      <calculatedColumnFormula>COUNTIF(Лист1!K:K,"Инфекционные и паразитарные болезни")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1"/>
  <sheetViews>
    <sheetView tabSelected="1" topLeftCell="A502" zoomScale="90" zoomScaleNormal="90" workbookViewId="0">
      <selection activeCell="H515" sqref="H515"/>
    </sheetView>
  </sheetViews>
  <sheetFormatPr defaultColWidth="9.140625" defaultRowHeight="35.1" customHeight="1" x14ac:dyDescent="0.25"/>
  <cols>
    <col min="1" max="1" width="5.28515625" style="12" customWidth="1"/>
    <col min="2" max="2" width="11.5703125" style="20" customWidth="1"/>
    <col min="3" max="3" width="14.7109375" style="12" customWidth="1"/>
    <col min="4" max="4" width="12.140625" style="12" customWidth="1"/>
    <col min="5" max="5" width="11.42578125" style="12" customWidth="1"/>
    <col min="6" max="6" width="14.42578125" style="12" customWidth="1"/>
    <col min="7" max="7" width="18.85546875" style="12" customWidth="1"/>
    <col min="8" max="8" width="9.7109375" style="12" customWidth="1"/>
    <col min="9" max="9" width="22" style="12" customWidth="1"/>
    <col min="10" max="10" width="30" style="12" customWidth="1"/>
    <col min="11" max="11" width="16.140625" style="12" customWidth="1"/>
    <col min="12" max="12" width="15.85546875" style="12" customWidth="1"/>
    <col min="13" max="13" width="22.7109375" style="12" customWidth="1"/>
    <col min="14" max="16" width="15.85546875" style="12" customWidth="1"/>
    <col min="17" max="17" width="14.42578125" style="12" customWidth="1"/>
    <col min="18" max="18" width="12.140625" style="12" customWidth="1"/>
    <col min="19" max="19" width="11.42578125" style="12" customWidth="1"/>
    <col min="20" max="20" width="11.140625" style="12" bestFit="1" customWidth="1"/>
    <col min="21" max="21" width="18.140625" style="12" customWidth="1"/>
    <col min="22" max="22" width="12.5703125" style="12" customWidth="1"/>
    <col min="23" max="16384" width="9.140625" style="12"/>
  </cols>
  <sheetData>
    <row r="1" spans="1:24" ht="35.1" customHeight="1" x14ac:dyDescent="0.25">
      <c r="A1" s="12" t="s">
        <v>79</v>
      </c>
      <c r="B1" s="12" t="s">
        <v>0</v>
      </c>
      <c r="C1" s="20" t="s">
        <v>1</v>
      </c>
      <c r="D1" s="12" t="s">
        <v>2</v>
      </c>
      <c r="E1" s="12" t="s">
        <v>3</v>
      </c>
      <c r="F1" s="12" t="s">
        <v>67</v>
      </c>
      <c r="G1" s="12" t="s">
        <v>4</v>
      </c>
      <c r="H1" s="12" t="s">
        <v>5</v>
      </c>
      <c r="I1" s="12" t="s">
        <v>6</v>
      </c>
      <c r="J1" s="12" t="s">
        <v>69</v>
      </c>
      <c r="K1" s="12" t="s">
        <v>66</v>
      </c>
      <c r="L1" s="12" t="s">
        <v>10</v>
      </c>
      <c r="M1" s="12" t="s">
        <v>68</v>
      </c>
      <c r="N1" s="12" t="s">
        <v>7</v>
      </c>
      <c r="O1" s="12" t="s">
        <v>81</v>
      </c>
      <c r="P1" s="12" t="s">
        <v>82</v>
      </c>
      <c r="Q1" s="12" t="s">
        <v>83</v>
      </c>
      <c r="R1" s="12" t="s">
        <v>84</v>
      </c>
      <c r="S1" s="12" t="s">
        <v>8</v>
      </c>
      <c r="T1" s="12" t="s">
        <v>9</v>
      </c>
      <c r="U1" s="12" t="s">
        <v>74</v>
      </c>
      <c r="V1" s="12" t="s">
        <v>78</v>
      </c>
      <c r="W1" s="12" t="s">
        <v>131</v>
      </c>
      <c r="X1" s="72" t="s">
        <v>1340</v>
      </c>
    </row>
    <row r="2" spans="1:24" ht="35.1" customHeight="1" x14ac:dyDescent="0.25">
      <c r="A2" s="12">
        <f t="shared" ref="A2:A64" si="0">ROW(A1)</f>
        <v>1</v>
      </c>
      <c r="B2" s="12">
        <v>10</v>
      </c>
      <c r="C2" s="20" t="s">
        <v>80</v>
      </c>
      <c r="D2" s="18">
        <v>45292</v>
      </c>
      <c r="E2" s="17">
        <v>3.472222222222222E-3</v>
      </c>
      <c r="F2" s="12" t="s">
        <v>138</v>
      </c>
      <c r="G2" s="18">
        <v>45024</v>
      </c>
      <c r="H2" s="12" t="str">
        <f t="shared" ref="H2:H33" si="1">DATEDIF(G2,D2,"y") &amp; " г. " &amp; DATEDIF(G2,D2,"ym") &amp; " мес. " &amp; DATEDIF(G2,D2,"md") &amp; " дн."</f>
        <v>0 г. 8 мес. 24 дн.</v>
      </c>
      <c r="I2" s="12" t="s">
        <v>123</v>
      </c>
      <c r="J2" s="12" t="s">
        <v>80</v>
      </c>
      <c r="K2" s="12" t="s">
        <v>139</v>
      </c>
      <c r="L2" s="12" t="s">
        <v>1170</v>
      </c>
      <c r="M2" s="12" t="s">
        <v>46</v>
      </c>
      <c r="O2" s="12" t="s">
        <v>73</v>
      </c>
      <c r="S2" s="12" t="s">
        <v>80</v>
      </c>
      <c r="T2" s="18">
        <v>45321</v>
      </c>
      <c r="U2" s="17">
        <v>0.99652777777777779</v>
      </c>
      <c r="V2" s="12" t="str">
        <f t="shared" ref="V2:V65" si="2">DATEDIF(D2,T2,"y") &amp; " г. " &amp; DATEDIF(D2,T2,"ym") &amp; " мес. " &amp; DATEDIF(D2,T2,"md") &amp; " дн."</f>
        <v>0 г. 0 мес. 29 дн.</v>
      </c>
      <c r="W2" s="22"/>
      <c r="X2" s="72"/>
    </row>
    <row r="3" spans="1:24" ht="35.1" customHeight="1" x14ac:dyDescent="0.25">
      <c r="A3" s="12">
        <f t="shared" si="0"/>
        <v>2</v>
      </c>
      <c r="B3" s="12">
        <v>8</v>
      </c>
      <c r="C3" s="20" t="s">
        <v>80</v>
      </c>
      <c r="D3" s="18">
        <v>45292</v>
      </c>
      <c r="E3" s="17">
        <v>3.472222222222222E-3</v>
      </c>
      <c r="F3" s="12" t="s">
        <v>140</v>
      </c>
      <c r="G3" s="18">
        <v>41513</v>
      </c>
      <c r="H3" s="12" t="str">
        <f t="shared" si="1"/>
        <v>10 г. 4 мес. 5 дн.</v>
      </c>
      <c r="I3" s="12" t="s">
        <v>123</v>
      </c>
      <c r="J3" s="12" t="s">
        <v>80</v>
      </c>
      <c r="K3" s="12" t="s">
        <v>141</v>
      </c>
      <c r="L3" s="12" t="s">
        <v>142</v>
      </c>
      <c r="M3" s="12" t="s">
        <v>46</v>
      </c>
      <c r="N3" s="12">
        <v>230</v>
      </c>
      <c r="O3" s="12" t="s">
        <v>73</v>
      </c>
      <c r="S3" s="12" t="s">
        <v>31</v>
      </c>
      <c r="T3" s="18">
        <v>45301</v>
      </c>
      <c r="U3" s="17">
        <v>0.60416666666666663</v>
      </c>
      <c r="V3" s="12" t="str">
        <f t="shared" si="2"/>
        <v>0 г. 0 мес. 9 дн.</v>
      </c>
      <c r="W3" s="22"/>
      <c r="X3" s="72"/>
    </row>
    <row r="4" spans="1:24" ht="35.1" customHeight="1" x14ac:dyDescent="0.25">
      <c r="A4" s="12">
        <f t="shared" si="0"/>
        <v>3</v>
      </c>
      <c r="B4" s="12">
        <v>12</v>
      </c>
      <c r="C4" s="20" t="s">
        <v>26</v>
      </c>
      <c r="D4" s="18">
        <v>45292</v>
      </c>
      <c r="E4" s="17">
        <v>0.1875</v>
      </c>
      <c r="F4" s="12" t="s">
        <v>143</v>
      </c>
      <c r="G4" s="18">
        <v>39668</v>
      </c>
      <c r="H4" s="12" t="str">
        <f t="shared" si="1"/>
        <v>15 г. 4 мес. 24 дн.</v>
      </c>
      <c r="I4" s="12" t="s">
        <v>118</v>
      </c>
      <c r="K4" s="12" t="s">
        <v>145</v>
      </c>
      <c r="L4" s="12" t="s">
        <v>144</v>
      </c>
      <c r="M4" s="12" t="s">
        <v>55</v>
      </c>
      <c r="O4" s="12" t="s">
        <v>87</v>
      </c>
      <c r="S4" s="12" t="s">
        <v>26</v>
      </c>
      <c r="T4" s="18">
        <v>45292</v>
      </c>
      <c r="U4" s="17">
        <v>0.5</v>
      </c>
      <c r="V4" s="12" t="str">
        <f t="shared" si="2"/>
        <v>0 г. 0 мес. 0 дн.</v>
      </c>
      <c r="W4" s="22"/>
      <c r="X4" s="72"/>
    </row>
    <row r="5" spans="1:24" s="23" customFormat="1" ht="35.1" customHeight="1" x14ac:dyDescent="0.2">
      <c r="A5" s="12">
        <f t="shared" si="0"/>
        <v>4</v>
      </c>
      <c r="B5" s="12">
        <v>11</v>
      </c>
      <c r="C5" s="20" t="s">
        <v>26</v>
      </c>
      <c r="D5" s="18">
        <v>45292</v>
      </c>
      <c r="E5" s="17">
        <v>0.17708333333333334</v>
      </c>
      <c r="F5" s="12" t="s">
        <v>146</v>
      </c>
      <c r="G5" s="18">
        <v>39763</v>
      </c>
      <c r="H5" s="12" t="str">
        <f t="shared" si="1"/>
        <v>15 г. 1 мес. 21 дн.</v>
      </c>
      <c r="I5" s="12" t="s">
        <v>118</v>
      </c>
      <c r="J5" s="12"/>
      <c r="K5" s="12" t="s">
        <v>147</v>
      </c>
      <c r="L5" s="12" t="s">
        <v>148</v>
      </c>
      <c r="M5" s="12" t="s">
        <v>55</v>
      </c>
      <c r="N5" s="12"/>
      <c r="O5" s="12" t="s">
        <v>87</v>
      </c>
      <c r="P5" s="12"/>
      <c r="Q5" s="12"/>
      <c r="R5" s="12"/>
      <c r="S5" s="12" t="s">
        <v>26</v>
      </c>
      <c r="T5" s="18">
        <v>45292</v>
      </c>
      <c r="U5" s="17">
        <v>0.625</v>
      </c>
      <c r="V5" s="12" t="str">
        <f t="shared" si="2"/>
        <v>0 г. 0 мес. 0 дн.</v>
      </c>
      <c r="W5" s="22"/>
      <c r="X5" s="72"/>
    </row>
    <row r="6" spans="1:24" ht="35.1" customHeight="1" x14ac:dyDescent="0.25">
      <c r="A6" s="12">
        <f t="shared" si="0"/>
        <v>5</v>
      </c>
      <c r="B6" s="12">
        <v>6</v>
      </c>
      <c r="C6" s="20" t="s">
        <v>77</v>
      </c>
      <c r="D6" s="18">
        <v>45294</v>
      </c>
      <c r="E6" s="17">
        <v>0.70833333333333337</v>
      </c>
      <c r="F6" s="12" t="s">
        <v>149</v>
      </c>
      <c r="G6" s="18">
        <v>40146</v>
      </c>
      <c r="H6" s="12" t="str">
        <f t="shared" si="1"/>
        <v>14 г. 1 мес. 5 дн.</v>
      </c>
      <c r="I6" s="12" t="s">
        <v>119</v>
      </c>
      <c r="J6" s="12" t="s">
        <v>77</v>
      </c>
      <c r="K6" s="12" t="s">
        <v>150</v>
      </c>
      <c r="L6" s="12" t="s">
        <v>151</v>
      </c>
      <c r="M6" s="12" t="s">
        <v>49</v>
      </c>
      <c r="O6" s="12" t="s">
        <v>73</v>
      </c>
      <c r="P6" s="12" t="s">
        <v>94</v>
      </c>
      <c r="S6" s="12" t="s">
        <v>77</v>
      </c>
      <c r="T6" s="18">
        <v>45298</v>
      </c>
      <c r="U6" s="17">
        <v>0.5</v>
      </c>
      <c r="V6" s="12" t="str">
        <f t="shared" si="2"/>
        <v>0 г. 0 мес. 4 дн.</v>
      </c>
      <c r="W6" s="22"/>
      <c r="X6" s="72"/>
    </row>
    <row r="7" spans="1:24" ht="35.1" customHeight="1" x14ac:dyDescent="0.25">
      <c r="A7" s="12">
        <f t="shared" si="0"/>
        <v>6</v>
      </c>
      <c r="B7" s="12">
        <v>3</v>
      </c>
      <c r="C7" s="20" t="s">
        <v>23</v>
      </c>
      <c r="D7" s="18">
        <v>45294</v>
      </c>
      <c r="E7" s="17">
        <v>0.70486111111111116</v>
      </c>
      <c r="F7" s="12" t="s">
        <v>152</v>
      </c>
      <c r="G7" s="18">
        <v>41390</v>
      </c>
      <c r="H7" s="12" t="str">
        <f t="shared" si="1"/>
        <v>10 г. 8 мес. 8 дн.</v>
      </c>
      <c r="I7" s="12" t="s">
        <v>118</v>
      </c>
      <c r="K7" s="12" t="s">
        <v>153</v>
      </c>
      <c r="L7" s="12" t="s">
        <v>154</v>
      </c>
      <c r="M7" s="12" t="s">
        <v>52</v>
      </c>
      <c r="O7" s="12" t="s">
        <v>87</v>
      </c>
      <c r="S7" s="12" t="s">
        <v>23</v>
      </c>
      <c r="T7" s="18">
        <v>45295</v>
      </c>
      <c r="U7" s="17">
        <v>0.45833333333333331</v>
      </c>
      <c r="V7" s="12" t="str">
        <f t="shared" si="2"/>
        <v>0 г. 0 мес. 1 дн.</v>
      </c>
      <c r="W7" s="22"/>
      <c r="X7" s="72"/>
    </row>
    <row r="8" spans="1:24" ht="35.1" customHeight="1" x14ac:dyDescent="0.25">
      <c r="A8" s="12">
        <f t="shared" si="0"/>
        <v>7</v>
      </c>
      <c r="B8" s="12">
        <v>4</v>
      </c>
      <c r="C8" s="20" t="s">
        <v>23</v>
      </c>
      <c r="D8" s="18">
        <v>45295</v>
      </c>
      <c r="E8" s="17">
        <v>6.9444444444444441E-3</v>
      </c>
      <c r="F8" s="12" t="s">
        <v>155</v>
      </c>
      <c r="G8" s="18">
        <v>43187</v>
      </c>
      <c r="H8" s="12" t="str">
        <f t="shared" si="1"/>
        <v>5 г. 9 мес. 7 дн.</v>
      </c>
      <c r="I8" s="12" t="s">
        <v>118</v>
      </c>
      <c r="K8" s="12" t="s">
        <v>156</v>
      </c>
      <c r="L8" s="12" t="s">
        <v>157</v>
      </c>
      <c r="M8" s="12" t="s">
        <v>52</v>
      </c>
      <c r="N8" s="12">
        <v>436</v>
      </c>
      <c r="O8" s="12" t="s">
        <v>90</v>
      </c>
      <c r="Q8" s="12" t="s">
        <v>124</v>
      </c>
      <c r="R8" s="12" t="s">
        <v>103</v>
      </c>
      <c r="S8" s="12" t="s">
        <v>29</v>
      </c>
      <c r="T8" s="18">
        <v>45313</v>
      </c>
      <c r="U8" s="17">
        <v>0.1875</v>
      </c>
      <c r="V8" s="12" t="str">
        <f t="shared" si="2"/>
        <v>0 г. 0 мес. 18 дн.</v>
      </c>
      <c r="W8" s="22"/>
      <c r="X8" s="72"/>
    </row>
    <row r="9" spans="1:24" ht="35.1" customHeight="1" x14ac:dyDescent="0.25">
      <c r="A9" s="12">
        <f t="shared" si="0"/>
        <v>8</v>
      </c>
      <c r="B9" s="12">
        <v>20</v>
      </c>
      <c r="C9" s="20" t="s">
        <v>26</v>
      </c>
      <c r="D9" s="18">
        <v>45296</v>
      </c>
      <c r="E9" s="17">
        <v>0.71527777777777779</v>
      </c>
      <c r="F9" s="12" t="s">
        <v>158</v>
      </c>
      <c r="G9" s="18">
        <v>41326</v>
      </c>
      <c r="H9" s="12" t="str">
        <f t="shared" si="1"/>
        <v>10 г. 10 мес. 15 дн.</v>
      </c>
      <c r="I9" s="12" t="s">
        <v>118</v>
      </c>
      <c r="K9" s="12" t="s">
        <v>209</v>
      </c>
      <c r="L9" s="12" t="s">
        <v>159</v>
      </c>
      <c r="M9" s="12" t="s">
        <v>43</v>
      </c>
      <c r="O9" s="12" t="s">
        <v>87</v>
      </c>
      <c r="S9" s="12" t="s">
        <v>29</v>
      </c>
      <c r="T9" s="18">
        <v>45297</v>
      </c>
      <c r="U9" s="17">
        <v>0.45833333333333331</v>
      </c>
      <c r="V9" s="12" t="str">
        <f t="shared" si="2"/>
        <v>0 г. 0 мес. 1 дн.</v>
      </c>
      <c r="W9" s="22"/>
      <c r="X9" s="72"/>
    </row>
    <row r="10" spans="1:24" ht="35.1" customHeight="1" x14ac:dyDescent="0.25">
      <c r="A10" s="12">
        <f t="shared" si="0"/>
        <v>9</v>
      </c>
      <c r="B10" s="12">
        <v>13</v>
      </c>
      <c r="C10" s="20" t="s">
        <v>23</v>
      </c>
      <c r="D10" s="18">
        <v>45298</v>
      </c>
      <c r="E10" s="17">
        <v>0.82638888888888884</v>
      </c>
      <c r="F10" s="12" t="s">
        <v>160</v>
      </c>
      <c r="G10" s="18">
        <v>43025</v>
      </c>
      <c r="H10" s="12" t="str">
        <f t="shared" si="1"/>
        <v>6 г. 2 мес. 21 дн.</v>
      </c>
      <c r="I10" s="12" t="s">
        <v>118</v>
      </c>
      <c r="K10" s="12" t="s">
        <v>161</v>
      </c>
      <c r="L10" s="12" t="s">
        <v>162</v>
      </c>
      <c r="M10" s="12" t="s">
        <v>52</v>
      </c>
      <c r="O10" s="12" t="s">
        <v>87</v>
      </c>
      <c r="S10" s="12" t="s">
        <v>23</v>
      </c>
      <c r="T10" s="18">
        <v>45299</v>
      </c>
      <c r="U10" s="17">
        <v>0.5</v>
      </c>
      <c r="V10" s="12" t="str">
        <f t="shared" si="2"/>
        <v>0 г. 0 мес. 1 дн.</v>
      </c>
      <c r="W10" s="22"/>
      <c r="X10" s="72"/>
    </row>
    <row r="11" spans="1:24" ht="35.1" customHeight="1" x14ac:dyDescent="0.25">
      <c r="A11" s="12">
        <f t="shared" si="0"/>
        <v>10</v>
      </c>
      <c r="B11" s="12">
        <v>1392</v>
      </c>
      <c r="C11" s="20" t="s">
        <v>27</v>
      </c>
      <c r="D11" s="18">
        <v>45301</v>
      </c>
      <c r="E11" s="17">
        <v>0.72916666666666663</v>
      </c>
      <c r="F11" s="12" t="s">
        <v>163</v>
      </c>
      <c r="G11" s="18">
        <v>45216</v>
      </c>
      <c r="H11" s="12" t="str">
        <f t="shared" si="1"/>
        <v>0 г. 2 мес. 24 дн.</v>
      </c>
      <c r="I11" s="12" t="s">
        <v>119</v>
      </c>
      <c r="J11" s="12" t="s">
        <v>27</v>
      </c>
      <c r="K11" s="12" t="s">
        <v>164</v>
      </c>
      <c r="L11" s="12" t="s">
        <v>165</v>
      </c>
      <c r="M11" s="12" t="s">
        <v>45</v>
      </c>
      <c r="O11" s="12" t="s">
        <v>87</v>
      </c>
      <c r="S11" s="12" t="s">
        <v>27</v>
      </c>
      <c r="T11" s="18">
        <v>45302</v>
      </c>
      <c r="U11" s="17">
        <v>0.5</v>
      </c>
      <c r="V11" s="12" t="str">
        <f t="shared" si="2"/>
        <v>0 г. 0 мес. 1 дн.</v>
      </c>
      <c r="W11" s="22"/>
      <c r="X11" s="72"/>
    </row>
    <row r="12" spans="1:24" ht="35.1" customHeight="1" x14ac:dyDescent="0.25">
      <c r="A12" s="12">
        <f t="shared" si="0"/>
        <v>11</v>
      </c>
      <c r="B12" s="12">
        <v>39</v>
      </c>
      <c r="C12" s="20" t="s">
        <v>77</v>
      </c>
      <c r="D12" s="18">
        <v>45301</v>
      </c>
      <c r="E12" s="17">
        <v>0.95833333333333337</v>
      </c>
      <c r="F12" s="12" t="s">
        <v>166</v>
      </c>
      <c r="G12" s="18">
        <v>44766</v>
      </c>
      <c r="H12" s="12" t="str">
        <f t="shared" si="1"/>
        <v>1 г. 5 мес. 17 дн.</v>
      </c>
      <c r="I12" s="12" t="s">
        <v>118</v>
      </c>
      <c r="K12" s="12" t="s">
        <v>208</v>
      </c>
      <c r="L12" s="12" t="s">
        <v>167</v>
      </c>
      <c r="M12" s="12" t="s">
        <v>49</v>
      </c>
      <c r="O12" s="12" t="s">
        <v>73</v>
      </c>
      <c r="S12" s="12" t="s">
        <v>77</v>
      </c>
      <c r="T12" s="18">
        <v>45302</v>
      </c>
      <c r="U12" s="17">
        <v>0.52083333333333337</v>
      </c>
      <c r="V12" s="12" t="str">
        <f t="shared" si="2"/>
        <v>0 г. 0 мес. 1 дн.</v>
      </c>
      <c r="W12" s="22"/>
      <c r="X12" s="72"/>
    </row>
    <row r="13" spans="1:24" ht="35.1" customHeight="1" x14ac:dyDescent="0.25">
      <c r="A13" s="12">
        <f t="shared" si="0"/>
        <v>12</v>
      </c>
      <c r="B13" s="12">
        <v>42</v>
      </c>
      <c r="C13" s="20" t="s">
        <v>77</v>
      </c>
      <c r="D13" s="18">
        <v>45302</v>
      </c>
      <c r="E13" s="17">
        <v>4.1666666666666664E-2</v>
      </c>
      <c r="F13" s="12" t="s">
        <v>168</v>
      </c>
      <c r="G13" s="18">
        <v>38968</v>
      </c>
      <c r="H13" s="12" t="str">
        <f t="shared" si="1"/>
        <v>17 г. 4 мес. 3 дн.</v>
      </c>
      <c r="I13" s="12" t="s">
        <v>121</v>
      </c>
      <c r="J13" s="20"/>
      <c r="K13" s="12" t="s">
        <v>169</v>
      </c>
      <c r="L13" s="12" t="s">
        <v>170</v>
      </c>
      <c r="M13" s="12" t="s">
        <v>54</v>
      </c>
      <c r="O13" s="12" t="s">
        <v>88</v>
      </c>
      <c r="S13" s="12" t="s">
        <v>77</v>
      </c>
      <c r="T13" s="18">
        <v>45302</v>
      </c>
      <c r="U13" s="17">
        <v>0.58333333333333337</v>
      </c>
      <c r="V13" s="12" t="str">
        <f t="shared" si="2"/>
        <v>0 г. 0 мес. 0 дн.</v>
      </c>
      <c r="W13" s="22"/>
      <c r="X13" s="72"/>
    </row>
    <row r="14" spans="1:24" ht="35.1" customHeight="1" x14ac:dyDescent="0.25">
      <c r="A14" s="12">
        <f t="shared" si="0"/>
        <v>13</v>
      </c>
      <c r="B14" s="12">
        <v>4</v>
      </c>
      <c r="C14" s="20" t="s">
        <v>80</v>
      </c>
      <c r="D14" s="18">
        <v>45302</v>
      </c>
      <c r="E14" s="17">
        <v>0.28125</v>
      </c>
      <c r="F14" s="12" t="s">
        <v>171</v>
      </c>
      <c r="G14" s="18">
        <v>42529</v>
      </c>
      <c r="H14" s="12" t="str">
        <f t="shared" si="1"/>
        <v>7 г. 7 мес. 3 дн.</v>
      </c>
      <c r="I14" s="12" t="s">
        <v>120</v>
      </c>
      <c r="J14" s="12" t="s">
        <v>80</v>
      </c>
      <c r="K14" s="12" t="s">
        <v>172</v>
      </c>
      <c r="L14" s="12" t="s">
        <v>173</v>
      </c>
      <c r="M14" s="12" t="s">
        <v>48</v>
      </c>
      <c r="N14" s="12">
        <v>135</v>
      </c>
      <c r="O14" s="12" t="s">
        <v>73</v>
      </c>
      <c r="S14" s="12" t="s">
        <v>80</v>
      </c>
      <c r="T14" s="18">
        <v>45307</v>
      </c>
      <c r="U14" s="17">
        <v>0.58333333333333337</v>
      </c>
      <c r="V14" s="12" t="str">
        <f t="shared" si="2"/>
        <v>0 г. 0 мес. 5 дн.</v>
      </c>
      <c r="W14" s="22"/>
      <c r="X14" s="72"/>
    </row>
    <row r="15" spans="1:24" ht="35.1" customHeight="1" x14ac:dyDescent="0.25">
      <c r="A15" s="12">
        <f t="shared" si="0"/>
        <v>14</v>
      </c>
      <c r="B15" s="12">
        <v>32</v>
      </c>
      <c r="C15" s="20" t="s">
        <v>27</v>
      </c>
      <c r="D15" s="18">
        <v>45302</v>
      </c>
      <c r="E15" s="17">
        <v>0.95486111111111116</v>
      </c>
      <c r="F15" s="12" t="s">
        <v>174</v>
      </c>
      <c r="G15" s="18">
        <v>42633</v>
      </c>
      <c r="H15" s="12" t="str">
        <f t="shared" si="1"/>
        <v>7 г. 3 мес. 22 дн.</v>
      </c>
      <c r="I15" s="12" t="s">
        <v>118</v>
      </c>
      <c r="K15" s="12" t="s">
        <v>175</v>
      </c>
      <c r="L15" s="12" t="s">
        <v>176</v>
      </c>
      <c r="M15" s="12" t="s">
        <v>48</v>
      </c>
      <c r="O15" s="12" t="s">
        <v>87</v>
      </c>
      <c r="S15" s="12" t="s">
        <v>27</v>
      </c>
      <c r="T15" s="18">
        <v>45303</v>
      </c>
      <c r="U15" s="17">
        <v>0.5</v>
      </c>
      <c r="V15" s="12" t="str">
        <f t="shared" si="2"/>
        <v>0 г. 0 мес. 1 дн.</v>
      </c>
      <c r="W15" s="22"/>
      <c r="X15" s="72"/>
    </row>
    <row r="16" spans="1:24" ht="35.1" customHeight="1" x14ac:dyDescent="0.25">
      <c r="A16" s="12">
        <f t="shared" si="0"/>
        <v>15</v>
      </c>
      <c r="B16" s="12">
        <v>31</v>
      </c>
      <c r="C16" s="20" t="s">
        <v>27</v>
      </c>
      <c r="D16" s="18">
        <v>44937</v>
      </c>
      <c r="E16" s="17">
        <v>0.93055555555555547</v>
      </c>
      <c r="F16" s="12" t="s">
        <v>177</v>
      </c>
      <c r="G16" s="18">
        <v>44379</v>
      </c>
      <c r="H16" s="12" t="str">
        <f t="shared" si="1"/>
        <v>1 г. 6 мес. 9 дн.</v>
      </c>
      <c r="I16" s="12" t="s">
        <v>118</v>
      </c>
      <c r="K16" s="12" t="s">
        <v>175</v>
      </c>
      <c r="L16" s="12" t="s">
        <v>178</v>
      </c>
      <c r="M16" s="12" t="s">
        <v>48</v>
      </c>
      <c r="O16" s="12" t="s">
        <v>87</v>
      </c>
      <c r="S16" s="12" t="s">
        <v>27</v>
      </c>
      <c r="T16" s="18">
        <v>45303</v>
      </c>
      <c r="U16" s="17">
        <v>0.5</v>
      </c>
      <c r="V16" s="12" t="str">
        <f t="shared" si="2"/>
        <v>1 г. 0 мес. 1 дн.</v>
      </c>
      <c r="W16" s="22"/>
      <c r="X16" s="72"/>
    </row>
    <row r="17" spans="1:24" ht="35.1" customHeight="1" x14ac:dyDescent="0.25">
      <c r="A17" s="12">
        <f t="shared" si="0"/>
        <v>16</v>
      </c>
      <c r="B17" s="12">
        <v>64</v>
      </c>
      <c r="C17" s="20" t="s">
        <v>77</v>
      </c>
      <c r="D17" s="18">
        <v>45304</v>
      </c>
      <c r="E17" s="17">
        <v>0.82638888888888884</v>
      </c>
      <c r="F17" s="12" t="s">
        <v>210</v>
      </c>
      <c r="G17" s="18">
        <v>44696</v>
      </c>
      <c r="H17" s="12" t="str">
        <f t="shared" si="1"/>
        <v>1 г. 7 мес. 29 дн.</v>
      </c>
      <c r="I17" s="12" t="s">
        <v>118</v>
      </c>
      <c r="K17" s="12" t="s">
        <v>179</v>
      </c>
      <c r="L17" s="12" t="s">
        <v>180</v>
      </c>
      <c r="M17" s="12" t="s">
        <v>54</v>
      </c>
      <c r="O17" s="12" t="s">
        <v>73</v>
      </c>
      <c r="S17" s="12" t="s">
        <v>77</v>
      </c>
      <c r="T17" s="18">
        <v>45305</v>
      </c>
      <c r="U17" s="17">
        <v>0.66666666666666663</v>
      </c>
      <c r="V17" s="12" t="str">
        <f t="shared" si="2"/>
        <v>0 г. 0 мес. 1 дн.</v>
      </c>
      <c r="W17" s="22"/>
      <c r="X17" s="72"/>
    </row>
    <row r="18" spans="1:24" ht="35.1" customHeight="1" x14ac:dyDescent="0.25">
      <c r="A18" s="12">
        <f t="shared" si="0"/>
        <v>17</v>
      </c>
      <c r="B18" s="12">
        <v>63</v>
      </c>
      <c r="C18" s="20" t="s">
        <v>77</v>
      </c>
      <c r="D18" s="18">
        <v>45304</v>
      </c>
      <c r="E18" s="17">
        <v>0.68055555555555547</v>
      </c>
      <c r="F18" s="12" t="s">
        <v>181</v>
      </c>
      <c r="G18" s="18">
        <v>44740</v>
      </c>
      <c r="H18" s="12" t="str">
        <f t="shared" si="1"/>
        <v>1 г. 6 мес. 16 дн.</v>
      </c>
      <c r="I18" s="12" t="s">
        <v>118</v>
      </c>
      <c r="K18" s="12" t="s">
        <v>182</v>
      </c>
      <c r="L18" s="12" t="s">
        <v>183</v>
      </c>
      <c r="M18" s="12" t="s">
        <v>54</v>
      </c>
      <c r="O18" s="12" t="s">
        <v>73</v>
      </c>
      <c r="S18" s="12" t="s">
        <v>77</v>
      </c>
      <c r="T18" s="18">
        <v>45305</v>
      </c>
      <c r="U18" s="17">
        <v>0.47916666666666669</v>
      </c>
      <c r="V18" s="12" t="str">
        <f t="shared" si="2"/>
        <v>0 г. 0 мес. 1 дн.</v>
      </c>
      <c r="W18" s="22"/>
      <c r="X18" s="72"/>
    </row>
    <row r="19" spans="1:24" ht="35.1" customHeight="1" x14ac:dyDescent="0.25">
      <c r="A19" s="12">
        <f t="shared" si="0"/>
        <v>18</v>
      </c>
      <c r="B19" s="12">
        <v>38</v>
      </c>
      <c r="C19" s="20" t="s">
        <v>26</v>
      </c>
      <c r="D19" s="18">
        <v>45305</v>
      </c>
      <c r="E19" s="17">
        <v>0.59375</v>
      </c>
      <c r="F19" s="12" t="s">
        <v>191</v>
      </c>
      <c r="G19" s="18">
        <v>43886</v>
      </c>
      <c r="H19" s="12" t="str">
        <f t="shared" si="1"/>
        <v>3 г. 10 мес. 20 дн.</v>
      </c>
      <c r="I19" s="12" t="s">
        <v>118</v>
      </c>
      <c r="K19" s="12" t="s">
        <v>185</v>
      </c>
      <c r="L19" s="12" t="s">
        <v>184</v>
      </c>
      <c r="M19" s="12" t="s">
        <v>43</v>
      </c>
      <c r="O19" s="12" t="s">
        <v>87</v>
      </c>
      <c r="S19" s="12" t="s">
        <v>26</v>
      </c>
      <c r="T19" s="18">
        <v>45306</v>
      </c>
      <c r="U19" s="17">
        <v>0.5</v>
      </c>
      <c r="V19" s="12" t="str">
        <f t="shared" si="2"/>
        <v>0 г. 0 мес. 1 дн.</v>
      </c>
      <c r="W19" s="22"/>
      <c r="X19" s="72"/>
    </row>
    <row r="20" spans="1:24" ht="35.1" customHeight="1" x14ac:dyDescent="0.25">
      <c r="A20" s="12">
        <f t="shared" si="0"/>
        <v>19</v>
      </c>
      <c r="B20" s="12">
        <v>41</v>
      </c>
      <c r="C20" s="20" t="s">
        <v>26</v>
      </c>
      <c r="D20" s="18">
        <v>45306</v>
      </c>
      <c r="E20" s="17">
        <v>0.58333333333333337</v>
      </c>
      <c r="F20" s="12" t="s">
        <v>186</v>
      </c>
      <c r="G20" s="18">
        <v>44517</v>
      </c>
      <c r="H20" s="12" t="str">
        <f t="shared" si="1"/>
        <v>2 г. 1 мес. 29 дн.</v>
      </c>
      <c r="I20" s="12" t="s">
        <v>121</v>
      </c>
      <c r="K20" s="12" t="s">
        <v>187</v>
      </c>
      <c r="L20" s="12" t="s">
        <v>159</v>
      </c>
      <c r="M20" s="12" t="s">
        <v>43</v>
      </c>
      <c r="O20" s="12" t="s">
        <v>87</v>
      </c>
      <c r="S20" s="12" t="s">
        <v>29</v>
      </c>
      <c r="T20" s="18">
        <v>45307</v>
      </c>
      <c r="U20" s="17">
        <v>0.5</v>
      </c>
      <c r="V20" s="12" t="str">
        <f t="shared" si="2"/>
        <v>0 г. 0 мес. 1 дн.</v>
      </c>
      <c r="W20" s="22"/>
      <c r="X20" s="72"/>
    </row>
    <row r="21" spans="1:24" ht="35.1" customHeight="1" x14ac:dyDescent="0.25">
      <c r="A21" s="12">
        <f t="shared" si="0"/>
        <v>20</v>
      </c>
      <c r="B21" s="12">
        <v>45</v>
      </c>
      <c r="C21" s="20" t="s">
        <v>26</v>
      </c>
      <c r="D21" s="18">
        <v>45307</v>
      </c>
      <c r="E21" s="17">
        <v>0.89583333333333337</v>
      </c>
      <c r="F21" s="12" t="s">
        <v>188</v>
      </c>
      <c r="G21" s="18">
        <v>43650</v>
      </c>
      <c r="H21" s="12" t="str">
        <f t="shared" si="1"/>
        <v>4 г. 6 мес. 12 дн.</v>
      </c>
      <c r="I21" s="12" t="s">
        <v>120</v>
      </c>
      <c r="J21" s="12" t="s">
        <v>26</v>
      </c>
      <c r="K21" s="12" t="s">
        <v>189</v>
      </c>
      <c r="L21" s="12" t="s">
        <v>190</v>
      </c>
      <c r="M21" s="12" t="s">
        <v>48</v>
      </c>
      <c r="O21" s="12" t="s">
        <v>87</v>
      </c>
      <c r="S21" s="13" t="s">
        <v>27</v>
      </c>
      <c r="T21" s="18">
        <v>45309</v>
      </c>
      <c r="U21" s="17">
        <v>0.46527777777777773</v>
      </c>
      <c r="V21" s="12" t="str">
        <f t="shared" si="2"/>
        <v>0 г. 0 мес. 2 дн.</v>
      </c>
      <c r="W21" s="22"/>
      <c r="X21" s="72"/>
    </row>
    <row r="22" spans="1:24" ht="35.1" customHeight="1" x14ac:dyDescent="0.25">
      <c r="A22" s="12">
        <f t="shared" si="0"/>
        <v>21</v>
      </c>
      <c r="B22" s="12">
        <v>47</v>
      </c>
      <c r="C22" s="20" t="s">
        <v>26</v>
      </c>
      <c r="D22" s="18">
        <v>45308</v>
      </c>
      <c r="E22" s="17">
        <v>0.96527777777777779</v>
      </c>
      <c r="F22" s="12" t="s">
        <v>192</v>
      </c>
      <c r="G22" s="18">
        <v>44887</v>
      </c>
      <c r="H22" s="12" t="str">
        <f t="shared" si="1"/>
        <v>1 г. 1 мес. 26 дн.</v>
      </c>
      <c r="I22" s="12" t="s">
        <v>120</v>
      </c>
      <c r="J22" s="12" t="s">
        <v>26</v>
      </c>
      <c r="K22" s="12" t="s">
        <v>193</v>
      </c>
      <c r="L22" s="12" t="s">
        <v>194</v>
      </c>
      <c r="M22" s="12" t="s">
        <v>48</v>
      </c>
      <c r="O22" s="12" t="s">
        <v>87</v>
      </c>
      <c r="S22" s="12" t="s">
        <v>26</v>
      </c>
      <c r="T22" s="18">
        <v>45309</v>
      </c>
      <c r="U22" s="17">
        <v>0.5</v>
      </c>
      <c r="V22" s="12" t="str">
        <f t="shared" si="2"/>
        <v>0 г. 0 мес. 1 дн.</v>
      </c>
      <c r="W22" s="22"/>
      <c r="X22" s="72"/>
    </row>
    <row r="23" spans="1:24" ht="35.1" customHeight="1" x14ac:dyDescent="0.25">
      <c r="A23" s="12">
        <f t="shared" si="0"/>
        <v>22</v>
      </c>
      <c r="B23" s="12">
        <v>30</v>
      </c>
      <c r="C23" s="20" t="s">
        <v>28</v>
      </c>
      <c r="D23" s="18">
        <v>45309</v>
      </c>
      <c r="E23" s="17">
        <v>0.48958333333333331</v>
      </c>
      <c r="F23" s="12" t="s">
        <v>195</v>
      </c>
      <c r="G23" s="18">
        <v>42817</v>
      </c>
      <c r="H23" s="12" t="str">
        <f t="shared" si="1"/>
        <v>6 г. 9 мес. 26 дн.</v>
      </c>
      <c r="I23" s="12" t="s">
        <v>118</v>
      </c>
      <c r="K23" s="12" t="s">
        <v>196</v>
      </c>
      <c r="L23" s="12" t="s">
        <v>197</v>
      </c>
      <c r="M23" s="12" t="s">
        <v>46</v>
      </c>
      <c r="O23" s="12" t="s">
        <v>87</v>
      </c>
      <c r="P23" s="13"/>
      <c r="Q23" s="13"/>
      <c r="R23" s="13"/>
      <c r="S23" s="13" t="s">
        <v>28</v>
      </c>
      <c r="T23" s="18">
        <v>45310</v>
      </c>
      <c r="U23" s="17">
        <v>0.45833333333333331</v>
      </c>
      <c r="V23" s="12" t="str">
        <f t="shared" si="2"/>
        <v>0 г. 0 мес. 1 дн.</v>
      </c>
      <c r="W23" s="22"/>
      <c r="X23" s="72"/>
    </row>
    <row r="24" spans="1:24" ht="35.1" customHeight="1" x14ac:dyDescent="0.25">
      <c r="A24" s="12">
        <f t="shared" si="0"/>
        <v>23</v>
      </c>
      <c r="B24" s="12">
        <v>1322</v>
      </c>
      <c r="C24" s="20" t="s">
        <v>27</v>
      </c>
      <c r="D24" s="18">
        <v>45292</v>
      </c>
      <c r="E24" s="17">
        <v>5.7870370370370366E-5</v>
      </c>
      <c r="F24" s="12" t="s">
        <v>198</v>
      </c>
      <c r="G24" s="18">
        <v>45260</v>
      </c>
      <c r="H24" s="12" t="str">
        <f t="shared" si="1"/>
        <v>0 г. 1 мес. 2 дн.</v>
      </c>
      <c r="I24" s="12" t="s">
        <v>123</v>
      </c>
      <c r="J24" s="12" t="s">
        <v>27</v>
      </c>
      <c r="K24" s="12" t="s">
        <v>147</v>
      </c>
      <c r="L24" s="12" t="s">
        <v>199</v>
      </c>
      <c r="M24" s="12" t="s">
        <v>48</v>
      </c>
      <c r="O24" s="12" t="s">
        <v>73</v>
      </c>
      <c r="S24" s="12" t="s">
        <v>27</v>
      </c>
      <c r="T24" s="18">
        <v>45306</v>
      </c>
      <c r="U24" s="17">
        <v>0.5</v>
      </c>
      <c r="V24" s="12" t="str">
        <f t="shared" si="2"/>
        <v>0 г. 0 мес. 14 дн.</v>
      </c>
      <c r="W24" s="22"/>
      <c r="X24" s="72"/>
    </row>
    <row r="25" spans="1:24" ht="35.1" customHeight="1" x14ac:dyDescent="0.25">
      <c r="A25" s="40">
        <f t="shared" si="0"/>
        <v>24</v>
      </c>
      <c r="B25" s="40">
        <v>48</v>
      </c>
      <c r="C25" s="41" t="s">
        <v>26</v>
      </c>
      <c r="D25" s="38">
        <v>45309</v>
      </c>
      <c r="E25" s="39">
        <v>0.57986111111111105</v>
      </c>
      <c r="F25" s="40" t="s">
        <v>200</v>
      </c>
      <c r="G25" s="38">
        <v>41694</v>
      </c>
      <c r="H25" s="40" t="str">
        <f t="shared" si="1"/>
        <v>9 г. 10 мес. 25 дн.</v>
      </c>
      <c r="I25" s="40" t="s">
        <v>121</v>
      </c>
      <c r="J25" s="40"/>
      <c r="K25" s="40" t="s">
        <v>201</v>
      </c>
      <c r="L25" s="40" t="s">
        <v>202</v>
      </c>
      <c r="M25" s="40" t="s">
        <v>41</v>
      </c>
      <c r="N25" s="40">
        <v>336</v>
      </c>
      <c r="O25" s="40" t="s">
        <v>73</v>
      </c>
      <c r="P25" s="40"/>
      <c r="Q25" s="40" t="s">
        <v>100</v>
      </c>
      <c r="R25" s="40"/>
      <c r="S25" s="40" t="s">
        <v>30</v>
      </c>
      <c r="T25" s="38">
        <v>45323</v>
      </c>
      <c r="U25" s="39">
        <v>0.4201388888888889</v>
      </c>
      <c r="V25" s="40" t="str">
        <f t="shared" si="2"/>
        <v>0 г. 0 мес. 14 дн.</v>
      </c>
      <c r="W25" s="22"/>
      <c r="X25" s="72"/>
    </row>
    <row r="26" spans="1:24" s="23" customFormat="1" ht="35.1" customHeight="1" x14ac:dyDescent="0.2">
      <c r="A26" s="12">
        <v>25</v>
      </c>
      <c r="B26" s="12">
        <v>50</v>
      </c>
      <c r="C26" s="20" t="s">
        <v>26</v>
      </c>
      <c r="D26" s="18">
        <v>45310</v>
      </c>
      <c r="E26" s="17">
        <v>0.4861111111111111</v>
      </c>
      <c r="F26" s="12" t="s">
        <v>203</v>
      </c>
      <c r="G26" s="18">
        <v>45268</v>
      </c>
      <c r="H26" s="12" t="str">
        <f t="shared" si="1"/>
        <v>0 г. 1 мес. 11 дн.</v>
      </c>
      <c r="I26" s="12" t="s">
        <v>120</v>
      </c>
      <c r="J26" s="12" t="s">
        <v>26</v>
      </c>
      <c r="K26" s="12" t="s">
        <v>204</v>
      </c>
      <c r="L26" s="12" t="s">
        <v>256</v>
      </c>
      <c r="M26" s="12" t="s">
        <v>49</v>
      </c>
      <c r="N26" s="12"/>
      <c r="O26" s="12" t="s">
        <v>73</v>
      </c>
      <c r="P26" s="12"/>
      <c r="Q26" s="12"/>
      <c r="R26" s="12"/>
      <c r="S26" s="12" t="s">
        <v>26</v>
      </c>
      <c r="T26" s="18">
        <v>45313</v>
      </c>
      <c r="U26" s="17">
        <v>0.45833333333333331</v>
      </c>
      <c r="V26" s="12" t="str">
        <f t="shared" si="2"/>
        <v>0 г. 0 мес. 3 дн.</v>
      </c>
      <c r="W26" s="22"/>
      <c r="X26" s="72"/>
    </row>
    <row r="27" spans="1:24" ht="35.1" customHeight="1" x14ac:dyDescent="0.25">
      <c r="A27" s="12">
        <f t="shared" si="0"/>
        <v>26</v>
      </c>
      <c r="B27" s="12">
        <v>53</v>
      </c>
      <c r="C27" s="20" t="s">
        <v>26</v>
      </c>
      <c r="D27" s="18">
        <v>45310</v>
      </c>
      <c r="E27" s="17">
        <v>0.71875</v>
      </c>
      <c r="F27" s="12" t="s">
        <v>205</v>
      </c>
      <c r="G27" s="18">
        <v>39972</v>
      </c>
      <c r="H27" s="12" t="str">
        <f t="shared" si="1"/>
        <v>14 г. 7 мес. 11 дн.</v>
      </c>
      <c r="I27" s="12" t="s">
        <v>121</v>
      </c>
      <c r="K27" s="12" t="s">
        <v>206</v>
      </c>
      <c r="L27" s="12" t="s">
        <v>207</v>
      </c>
      <c r="M27" s="12" t="s">
        <v>49</v>
      </c>
      <c r="O27" s="12" t="s">
        <v>73</v>
      </c>
      <c r="S27" s="12" t="s">
        <v>26</v>
      </c>
      <c r="T27" s="18">
        <v>45313</v>
      </c>
      <c r="U27" s="17">
        <v>0.5</v>
      </c>
      <c r="V27" s="12" t="str">
        <f t="shared" si="2"/>
        <v>0 г. 0 мес. 3 дн.</v>
      </c>
      <c r="W27" s="22"/>
      <c r="X27" s="72"/>
    </row>
    <row r="28" spans="1:24" ht="49.5" customHeight="1" x14ac:dyDescent="0.25">
      <c r="A28" s="40">
        <f t="shared" si="0"/>
        <v>27</v>
      </c>
      <c r="B28" s="40">
        <v>43</v>
      </c>
      <c r="C28" s="41" t="s">
        <v>27</v>
      </c>
      <c r="D28" s="38">
        <v>45306</v>
      </c>
      <c r="E28" s="39">
        <v>3.472222222222222E-3</v>
      </c>
      <c r="F28" s="40" t="s">
        <v>211</v>
      </c>
      <c r="G28" s="38">
        <v>45260</v>
      </c>
      <c r="H28" s="40" t="str">
        <f t="shared" si="1"/>
        <v>0 г. 1 мес. 16 дн.</v>
      </c>
      <c r="I28" s="40" t="s">
        <v>123</v>
      </c>
      <c r="J28" s="40" t="s">
        <v>27</v>
      </c>
      <c r="K28" s="40" t="s">
        <v>212</v>
      </c>
      <c r="L28" s="40" t="s">
        <v>213</v>
      </c>
      <c r="M28" s="40" t="s">
        <v>56</v>
      </c>
      <c r="N28" s="40">
        <v>312</v>
      </c>
      <c r="O28" s="40" t="s">
        <v>73</v>
      </c>
      <c r="P28" s="40"/>
      <c r="Q28" s="40" t="s">
        <v>127</v>
      </c>
      <c r="R28" s="40"/>
      <c r="S28" s="40" t="s">
        <v>30</v>
      </c>
      <c r="T28" s="38">
        <v>45319</v>
      </c>
      <c r="U28" s="39">
        <v>0.60416666666666663</v>
      </c>
      <c r="V28" s="40" t="str">
        <f t="shared" si="2"/>
        <v>0 г. 0 мес. 13 дн.</v>
      </c>
      <c r="W28" s="22"/>
      <c r="X28" s="72"/>
    </row>
    <row r="29" spans="1:24" ht="35.1" customHeight="1" x14ac:dyDescent="0.25">
      <c r="A29" s="12">
        <f t="shared" si="0"/>
        <v>28</v>
      </c>
      <c r="B29" s="12">
        <v>37</v>
      </c>
      <c r="C29" s="20" t="s">
        <v>28</v>
      </c>
      <c r="D29" s="18">
        <v>45312</v>
      </c>
      <c r="E29" s="17">
        <v>0.77777777777777779</v>
      </c>
      <c r="F29" s="12" t="s">
        <v>214</v>
      </c>
      <c r="G29" s="18">
        <v>44287</v>
      </c>
      <c r="H29" s="12" t="str">
        <f t="shared" si="1"/>
        <v>2 г. 9 мес. 20 дн.</v>
      </c>
      <c r="I29" s="12" t="s">
        <v>118</v>
      </c>
      <c r="K29" s="12" t="s">
        <v>215</v>
      </c>
      <c r="L29" s="12" t="s">
        <v>216</v>
      </c>
      <c r="M29" s="12" t="s">
        <v>40</v>
      </c>
      <c r="O29" s="12" t="s">
        <v>87</v>
      </c>
      <c r="S29" s="12" t="s">
        <v>28</v>
      </c>
      <c r="T29" s="18">
        <v>45313</v>
      </c>
      <c r="U29" s="17">
        <v>0.45833333333333331</v>
      </c>
      <c r="V29" s="12" t="str">
        <f t="shared" si="2"/>
        <v>0 г. 0 мес. 1 дн.</v>
      </c>
      <c r="W29" s="22"/>
      <c r="X29" s="72"/>
    </row>
    <row r="30" spans="1:24" ht="35.1" customHeight="1" x14ac:dyDescent="0.25">
      <c r="A30" s="12">
        <f t="shared" si="0"/>
        <v>29</v>
      </c>
      <c r="B30" s="12">
        <v>37</v>
      </c>
      <c r="C30" s="20" t="s">
        <v>28</v>
      </c>
      <c r="D30" s="18">
        <v>45314</v>
      </c>
      <c r="E30" s="17">
        <v>0.67361111111111116</v>
      </c>
      <c r="F30" s="12" t="s">
        <v>214</v>
      </c>
      <c r="G30" s="18">
        <v>44287</v>
      </c>
      <c r="H30" s="12" t="str">
        <f t="shared" si="1"/>
        <v>2 г. 9 мес. 22 дн.</v>
      </c>
      <c r="I30" s="12" t="s">
        <v>123</v>
      </c>
      <c r="J30" s="12" t="s">
        <v>28</v>
      </c>
      <c r="K30" s="12" t="s">
        <v>215</v>
      </c>
      <c r="L30" s="12" t="s">
        <v>216</v>
      </c>
      <c r="M30" s="12" t="s">
        <v>40</v>
      </c>
      <c r="O30" s="12" t="s">
        <v>87</v>
      </c>
      <c r="S30" s="12" t="s">
        <v>29</v>
      </c>
      <c r="T30" s="18">
        <v>45319</v>
      </c>
      <c r="U30" s="17">
        <v>0.77083333333333337</v>
      </c>
      <c r="V30" s="12" t="str">
        <f t="shared" si="2"/>
        <v>0 г. 0 мес. 5 дн.</v>
      </c>
      <c r="W30" s="22"/>
      <c r="X30" s="72"/>
    </row>
    <row r="31" spans="1:24" ht="35.1" customHeight="1" x14ac:dyDescent="0.25">
      <c r="A31" s="12">
        <f t="shared" si="0"/>
        <v>30</v>
      </c>
      <c r="B31" s="12">
        <v>164</v>
      </c>
      <c r="C31" s="20" t="s">
        <v>77</v>
      </c>
      <c r="D31" s="18">
        <v>45314</v>
      </c>
      <c r="E31" s="17">
        <v>0.72916666666666663</v>
      </c>
      <c r="F31" s="12" t="s">
        <v>217</v>
      </c>
      <c r="G31" s="18">
        <v>45116</v>
      </c>
      <c r="H31" s="12" t="str">
        <f t="shared" si="1"/>
        <v>0 г. 6 мес. 14 дн.</v>
      </c>
      <c r="I31" s="12" t="s">
        <v>75</v>
      </c>
      <c r="K31" s="12" t="s">
        <v>218</v>
      </c>
      <c r="L31" s="12" t="s">
        <v>219</v>
      </c>
      <c r="M31" s="12" t="s">
        <v>46</v>
      </c>
      <c r="N31" s="12">
        <v>810</v>
      </c>
      <c r="O31" s="12" t="s">
        <v>87</v>
      </c>
      <c r="S31" s="12" t="s">
        <v>77</v>
      </c>
      <c r="T31" s="18">
        <v>45348</v>
      </c>
      <c r="U31" s="17">
        <v>0.58333333333333337</v>
      </c>
      <c r="V31" s="12" t="str">
        <f t="shared" si="2"/>
        <v>0 г. 1 мес. 3 дн.</v>
      </c>
      <c r="W31" s="22"/>
      <c r="X31" s="72"/>
    </row>
    <row r="32" spans="1:24" ht="35.1" customHeight="1" x14ac:dyDescent="0.25">
      <c r="A32" s="12">
        <f t="shared" si="0"/>
        <v>31</v>
      </c>
      <c r="B32" s="12">
        <v>185</v>
      </c>
      <c r="C32" s="20" t="s">
        <v>77</v>
      </c>
      <c r="D32" s="18">
        <v>45316</v>
      </c>
      <c r="E32" s="17">
        <v>0.61805555555555558</v>
      </c>
      <c r="F32" s="12" t="s">
        <v>220</v>
      </c>
      <c r="G32" s="18">
        <v>45260</v>
      </c>
      <c r="H32" s="12" t="str">
        <f t="shared" si="1"/>
        <v>0 г. 1 мес. 26 дн.</v>
      </c>
      <c r="I32" s="12" t="s">
        <v>121</v>
      </c>
      <c r="J32" s="20"/>
      <c r="K32" s="12" t="s">
        <v>221</v>
      </c>
      <c r="L32" s="12" t="s">
        <v>222</v>
      </c>
      <c r="M32" s="12" t="s">
        <v>56</v>
      </c>
      <c r="O32" s="12" t="s">
        <v>87</v>
      </c>
      <c r="S32" s="12" t="s">
        <v>77</v>
      </c>
      <c r="T32" s="18">
        <v>45320</v>
      </c>
      <c r="U32" s="17">
        <v>0.66666666666666663</v>
      </c>
      <c r="V32" s="12" t="str">
        <f t="shared" si="2"/>
        <v>0 г. 0 мес. 4 дн.</v>
      </c>
      <c r="W32" s="22"/>
      <c r="X32" s="72"/>
    </row>
    <row r="33" spans="1:24" ht="35.1" customHeight="1" x14ac:dyDescent="0.25">
      <c r="A33" s="12">
        <f t="shared" si="0"/>
        <v>32</v>
      </c>
      <c r="B33" s="12">
        <v>88</v>
      </c>
      <c r="C33" s="20" t="s">
        <v>26</v>
      </c>
      <c r="D33" s="18">
        <v>45320</v>
      </c>
      <c r="E33" s="17">
        <v>0.69097222222222221</v>
      </c>
      <c r="F33" s="12" t="s">
        <v>223</v>
      </c>
      <c r="G33" s="18">
        <v>44824</v>
      </c>
      <c r="H33" s="12" t="str">
        <f t="shared" si="1"/>
        <v>1 г. 4 мес. 9 дн.</v>
      </c>
      <c r="I33" s="12" t="s">
        <v>118</v>
      </c>
      <c r="J33" s="20"/>
      <c r="K33" s="12" t="s">
        <v>224</v>
      </c>
      <c r="L33" s="12" t="s">
        <v>225</v>
      </c>
      <c r="M33" s="12" t="s">
        <v>43</v>
      </c>
      <c r="O33" s="12" t="s">
        <v>87</v>
      </c>
      <c r="S33" s="12" t="s">
        <v>29</v>
      </c>
      <c r="T33" s="18">
        <v>45321</v>
      </c>
      <c r="U33" s="17">
        <v>0.5</v>
      </c>
      <c r="V33" s="12" t="str">
        <f t="shared" si="2"/>
        <v>0 г. 0 мес. 1 дн.</v>
      </c>
      <c r="W33" s="22"/>
      <c r="X33" s="72"/>
    </row>
    <row r="34" spans="1:24" ht="35.1" customHeight="1" x14ac:dyDescent="0.25">
      <c r="A34" s="12">
        <f t="shared" si="0"/>
        <v>33</v>
      </c>
      <c r="B34" s="12">
        <v>235</v>
      </c>
      <c r="C34" s="20" t="s">
        <v>77</v>
      </c>
      <c r="D34" s="18">
        <v>45322</v>
      </c>
      <c r="E34" s="17">
        <v>0.56944444444444442</v>
      </c>
      <c r="F34" s="12" t="s">
        <v>226</v>
      </c>
      <c r="G34" s="18">
        <v>44666</v>
      </c>
      <c r="H34" s="12" t="str">
        <f t="shared" ref="H34:H65" si="3">DATEDIF(G34,D34,"y") &amp; " г. " &amp; DATEDIF(G34,D34,"ym") &amp; " мес. " &amp; DATEDIF(G34,D34,"md") &amp; " дн."</f>
        <v>1 г. 9 мес. 16 дн.</v>
      </c>
      <c r="I34" s="12" t="s">
        <v>75</v>
      </c>
      <c r="J34" s="20"/>
      <c r="K34" s="12" t="s">
        <v>227</v>
      </c>
      <c r="L34" s="12" t="s">
        <v>228</v>
      </c>
      <c r="M34" s="12" t="s">
        <v>48</v>
      </c>
      <c r="O34" s="12" t="s">
        <v>73</v>
      </c>
      <c r="S34" s="12" t="s">
        <v>27</v>
      </c>
      <c r="T34" s="18">
        <v>45327</v>
      </c>
      <c r="U34" s="17">
        <v>0.58333333333333337</v>
      </c>
      <c r="V34" s="12" t="str">
        <f t="shared" si="2"/>
        <v>0 г. 0 мес. 5 дн.</v>
      </c>
      <c r="W34" s="22"/>
      <c r="X34" s="72"/>
    </row>
    <row r="35" spans="1:24" ht="35.1" customHeight="1" x14ac:dyDescent="0.25">
      <c r="A35" s="12">
        <f t="shared" si="0"/>
        <v>34</v>
      </c>
      <c r="B35" s="12">
        <v>145</v>
      </c>
      <c r="C35" s="20" t="s">
        <v>77</v>
      </c>
      <c r="D35" s="18">
        <v>45315</v>
      </c>
      <c r="E35" s="17">
        <v>0.53472222222222221</v>
      </c>
      <c r="F35" s="12" t="s">
        <v>229</v>
      </c>
      <c r="G35" s="18">
        <v>38810</v>
      </c>
      <c r="H35" s="12" t="str">
        <f t="shared" si="3"/>
        <v>17 г. 9 мес. 21 дн.</v>
      </c>
      <c r="I35" s="12" t="s">
        <v>119</v>
      </c>
      <c r="J35" s="20" t="s">
        <v>77</v>
      </c>
      <c r="K35" s="12" t="s">
        <v>262</v>
      </c>
      <c r="L35" s="12" t="s">
        <v>230</v>
      </c>
      <c r="M35" s="12" t="s">
        <v>41</v>
      </c>
      <c r="O35" s="12" t="s">
        <v>87</v>
      </c>
      <c r="Q35" s="12" t="s">
        <v>100</v>
      </c>
      <c r="S35" s="12" t="s">
        <v>77</v>
      </c>
      <c r="T35" s="18">
        <v>45316</v>
      </c>
      <c r="U35" s="17">
        <v>0.52083333333333337</v>
      </c>
      <c r="V35" s="12" t="str">
        <f t="shared" si="2"/>
        <v>0 г. 0 мес. 1 дн.</v>
      </c>
      <c r="W35" s="22"/>
      <c r="X35" s="72"/>
    </row>
    <row r="36" spans="1:24" ht="35.1" customHeight="1" x14ac:dyDescent="0.25">
      <c r="A36" s="12">
        <f t="shared" si="0"/>
        <v>35</v>
      </c>
      <c r="B36" s="12">
        <v>91</v>
      </c>
      <c r="C36" s="20" t="s">
        <v>23</v>
      </c>
      <c r="D36" s="18">
        <v>45316</v>
      </c>
      <c r="E36" s="17">
        <v>0.47569444444444442</v>
      </c>
      <c r="F36" s="12" t="s">
        <v>231</v>
      </c>
      <c r="G36" s="18">
        <v>39041</v>
      </c>
      <c r="H36" s="12" t="str">
        <f t="shared" si="3"/>
        <v>17 г. 2 мес. 5 дн.</v>
      </c>
      <c r="I36" s="12" t="s">
        <v>119</v>
      </c>
      <c r="J36" s="20" t="s">
        <v>23</v>
      </c>
      <c r="K36" s="12" t="s">
        <v>265</v>
      </c>
      <c r="L36" s="12" t="s">
        <v>232</v>
      </c>
      <c r="M36" s="12" t="s">
        <v>51</v>
      </c>
      <c r="O36" s="12" t="s">
        <v>87</v>
      </c>
      <c r="P36" s="12" t="s">
        <v>94</v>
      </c>
      <c r="S36" s="12" t="s">
        <v>23</v>
      </c>
      <c r="T36" s="18">
        <v>45317</v>
      </c>
      <c r="U36" s="17">
        <v>0.50694444444444442</v>
      </c>
      <c r="V36" s="12" t="str">
        <f t="shared" si="2"/>
        <v>0 г. 0 мес. 1 дн.</v>
      </c>
      <c r="W36" s="22"/>
      <c r="X36" s="72"/>
    </row>
    <row r="37" spans="1:24" ht="35.1" customHeight="1" x14ac:dyDescent="0.25">
      <c r="A37" s="12">
        <f t="shared" si="0"/>
        <v>36</v>
      </c>
      <c r="B37" s="12">
        <v>70</v>
      </c>
      <c r="C37" s="20" t="s">
        <v>26</v>
      </c>
      <c r="D37" s="18">
        <v>45316</v>
      </c>
      <c r="E37" s="17">
        <v>0.60416666666666663</v>
      </c>
      <c r="F37" s="12" t="s">
        <v>233</v>
      </c>
      <c r="G37" s="18">
        <v>43065</v>
      </c>
      <c r="H37" s="12" t="str">
        <f t="shared" si="3"/>
        <v>6 г. 1 мес. 30 дн.</v>
      </c>
      <c r="I37" s="12" t="s">
        <v>118</v>
      </c>
      <c r="J37" s="20" t="s">
        <v>26</v>
      </c>
      <c r="K37" s="12" t="s">
        <v>264</v>
      </c>
      <c r="L37" s="12" t="s">
        <v>234</v>
      </c>
      <c r="M37" s="12" t="s">
        <v>43</v>
      </c>
      <c r="O37" s="12" t="s">
        <v>87</v>
      </c>
      <c r="S37" s="12" t="s">
        <v>29</v>
      </c>
      <c r="T37" s="18">
        <v>45317</v>
      </c>
      <c r="U37" s="17">
        <v>0.45833333333333331</v>
      </c>
      <c r="V37" s="12" t="str">
        <f t="shared" si="2"/>
        <v>0 г. 0 мес. 1 дн.</v>
      </c>
      <c r="W37" s="22"/>
      <c r="X37" s="72"/>
    </row>
    <row r="38" spans="1:24" ht="35.1" customHeight="1" x14ac:dyDescent="0.25">
      <c r="A38" s="12">
        <f t="shared" si="0"/>
        <v>37</v>
      </c>
      <c r="B38" s="12">
        <v>77</v>
      </c>
      <c r="C38" s="20" t="s">
        <v>26</v>
      </c>
      <c r="D38" s="18">
        <v>45318</v>
      </c>
      <c r="E38" s="17">
        <v>6.9444444444444441E-3</v>
      </c>
      <c r="F38" s="12" t="s">
        <v>260</v>
      </c>
      <c r="G38" s="18">
        <v>41728</v>
      </c>
      <c r="H38" s="12" t="str">
        <f t="shared" si="3"/>
        <v>9 г. 9 мес. 28 дн.</v>
      </c>
      <c r="I38" s="12" t="s">
        <v>118</v>
      </c>
      <c r="K38" s="12" t="s">
        <v>261</v>
      </c>
      <c r="L38" s="12" t="s">
        <v>235</v>
      </c>
      <c r="M38" s="12" t="s">
        <v>47</v>
      </c>
      <c r="O38" s="12" t="s">
        <v>87</v>
      </c>
      <c r="S38" s="12" t="s">
        <v>26</v>
      </c>
      <c r="T38" s="18">
        <v>45319</v>
      </c>
      <c r="U38" s="17">
        <v>0.45833333333333331</v>
      </c>
      <c r="V38" s="12" t="str">
        <f t="shared" si="2"/>
        <v>0 г. 0 мес. 1 дн.</v>
      </c>
      <c r="W38" s="22"/>
      <c r="X38" s="72"/>
    </row>
    <row r="39" spans="1:24" ht="35.1" customHeight="1" x14ac:dyDescent="0.25">
      <c r="A39" s="12">
        <f t="shared" si="0"/>
        <v>38</v>
      </c>
      <c r="B39" s="12">
        <v>94</v>
      </c>
      <c r="C39" s="20" t="s">
        <v>26</v>
      </c>
      <c r="D39" s="18">
        <v>45321</v>
      </c>
      <c r="E39" s="17">
        <v>0.95833333333333337</v>
      </c>
      <c r="F39" s="12" t="s">
        <v>236</v>
      </c>
      <c r="G39" s="18">
        <v>44750</v>
      </c>
      <c r="H39" s="12" t="str">
        <f t="shared" si="3"/>
        <v>1 г. 6 мес. 22 дн.</v>
      </c>
      <c r="I39" s="12" t="s">
        <v>118</v>
      </c>
      <c r="K39" s="12" t="s">
        <v>255</v>
      </c>
      <c r="L39" s="12" t="s">
        <v>237</v>
      </c>
      <c r="M39" s="12" t="s">
        <v>55</v>
      </c>
      <c r="O39" s="12" t="s">
        <v>87</v>
      </c>
      <c r="S39" s="12" t="s">
        <v>26</v>
      </c>
      <c r="T39" s="18">
        <v>45323</v>
      </c>
      <c r="U39" s="17">
        <v>0.45833333333333331</v>
      </c>
      <c r="V39" s="12" t="str">
        <f t="shared" si="2"/>
        <v>0 г. 0 мес. 2 дн.</v>
      </c>
      <c r="W39" s="22"/>
      <c r="X39" s="72"/>
    </row>
    <row r="40" spans="1:24" ht="35.1" customHeight="1" x14ac:dyDescent="0.25">
      <c r="A40" s="12">
        <f t="shared" si="0"/>
        <v>39</v>
      </c>
      <c r="B40" s="12">
        <v>82</v>
      </c>
      <c r="C40" s="20" t="s">
        <v>26</v>
      </c>
      <c r="D40" s="18">
        <v>45319</v>
      </c>
      <c r="E40" s="17">
        <v>0.9375</v>
      </c>
      <c r="F40" s="12" t="s">
        <v>238</v>
      </c>
      <c r="G40" s="18">
        <v>40045</v>
      </c>
      <c r="H40" s="12" t="str">
        <f t="shared" si="3"/>
        <v>14 г. 5 мес. 8 дн.</v>
      </c>
      <c r="I40" s="12" t="s">
        <v>118</v>
      </c>
      <c r="K40" s="12" t="s">
        <v>267</v>
      </c>
      <c r="L40" s="12" t="s">
        <v>237</v>
      </c>
      <c r="M40" s="12" t="s">
        <v>55</v>
      </c>
      <c r="O40" s="12" t="s">
        <v>87</v>
      </c>
      <c r="S40" s="12" t="s">
        <v>29</v>
      </c>
      <c r="T40" s="18">
        <v>45320</v>
      </c>
      <c r="U40" s="17">
        <v>0.54166666666666663</v>
      </c>
      <c r="V40" s="12" t="str">
        <f t="shared" si="2"/>
        <v>0 г. 0 мес. 1 дн.</v>
      </c>
      <c r="W40" s="22"/>
      <c r="X40" s="72"/>
    </row>
    <row r="41" spans="1:24" ht="35.1" customHeight="1" x14ac:dyDescent="0.25">
      <c r="A41" s="12">
        <f t="shared" si="0"/>
        <v>40</v>
      </c>
      <c r="B41" s="12">
        <v>66</v>
      </c>
      <c r="C41" s="20" t="s">
        <v>23</v>
      </c>
      <c r="D41" s="18">
        <v>45324</v>
      </c>
      <c r="E41" s="17">
        <v>0.1875</v>
      </c>
      <c r="F41" s="12" t="s">
        <v>239</v>
      </c>
      <c r="G41" s="18">
        <v>39326</v>
      </c>
      <c r="H41" s="12" t="str">
        <f t="shared" si="3"/>
        <v>16 г. 5 мес. 1 дн.</v>
      </c>
      <c r="I41" s="12" t="s">
        <v>120</v>
      </c>
      <c r="J41" s="12" t="s">
        <v>28</v>
      </c>
      <c r="K41" s="12" t="s">
        <v>240</v>
      </c>
      <c r="L41" s="12" t="s">
        <v>241</v>
      </c>
      <c r="M41" s="12" t="s">
        <v>46</v>
      </c>
      <c r="O41" s="12" t="s">
        <v>87</v>
      </c>
      <c r="S41" s="12" t="s">
        <v>28</v>
      </c>
      <c r="T41" s="18">
        <v>45327</v>
      </c>
      <c r="U41" s="17">
        <v>0.41666666666666669</v>
      </c>
      <c r="V41" s="12" t="str">
        <f t="shared" si="2"/>
        <v>0 г. 0 мес. 3 дн.</v>
      </c>
      <c r="W41" s="22"/>
      <c r="X41" s="72"/>
    </row>
    <row r="42" spans="1:24" ht="35.1" customHeight="1" x14ac:dyDescent="0.25">
      <c r="A42" s="12">
        <f t="shared" si="0"/>
        <v>41</v>
      </c>
      <c r="B42" s="12">
        <v>108</v>
      </c>
      <c r="C42" s="20" t="s">
        <v>26</v>
      </c>
      <c r="D42" s="18">
        <v>45325</v>
      </c>
      <c r="E42" s="17">
        <v>0.56597222222222221</v>
      </c>
      <c r="F42" s="12" t="s">
        <v>263</v>
      </c>
      <c r="G42" s="18">
        <v>40042</v>
      </c>
      <c r="H42" s="12" t="str">
        <f t="shared" si="3"/>
        <v>14 г. 5 мес. 17 дн.</v>
      </c>
      <c r="I42" s="12" t="s">
        <v>118</v>
      </c>
      <c r="K42" s="12" t="s">
        <v>242</v>
      </c>
      <c r="L42" s="12" t="s">
        <v>243</v>
      </c>
      <c r="M42" s="12" t="s">
        <v>55</v>
      </c>
      <c r="O42" s="12" t="s">
        <v>87</v>
      </c>
      <c r="S42" s="12" t="s">
        <v>26</v>
      </c>
      <c r="T42" s="18">
        <v>45327</v>
      </c>
      <c r="U42" s="17">
        <v>0.5</v>
      </c>
      <c r="V42" s="12" t="str">
        <f t="shared" si="2"/>
        <v>0 г. 0 мес. 2 дн.</v>
      </c>
      <c r="W42" s="22"/>
      <c r="X42" s="72"/>
    </row>
    <row r="43" spans="1:24" s="13" customFormat="1" ht="45.75" customHeight="1" x14ac:dyDescent="0.25">
      <c r="A43" s="40">
        <f t="shared" si="0"/>
        <v>42</v>
      </c>
      <c r="B43" s="40">
        <v>256</v>
      </c>
      <c r="C43" s="41" t="s">
        <v>77</v>
      </c>
      <c r="D43" s="38">
        <v>45325</v>
      </c>
      <c r="E43" s="39">
        <v>0.41319444444444442</v>
      </c>
      <c r="F43" s="40" t="s">
        <v>244</v>
      </c>
      <c r="G43" s="38">
        <v>45324</v>
      </c>
      <c r="H43" s="40" t="str">
        <f t="shared" si="3"/>
        <v>0 г. 0 мес. 1 дн.</v>
      </c>
      <c r="I43" s="40" t="s">
        <v>121</v>
      </c>
      <c r="J43" s="40"/>
      <c r="K43" s="40" t="s">
        <v>245</v>
      </c>
      <c r="L43" s="40" t="s">
        <v>246</v>
      </c>
      <c r="M43" s="40" t="s">
        <v>49</v>
      </c>
      <c r="N43" s="40"/>
      <c r="O43" s="40" t="s">
        <v>86</v>
      </c>
      <c r="P43" s="40"/>
      <c r="Q43" s="40" t="s">
        <v>124</v>
      </c>
      <c r="R43" s="40"/>
      <c r="S43" s="40" t="s">
        <v>30</v>
      </c>
      <c r="T43" s="38">
        <v>45327</v>
      </c>
      <c r="U43" s="39">
        <v>0.34375</v>
      </c>
      <c r="V43" s="40" t="str">
        <f t="shared" si="2"/>
        <v>0 г. 0 мес. 2 дн.</v>
      </c>
      <c r="W43" s="42"/>
      <c r="X43" s="74"/>
    </row>
    <row r="44" spans="1:24" ht="35.1" customHeight="1" x14ac:dyDescent="0.25">
      <c r="A44" s="12">
        <f t="shared" si="0"/>
        <v>43</v>
      </c>
      <c r="B44" s="12">
        <v>262</v>
      </c>
      <c r="C44" s="20" t="s">
        <v>77</v>
      </c>
      <c r="D44" s="18">
        <v>45326</v>
      </c>
      <c r="E44" s="17">
        <v>0.68541666666666667</v>
      </c>
      <c r="F44" s="12" t="s">
        <v>247</v>
      </c>
      <c r="G44" s="18">
        <v>42508</v>
      </c>
      <c r="H44" s="12" t="str">
        <f t="shared" si="3"/>
        <v>7 г. 8 мес. 17 дн.</v>
      </c>
      <c r="I44" s="12" t="s">
        <v>119</v>
      </c>
      <c r="J44" s="12" t="s">
        <v>77</v>
      </c>
      <c r="K44" s="12" t="s">
        <v>249</v>
      </c>
      <c r="L44" s="12" t="s">
        <v>248</v>
      </c>
      <c r="M44" s="12" t="s">
        <v>49</v>
      </c>
      <c r="O44" s="12" t="s">
        <v>73</v>
      </c>
      <c r="P44" s="12" t="s">
        <v>94</v>
      </c>
      <c r="S44" s="12" t="s">
        <v>77</v>
      </c>
      <c r="T44" s="18">
        <v>45330</v>
      </c>
      <c r="U44" s="17">
        <v>0.5</v>
      </c>
      <c r="V44" s="12" t="str">
        <f t="shared" si="2"/>
        <v>0 г. 0 мес. 4 дн.</v>
      </c>
      <c r="W44" s="22"/>
      <c r="X44" s="72"/>
    </row>
    <row r="45" spans="1:24" ht="35.1" customHeight="1" x14ac:dyDescent="0.25">
      <c r="A45" s="12">
        <f t="shared" si="0"/>
        <v>44</v>
      </c>
      <c r="B45" s="12">
        <v>277</v>
      </c>
      <c r="C45" s="20" t="s">
        <v>77</v>
      </c>
      <c r="D45" s="18">
        <v>45327</v>
      </c>
      <c r="E45" s="17">
        <v>0.53472222222222221</v>
      </c>
      <c r="F45" s="12" t="s">
        <v>316</v>
      </c>
      <c r="G45" s="18">
        <v>39108</v>
      </c>
      <c r="H45" s="12" t="str">
        <f t="shared" si="3"/>
        <v>17 г. 0 мес. 10 дн.</v>
      </c>
      <c r="I45" s="12" t="s">
        <v>119</v>
      </c>
      <c r="J45" s="12" t="s">
        <v>77</v>
      </c>
      <c r="K45" s="12" t="s">
        <v>250</v>
      </c>
      <c r="L45" s="12" t="s">
        <v>251</v>
      </c>
      <c r="M45" s="12" t="s">
        <v>49</v>
      </c>
      <c r="O45" s="12" t="s">
        <v>87</v>
      </c>
      <c r="S45" s="12" t="s">
        <v>77</v>
      </c>
      <c r="T45" s="18">
        <v>45327</v>
      </c>
      <c r="U45" s="17">
        <v>0.75</v>
      </c>
      <c r="V45" s="12" t="str">
        <f t="shared" si="2"/>
        <v>0 г. 0 мес. 0 дн.</v>
      </c>
      <c r="W45" s="22"/>
      <c r="X45" s="72"/>
    </row>
    <row r="46" spans="1:24" ht="35.1" customHeight="1" x14ac:dyDescent="0.25">
      <c r="A46" s="12">
        <f t="shared" si="0"/>
        <v>45</v>
      </c>
      <c r="B46" s="12">
        <v>289</v>
      </c>
      <c r="C46" s="20" t="s">
        <v>254</v>
      </c>
      <c r="D46" s="18">
        <v>45327</v>
      </c>
      <c r="E46" s="17">
        <v>0.47569444444444442</v>
      </c>
      <c r="F46" s="12" t="s">
        <v>266</v>
      </c>
      <c r="G46" s="18">
        <v>45157</v>
      </c>
      <c r="H46" s="12" t="str">
        <f t="shared" si="3"/>
        <v>0 г. 5 мес. 17 дн.</v>
      </c>
      <c r="I46" s="12" t="s">
        <v>120</v>
      </c>
      <c r="J46" s="12" t="s">
        <v>77</v>
      </c>
      <c r="K46" s="12" t="s">
        <v>253</v>
      </c>
      <c r="L46" s="12" t="s">
        <v>252</v>
      </c>
      <c r="M46" s="12" t="s">
        <v>52</v>
      </c>
      <c r="O46" s="12" t="s">
        <v>87</v>
      </c>
      <c r="S46" s="12" t="s">
        <v>77</v>
      </c>
      <c r="T46" s="18">
        <v>45327</v>
      </c>
      <c r="U46" s="17">
        <v>0.68055555555555547</v>
      </c>
      <c r="V46" s="12" t="str">
        <f t="shared" si="2"/>
        <v>0 г. 0 мес. 0 дн.</v>
      </c>
      <c r="W46" s="22"/>
      <c r="X46" s="72"/>
    </row>
    <row r="47" spans="1:24" ht="35.1" customHeight="1" x14ac:dyDescent="0.25">
      <c r="A47" s="12">
        <f t="shared" si="0"/>
        <v>46</v>
      </c>
      <c r="B47" s="12">
        <v>58</v>
      </c>
      <c r="C47" s="20" t="s">
        <v>28</v>
      </c>
      <c r="D47" s="18">
        <v>45322</v>
      </c>
      <c r="E47" s="17">
        <v>0.1173611111111111</v>
      </c>
      <c r="F47" s="12" t="s">
        <v>257</v>
      </c>
      <c r="G47" s="18">
        <v>39465</v>
      </c>
      <c r="H47" s="12" t="str">
        <f t="shared" si="3"/>
        <v>16 г. 0 мес. 13 дн.</v>
      </c>
      <c r="I47" s="12" t="s">
        <v>121</v>
      </c>
      <c r="K47" s="12" t="s">
        <v>258</v>
      </c>
      <c r="L47" s="12" t="s">
        <v>259</v>
      </c>
      <c r="M47" s="12" t="s">
        <v>52</v>
      </c>
      <c r="O47" s="12" t="s">
        <v>73</v>
      </c>
      <c r="S47" s="12" t="s">
        <v>28</v>
      </c>
      <c r="T47" s="18">
        <v>45327</v>
      </c>
      <c r="U47" s="17">
        <v>0.625</v>
      </c>
      <c r="V47" s="12" t="str">
        <f t="shared" si="2"/>
        <v>0 г. 0 мес. 5 дн.</v>
      </c>
      <c r="W47" s="22"/>
      <c r="X47" s="72"/>
    </row>
    <row r="48" spans="1:24" ht="35.1" customHeight="1" x14ac:dyDescent="0.25">
      <c r="A48" s="12">
        <f t="shared" si="0"/>
        <v>47</v>
      </c>
      <c r="B48" s="12">
        <v>99</v>
      </c>
      <c r="C48" s="20" t="s">
        <v>26</v>
      </c>
      <c r="D48" s="18">
        <v>45320</v>
      </c>
      <c r="E48" s="17">
        <v>0.57916666666666672</v>
      </c>
      <c r="F48" s="12" t="s">
        <v>171</v>
      </c>
      <c r="G48" s="18">
        <v>42529</v>
      </c>
      <c r="H48" s="12" t="str">
        <f t="shared" si="3"/>
        <v>7 г. 7 мес. 21 дн.</v>
      </c>
      <c r="I48" s="12" t="s">
        <v>123</v>
      </c>
      <c r="J48" s="12" t="s">
        <v>80</v>
      </c>
      <c r="K48" s="12" t="s">
        <v>172</v>
      </c>
      <c r="L48" s="12" t="s">
        <v>173</v>
      </c>
      <c r="M48" s="12" t="s">
        <v>46</v>
      </c>
      <c r="N48" s="12">
        <v>34</v>
      </c>
      <c r="O48" s="12" t="s">
        <v>87</v>
      </c>
      <c r="S48" s="12" t="s">
        <v>80</v>
      </c>
      <c r="T48" s="18">
        <v>45321</v>
      </c>
      <c r="U48" s="17">
        <v>0.99652777777777779</v>
      </c>
      <c r="V48" s="12" t="str">
        <f t="shared" si="2"/>
        <v>0 г. 0 мес. 1 дн.</v>
      </c>
      <c r="W48" s="22"/>
      <c r="X48" s="72"/>
    </row>
    <row r="49" spans="1:24" ht="35.1" customHeight="1" x14ac:dyDescent="0.25">
      <c r="A49" s="12">
        <f t="shared" si="0"/>
        <v>48</v>
      </c>
      <c r="B49" s="12">
        <v>98</v>
      </c>
      <c r="C49" s="20" t="s">
        <v>80</v>
      </c>
      <c r="D49" s="18">
        <v>45322</v>
      </c>
      <c r="E49" s="17">
        <v>0.21805555555555556</v>
      </c>
      <c r="F49" s="12" t="s">
        <v>138</v>
      </c>
      <c r="G49" s="18">
        <v>45024</v>
      </c>
      <c r="H49" s="12" t="str">
        <f t="shared" si="3"/>
        <v>0 г. 9 мес. 23 дн.</v>
      </c>
      <c r="I49" s="12" t="s">
        <v>123</v>
      </c>
      <c r="J49" s="12" t="s">
        <v>80</v>
      </c>
      <c r="K49" s="12" t="s">
        <v>268</v>
      </c>
      <c r="L49" s="12" t="s">
        <v>173</v>
      </c>
      <c r="M49" s="12" t="s">
        <v>46</v>
      </c>
      <c r="N49" s="12">
        <v>500</v>
      </c>
      <c r="O49" s="12" t="s">
        <v>87</v>
      </c>
      <c r="S49" s="12" t="s">
        <v>80</v>
      </c>
      <c r="T49" s="18">
        <v>45351</v>
      </c>
      <c r="U49" s="17">
        <v>0.99652777777777779</v>
      </c>
      <c r="V49" s="12" t="str">
        <f t="shared" si="2"/>
        <v>0 г. 0 мес. 29 дн.</v>
      </c>
      <c r="W49" s="22"/>
      <c r="X49" s="72"/>
    </row>
    <row r="50" spans="1:24" ht="35.1" customHeight="1" x14ac:dyDescent="0.25">
      <c r="A50" s="12">
        <f t="shared" si="0"/>
        <v>49</v>
      </c>
      <c r="B50" s="12">
        <v>99</v>
      </c>
      <c r="C50" s="20" t="s">
        <v>80</v>
      </c>
      <c r="D50" s="18">
        <v>45322</v>
      </c>
      <c r="E50" s="17">
        <v>3.472222222222222E-3</v>
      </c>
      <c r="F50" s="12" t="s">
        <v>171</v>
      </c>
      <c r="G50" s="18">
        <v>45085</v>
      </c>
      <c r="H50" s="12" t="str">
        <f t="shared" si="3"/>
        <v>0 г. 7 мес. 23 дн.</v>
      </c>
      <c r="I50" s="12" t="s">
        <v>123</v>
      </c>
      <c r="J50" s="12" t="s">
        <v>80</v>
      </c>
      <c r="K50" s="12" t="s">
        <v>172</v>
      </c>
      <c r="L50" s="12" t="s">
        <v>173</v>
      </c>
      <c r="M50" s="12" t="s">
        <v>46</v>
      </c>
      <c r="N50" s="12">
        <v>346</v>
      </c>
      <c r="O50" s="12" t="s">
        <v>87</v>
      </c>
      <c r="S50" s="12" t="s">
        <v>31</v>
      </c>
      <c r="T50" s="18">
        <v>45337</v>
      </c>
      <c r="U50" s="17">
        <v>0.41666666666666669</v>
      </c>
      <c r="V50" s="12" t="str">
        <f t="shared" si="2"/>
        <v>0 г. 0 мес. 15 дн.</v>
      </c>
      <c r="W50" s="22"/>
      <c r="X50" s="72"/>
    </row>
    <row r="51" spans="1:24" ht="35.1" customHeight="1" x14ac:dyDescent="0.25">
      <c r="A51" s="12">
        <f t="shared" si="0"/>
        <v>50</v>
      </c>
      <c r="B51" s="12">
        <v>134</v>
      </c>
      <c r="C51" s="20" t="s">
        <v>23</v>
      </c>
      <c r="D51" s="18">
        <v>45329</v>
      </c>
      <c r="E51" s="17">
        <v>0.59930555555555554</v>
      </c>
      <c r="F51" s="12" t="s">
        <v>269</v>
      </c>
      <c r="G51" s="18">
        <v>44418</v>
      </c>
      <c r="H51" s="12" t="str">
        <f t="shared" si="3"/>
        <v>2 г. 5 мес. 28 дн.</v>
      </c>
      <c r="I51" s="12" t="s">
        <v>119</v>
      </c>
      <c r="J51" s="12" t="s">
        <v>23</v>
      </c>
      <c r="K51" s="12" t="s">
        <v>270</v>
      </c>
      <c r="L51" s="12" t="s">
        <v>271</v>
      </c>
      <c r="M51" s="12" t="s">
        <v>51</v>
      </c>
      <c r="O51" s="12" t="s">
        <v>87</v>
      </c>
      <c r="P51" s="12" t="s">
        <v>94</v>
      </c>
      <c r="S51" s="12" t="s">
        <v>23</v>
      </c>
      <c r="T51" s="18">
        <v>45330</v>
      </c>
      <c r="U51" s="17">
        <v>0.52083333333333337</v>
      </c>
      <c r="V51" s="12" t="str">
        <f t="shared" si="2"/>
        <v>0 г. 0 мес. 1 дн.</v>
      </c>
      <c r="W51" s="22"/>
      <c r="X51" s="72"/>
    </row>
    <row r="52" spans="1:24" ht="35.1" customHeight="1" x14ac:dyDescent="0.25">
      <c r="A52" s="12">
        <f t="shared" si="0"/>
        <v>51</v>
      </c>
      <c r="B52" s="12">
        <v>80</v>
      </c>
      <c r="C52" s="20" t="s">
        <v>28</v>
      </c>
      <c r="D52" s="18">
        <v>45329</v>
      </c>
      <c r="E52" s="17">
        <v>0.89930555555555547</v>
      </c>
      <c r="F52" s="12" t="s">
        <v>272</v>
      </c>
      <c r="G52" s="18">
        <v>44260</v>
      </c>
      <c r="H52" s="12" t="str">
        <f t="shared" si="3"/>
        <v>2 г. 11 мес. 2 дн.</v>
      </c>
      <c r="I52" s="12" t="s">
        <v>118</v>
      </c>
      <c r="K52" s="12" t="s">
        <v>273</v>
      </c>
      <c r="L52" s="12" t="s">
        <v>274</v>
      </c>
      <c r="M52" s="12" t="s">
        <v>46</v>
      </c>
      <c r="O52" s="12" t="s">
        <v>87</v>
      </c>
      <c r="S52" s="12" t="s">
        <v>28</v>
      </c>
      <c r="T52" s="18">
        <v>45330</v>
      </c>
      <c r="U52" s="17">
        <v>0.5</v>
      </c>
      <c r="V52" s="12" t="str">
        <f t="shared" si="2"/>
        <v>0 г. 0 мес. 1 дн.</v>
      </c>
      <c r="W52" s="22"/>
      <c r="X52" s="72"/>
    </row>
    <row r="53" spans="1:24" ht="35.1" customHeight="1" x14ac:dyDescent="0.25">
      <c r="A53" s="12">
        <f t="shared" si="0"/>
        <v>52</v>
      </c>
      <c r="B53" s="12">
        <v>318</v>
      </c>
      <c r="C53" s="20" t="s">
        <v>77</v>
      </c>
      <c r="D53" s="18">
        <v>45330</v>
      </c>
      <c r="E53" s="17">
        <v>0.63194444444444442</v>
      </c>
      <c r="F53" s="12" t="s">
        <v>275</v>
      </c>
      <c r="G53" s="18">
        <v>44825</v>
      </c>
      <c r="H53" s="12" t="str">
        <f t="shared" si="3"/>
        <v>1 г. 4 мес. 18 дн.</v>
      </c>
      <c r="I53" s="12" t="s">
        <v>118</v>
      </c>
      <c r="K53" s="12" t="s">
        <v>276</v>
      </c>
      <c r="L53" s="12" t="s">
        <v>277</v>
      </c>
      <c r="M53" s="12" t="s">
        <v>54</v>
      </c>
      <c r="O53" s="12" t="s">
        <v>87</v>
      </c>
      <c r="S53" s="12" t="s">
        <v>77</v>
      </c>
      <c r="T53" s="18">
        <v>45331</v>
      </c>
      <c r="U53" s="17">
        <v>0.5</v>
      </c>
      <c r="V53" s="12" t="str">
        <f t="shared" si="2"/>
        <v>0 г. 0 мес. 1 дн.</v>
      </c>
      <c r="W53" s="22"/>
      <c r="X53" s="72"/>
    </row>
    <row r="54" spans="1:24" ht="35.1" customHeight="1" x14ac:dyDescent="0.25">
      <c r="A54" s="12">
        <f t="shared" si="0"/>
        <v>53</v>
      </c>
      <c r="B54" s="12">
        <v>321</v>
      </c>
      <c r="C54" s="20" t="s">
        <v>77</v>
      </c>
      <c r="D54" s="18">
        <v>45330</v>
      </c>
      <c r="E54" s="17">
        <v>0.77777777777777779</v>
      </c>
      <c r="F54" s="12" t="s">
        <v>278</v>
      </c>
      <c r="G54" s="18">
        <v>44739</v>
      </c>
      <c r="H54" s="12" t="str">
        <f t="shared" si="3"/>
        <v>1 г. 7 мес. 12 дн.</v>
      </c>
      <c r="I54" s="12" t="s">
        <v>118</v>
      </c>
      <c r="K54" s="12" t="s">
        <v>279</v>
      </c>
      <c r="L54" s="12" t="s">
        <v>280</v>
      </c>
      <c r="M54" s="12" t="s">
        <v>54</v>
      </c>
      <c r="O54" s="12" t="s">
        <v>87</v>
      </c>
      <c r="S54" s="12" t="s">
        <v>77</v>
      </c>
      <c r="T54" s="18">
        <v>45332</v>
      </c>
      <c r="U54" s="17">
        <v>0.45833333333333331</v>
      </c>
      <c r="V54" s="12" t="str">
        <f t="shared" si="2"/>
        <v>0 г. 0 мес. 2 дн.</v>
      </c>
      <c r="W54" s="22"/>
      <c r="X54" s="72"/>
    </row>
    <row r="55" spans="1:24" s="23" customFormat="1" ht="35.1" customHeight="1" x14ac:dyDescent="0.2">
      <c r="A55" s="12">
        <f t="shared" si="0"/>
        <v>54</v>
      </c>
      <c r="B55" s="12">
        <v>124</v>
      </c>
      <c r="C55" s="20" t="s">
        <v>26</v>
      </c>
      <c r="D55" s="18">
        <v>45330</v>
      </c>
      <c r="E55" s="17">
        <v>0.40972222222222227</v>
      </c>
      <c r="F55" s="12" t="s">
        <v>281</v>
      </c>
      <c r="G55" s="18">
        <v>45284</v>
      </c>
      <c r="H55" s="12" t="str">
        <f t="shared" si="3"/>
        <v>0 г. 1 мес. 15 дн.</v>
      </c>
      <c r="I55" s="12" t="s">
        <v>118</v>
      </c>
      <c r="J55" s="12"/>
      <c r="K55" s="12" t="s">
        <v>282</v>
      </c>
      <c r="L55" s="12" t="s">
        <v>283</v>
      </c>
      <c r="M55" s="12" t="s">
        <v>48</v>
      </c>
      <c r="N55" s="12"/>
      <c r="O55" s="12" t="s">
        <v>86</v>
      </c>
      <c r="P55" s="12"/>
      <c r="Q55" s="12"/>
      <c r="R55" s="12"/>
      <c r="S55" s="12" t="s">
        <v>26</v>
      </c>
      <c r="T55" s="18">
        <v>45333</v>
      </c>
      <c r="U55" s="17">
        <v>0.5</v>
      </c>
      <c r="V55" s="12" t="str">
        <f t="shared" si="2"/>
        <v>0 г. 0 мес. 3 дн.</v>
      </c>
      <c r="W55" s="22"/>
      <c r="X55" s="72"/>
    </row>
    <row r="56" spans="1:24" ht="35.1" customHeight="1" x14ac:dyDescent="0.25">
      <c r="A56" s="12">
        <f t="shared" si="0"/>
        <v>55</v>
      </c>
      <c r="B56" s="12">
        <v>91</v>
      </c>
      <c r="C56" s="20" t="s">
        <v>28</v>
      </c>
      <c r="D56" s="18">
        <v>45332</v>
      </c>
      <c r="E56" s="17">
        <v>0.95833333333333337</v>
      </c>
      <c r="F56" s="12" t="s">
        <v>284</v>
      </c>
      <c r="G56" s="18">
        <v>42069</v>
      </c>
      <c r="H56" s="12" t="str">
        <f t="shared" si="3"/>
        <v>8 г. 11 мес. 4 дн.</v>
      </c>
      <c r="I56" s="12" t="s">
        <v>120</v>
      </c>
      <c r="J56" s="12" t="s">
        <v>28</v>
      </c>
      <c r="K56" s="12" t="s">
        <v>285</v>
      </c>
      <c r="L56" s="12" t="s">
        <v>286</v>
      </c>
      <c r="M56" s="12" t="s">
        <v>46</v>
      </c>
      <c r="N56" s="12">
        <v>72</v>
      </c>
      <c r="O56" s="12" t="s">
        <v>73</v>
      </c>
      <c r="S56" s="12" t="s">
        <v>28</v>
      </c>
      <c r="T56" s="18">
        <v>45337</v>
      </c>
      <c r="U56" s="17">
        <v>0.45833333333333331</v>
      </c>
      <c r="V56" s="12" t="str">
        <f t="shared" si="2"/>
        <v>0 г. 0 мес. 5 дн.</v>
      </c>
      <c r="W56" s="22"/>
      <c r="X56" s="72"/>
    </row>
    <row r="57" spans="1:24" ht="35.1" customHeight="1" x14ac:dyDescent="0.25">
      <c r="A57" s="12">
        <f t="shared" si="0"/>
        <v>56</v>
      </c>
      <c r="B57" s="12">
        <v>134</v>
      </c>
      <c r="C57" s="20" t="s">
        <v>26</v>
      </c>
      <c r="D57" s="18">
        <v>45333</v>
      </c>
      <c r="E57" s="17">
        <v>0.82986111111111116</v>
      </c>
      <c r="F57" s="12" t="s">
        <v>287</v>
      </c>
      <c r="G57" s="18">
        <v>42112</v>
      </c>
      <c r="H57" s="12" t="str">
        <f t="shared" si="3"/>
        <v>8 г. 9 мес. 24 дн.</v>
      </c>
      <c r="I57" s="12" t="s">
        <v>118</v>
      </c>
      <c r="K57" s="12" t="s">
        <v>288</v>
      </c>
      <c r="L57" s="12" t="s">
        <v>289</v>
      </c>
      <c r="M57" s="12" t="s">
        <v>43</v>
      </c>
      <c r="O57" s="12" t="s">
        <v>87</v>
      </c>
      <c r="S57" s="12" t="s">
        <v>26</v>
      </c>
      <c r="T57" s="18">
        <v>45335</v>
      </c>
      <c r="U57" s="17">
        <v>0.52083333333333337</v>
      </c>
      <c r="V57" s="12" t="str">
        <f t="shared" si="2"/>
        <v>0 г. 0 мес. 2 дн.</v>
      </c>
      <c r="W57" s="22"/>
      <c r="X57" s="72"/>
    </row>
    <row r="58" spans="1:24" ht="35.1" customHeight="1" x14ac:dyDescent="0.25">
      <c r="A58" s="12">
        <f t="shared" si="0"/>
        <v>57</v>
      </c>
      <c r="B58" s="12">
        <v>338</v>
      </c>
      <c r="C58" s="20" t="s">
        <v>77</v>
      </c>
      <c r="D58" s="18">
        <v>45334</v>
      </c>
      <c r="E58" s="17">
        <v>0.3888888888888889</v>
      </c>
      <c r="F58" s="12" t="s">
        <v>290</v>
      </c>
      <c r="G58" s="18">
        <v>44423</v>
      </c>
      <c r="H58" s="12" t="str">
        <f t="shared" si="3"/>
        <v>2 г. 5 мес. 28 дн.</v>
      </c>
      <c r="I58" s="12" t="s">
        <v>119</v>
      </c>
      <c r="J58" s="12" t="s">
        <v>77</v>
      </c>
      <c r="K58" s="12" t="s">
        <v>291</v>
      </c>
      <c r="L58" s="12" t="s">
        <v>292</v>
      </c>
      <c r="M58" s="12" t="s">
        <v>48</v>
      </c>
      <c r="O58" s="12" t="s">
        <v>87</v>
      </c>
      <c r="S58" s="12" t="s">
        <v>77</v>
      </c>
      <c r="T58" s="18">
        <v>45341</v>
      </c>
      <c r="U58" s="17">
        <v>0.45</v>
      </c>
      <c r="V58" s="12" t="str">
        <f t="shared" si="2"/>
        <v>0 г. 0 мес. 7 дн.</v>
      </c>
      <c r="W58" s="22"/>
      <c r="X58" s="72"/>
    </row>
    <row r="59" spans="1:24" ht="35.1" customHeight="1" x14ac:dyDescent="0.25">
      <c r="A59" s="12">
        <f t="shared" si="0"/>
        <v>58</v>
      </c>
      <c r="B59" s="12">
        <v>209</v>
      </c>
      <c r="C59" s="20" t="s">
        <v>27</v>
      </c>
      <c r="D59" s="18">
        <v>45334</v>
      </c>
      <c r="E59" s="17">
        <v>0.70138888888888884</v>
      </c>
      <c r="F59" s="12" t="s">
        <v>293</v>
      </c>
      <c r="G59" s="18">
        <v>45211</v>
      </c>
      <c r="H59" s="12" t="str">
        <f t="shared" si="3"/>
        <v>0 г. 4 мес. 0 дн.</v>
      </c>
      <c r="I59" s="12" t="s">
        <v>121</v>
      </c>
      <c r="K59" s="12" t="s">
        <v>322</v>
      </c>
      <c r="L59" s="12" t="s">
        <v>294</v>
      </c>
      <c r="M59" s="12" t="s">
        <v>48</v>
      </c>
      <c r="O59" s="12" t="s">
        <v>73</v>
      </c>
      <c r="S59" s="12" t="s">
        <v>28</v>
      </c>
      <c r="T59" s="18">
        <v>45354</v>
      </c>
      <c r="U59" s="17">
        <v>0.99861111111111101</v>
      </c>
      <c r="V59" s="12" t="str">
        <f t="shared" si="2"/>
        <v>0 г. 0 мес. 20 дн.</v>
      </c>
      <c r="W59" s="22"/>
      <c r="X59" s="72"/>
    </row>
    <row r="60" spans="1:24" ht="35.1" customHeight="1" x14ac:dyDescent="0.25">
      <c r="A60" s="12">
        <f t="shared" si="0"/>
        <v>59</v>
      </c>
      <c r="B60" s="12">
        <v>137</v>
      </c>
      <c r="C60" s="20" t="s">
        <v>26</v>
      </c>
      <c r="D60" s="18">
        <v>45334</v>
      </c>
      <c r="E60" s="17">
        <v>0.4861111111111111</v>
      </c>
      <c r="F60" s="12" t="s">
        <v>295</v>
      </c>
      <c r="G60" s="18">
        <v>42905</v>
      </c>
      <c r="H60" s="12" t="str">
        <f t="shared" si="3"/>
        <v>6 г. 7 мес. 24 дн.</v>
      </c>
      <c r="I60" s="12" t="s">
        <v>121</v>
      </c>
      <c r="K60" s="12" t="s">
        <v>296</v>
      </c>
      <c r="L60" s="12" t="s">
        <v>297</v>
      </c>
      <c r="M60" s="20" t="s">
        <v>43</v>
      </c>
      <c r="N60" s="21"/>
      <c r="O60" s="12" t="s">
        <v>87</v>
      </c>
      <c r="P60" s="21"/>
      <c r="Q60" s="21"/>
      <c r="R60" s="21"/>
      <c r="S60" s="12" t="s">
        <v>26</v>
      </c>
      <c r="T60" s="18">
        <v>45336</v>
      </c>
      <c r="U60" s="17">
        <v>0.54166666666666663</v>
      </c>
      <c r="V60" s="12" t="str">
        <f t="shared" si="2"/>
        <v>0 г. 0 мес. 2 дн.</v>
      </c>
      <c r="W60" s="22"/>
      <c r="X60" s="72"/>
    </row>
    <row r="61" spans="1:24" ht="35.1" customHeight="1" x14ac:dyDescent="0.25">
      <c r="A61" s="12">
        <f t="shared" si="0"/>
        <v>60</v>
      </c>
      <c r="B61" s="12">
        <v>192</v>
      </c>
      <c r="C61" s="20" t="s">
        <v>23</v>
      </c>
      <c r="D61" s="18">
        <v>45334</v>
      </c>
      <c r="E61" s="17">
        <v>0.50138888888888888</v>
      </c>
      <c r="F61" s="12" t="s">
        <v>317</v>
      </c>
      <c r="G61" s="18">
        <v>39010</v>
      </c>
      <c r="H61" s="12" t="str">
        <f t="shared" si="3"/>
        <v>17 г. 3 мес. 23 дн.</v>
      </c>
      <c r="I61" s="12" t="s">
        <v>119</v>
      </c>
      <c r="J61" s="12" t="s">
        <v>23</v>
      </c>
      <c r="K61" s="12" t="s">
        <v>298</v>
      </c>
      <c r="L61" s="12" t="s">
        <v>299</v>
      </c>
      <c r="M61" s="12" t="s">
        <v>51</v>
      </c>
      <c r="O61" s="12" t="s">
        <v>87</v>
      </c>
      <c r="P61" s="12" t="s">
        <v>94</v>
      </c>
      <c r="S61" s="12" t="s">
        <v>23</v>
      </c>
      <c r="T61" s="18">
        <v>45336</v>
      </c>
      <c r="U61" s="17">
        <v>0.45833333333333331</v>
      </c>
      <c r="V61" s="12" t="str">
        <f t="shared" si="2"/>
        <v>0 г. 0 мес. 2 дн.</v>
      </c>
      <c r="W61" s="22"/>
      <c r="X61" s="72"/>
    </row>
    <row r="62" spans="1:24" ht="35.1" customHeight="1" x14ac:dyDescent="0.25">
      <c r="A62" s="12">
        <f t="shared" si="0"/>
        <v>61</v>
      </c>
      <c r="B62" s="12">
        <v>274</v>
      </c>
      <c r="C62" s="20" t="s">
        <v>77</v>
      </c>
      <c r="D62" s="18">
        <v>45335</v>
      </c>
      <c r="E62" s="17">
        <v>0.66666666666666663</v>
      </c>
      <c r="F62" s="12" t="s">
        <v>300</v>
      </c>
      <c r="G62" s="18">
        <v>44929</v>
      </c>
      <c r="H62" s="12" t="str">
        <f t="shared" si="3"/>
        <v>1 г. 1 мес. 10 дн.</v>
      </c>
      <c r="I62" s="12" t="s">
        <v>120</v>
      </c>
      <c r="J62" s="12" t="s">
        <v>77</v>
      </c>
      <c r="K62" s="12" t="s">
        <v>301</v>
      </c>
      <c r="L62" s="12" t="s">
        <v>302</v>
      </c>
      <c r="M62" s="12" t="s">
        <v>52</v>
      </c>
      <c r="O62" s="12" t="s">
        <v>73</v>
      </c>
      <c r="Q62" s="12" t="s">
        <v>126</v>
      </c>
      <c r="S62" s="12" t="s">
        <v>27</v>
      </c>
      <c r="T62" s="18">
        <v>45342</v>
      </c>
      <c r="U62" s="17">
        <v>0.45833333333333331</v>
      </c>
      <c r="V62" s="12" t="str">
        <f t="shared" si="2"/>
        <v>0 г. 0 мес. 7 дн.</v>
      </c>
      <c r="W62" s="22"/>
      <c r="X62" s="72"/>
    </row>
    <row r="63" spans="1:24" ht="35.1" customHeight="1" x14ac:dyDescent="0.25">
      <c r="A63" s="12">
        <f t="shared" si="0"/>
        <v>62</v>
      </c>
      <c r="B63" s="12">
        <v>341</v>
      </c>
      <c r="C63" s="20" t="s">
        <v>77</v>
      </c>
      <c r="D63" s="18">
        <v>45336</v>
      </c>
      <c r="E63" s="17">
        <v>0.67361111111111116</v>
      </c>
      <c r="F63" s="12" t="s">
        <v>303</v>
      </c>
      <c r="G63" s="18">
        <v>40456</v>
      </c>
      <c r="H63" s="12" t="str">
        <f t="shared" si="3"/>
        <v>13 г. 4 мес. 9 дн.</v>
      </c>
      <c r="I63" s="12" t="s">
        <v>119</v>
      </c>
      <c r="J63" s="12" t="s">
        <v>77</v>
      </c>
      <c r="K63" s="12" t="s">
        <v>304</v>
      </c>
      <c r="L63" s="12" t="s">
        <v>305</v>
      </c>
      <c r="M63" s="12" t="s">
        <v>46</v>
      </c>
      <c r="O63" s="12" t="s">
        <v>87</v>
      </c>
      <c r="S63" s="12" t="s">
        <v>77</v>
      </c>
      <c r="T63" s="18">
        <v>45337</v>
      </c>
      <c r="U63" s="17">
        <v>0.45833333333333331</v>
      </c>
      <c r="V63" s="12" t="str">
        <f t="shared" si="2"/>
        <v>0 г. 0 мес. 1 дн.</v>
      </c>
      <c r="W63" s="22"/>
      <c r="X63" s="72"/>
    </row>
    <row r="64" spans="1:24" ht="35.1" customHeight="1" x14ac:dyDescent="0.25">
      <c r="A64" s="12">
        <f t="shared" si="0"/>
        <v>63</v>
      </c>
      <c r="B64" s="12">
        <v>381</v>
      </c>
      <c r="C64" s="20" t="s">
        <v>77</v>
      </c>
      <c r="D64" s="18">
        <v>45337</v>
      </c>
      <c r="E64" s="17">
        <v>0.32291666666666669</v>
      </c>
      <c r="F64" s="12" t="s">
        <v>315</v>
      </c>
      <c r="G64" s="18">
        <v>45308</v>
      </c>
      <c r="H64" s="12" t="str">
        <f t="shared" si="3"/>
        <v>0 г. 0 мес. 29 дн.</v>
      </c>
      <c r="I64" s="12" t="s">
        <v>120</v>
      </c>
      <c r="J64" s="12" t="s">
        <v>25</v>
      </c>
      <c r="K64" s="12" t="s">
        <v>306</v>
      </c>
      <c r="L64" s="12" t="s">
        <v>307</v>
      </c>
      <c r="M64" s="12" t="s">
        <v>49</v>
      </c>
      <c r="O64" s="12" t="s">
        <v>73</v>
      </c>
      <c r="S64" s="12" t="s">
        <v>77</v>
      </c>
      <c r="T64" s="18">
        <v>45345</v>
      </c>
      <c r="U64" s="17">
        <v>0.45833333333333331</v>
      </c>
      <c r="V64" s="12" t="str">
        <f t="shared" si="2"/>
        <v>0 г. 0 мес. 8 дн.</v>
      </c>
      <c r="W64" s="22"/>
      <c r="X64" s="72"/>
    </row>
    <row r="65" spans="1:24" ht="35.1" customHeight="1" x14ac:dyDescent="0.25">
      <c r="A65" s="12">
        <f t="shared" ref="A65:A127" si="4">ROW(A64)</f>
        <v>64</v>
      </c>
      <c r="B65" s="12">
        <v>382</v>
      </c>
      <c r="C65" s="20" t="s">
        <v>77</v>
      </c>
      <c r="D65" s="18">
        <v>45337</v>
      </c>
      <c r="E65" s="17">
        <v>0.47222222222222227</v>
      </c>
      <c r="F65" s="12" t="s">
        <v>140</v>
      </c>
      <c r="G65" s="18">
        <v>41513</v>
      </c>
      <c r="H65" s="12" t="str">
        <f t="shared" si="3"/>
        <v>10 г. 5 мес. 19 дн.</v>
      </c>
      <c r="I65" s="12" t="s">
        <v>118</v>
      </c>
      <c r="K65" s="12" t="s">
        <v>308</v>
      </c>
      <c r="L65" s="12" t="s">
        <v>309</v>
      </c>
      <c r="M65" s="12" t="s">
        <v>49</v>
      </c>
      <c r="O65" s="12" t="s">
        <v>73</v>
      </c>
      <c r="S65" s="12" t="s">
        <v>31</v>
      </c>
      <c r="T65" s="18">
        <v>45344</v>
      </c>
      <c r="U65" s="17">
        <v>0.70833333333333337</v>
      </c>
      <c r="V65" s="12" t="str">
        <f t="shared" si="2"/>
        <v>0 г. 0 мес. 7 дн.</v>
      </c>
      <c r="W65" s="22"/>
      <c r="X65" s="72"/>
    </row>
    <row r="66" spans="1:24" ht="35.1" customHeight="1" x14ac:dyDescent="0.25">
      <c r="A66" s="12">
        <f t="shared" si="4"/>
        <v>65</v>
      </c>
      <c r="B66" s="12">
        <v>314</v>
      </c>
      <c r="C66" s="20" t="s">
        <v>77</v>
      </c>
      <c r="D66" s="18">
        <v>45338</v>
      </c>
      <c r="E66" s="17">
        <v>0.66666666666666663</v>
      </c>
      <c r="F66" s="12" t="s">
        <v>310</v>
      </c>
      <c r="G66" s="18">
        <v>41468</v>
      </c>
      <c r="H66" s="12" t="str">
        <f t="shared" ref="H66:H97" si="5">DATEDIF(G66,D66,"y") &amp; " г. " &amp; DATEDIF(G66,D66,"ym") &amp; " мес. " &amp; DATEDIF(G66,D66,"md") &amp; " дн."</f>
        <v>10 г. 7 мес. 3 дн.</v>
      </c>
      <c r="I66" s="12" t="s">
        <v>119</v>
      </c>
      <c r="J66" s="12" t="s">
        <v>77</v>
      </c>
      <c r="K66" s="12" t="s">
        <v>311</v>
      </c>
      <c r="L66" s="12" t="s">
        <v>312</v>
      </c>
      <c r="M66" s="12" t="s">
        <v>52</v>
      </c>
      <c r="O66" s="12" t="s">
        <v>87</v>
      </c>
      <c r="S66" s="12" t="s">
        <v>77</v>
      </c>
      <c r="T66" s="18">
        <v>45339</v>
      </c>
      <c r="U66" s="17">
        <v>0.51388888888888895</v>
      </c>
      <c r="V66" s="12" t="str">
        <f t="shared" ref="V66:V129" si="6">DATEDIF(D66,T66,"y") &amp; " г. " &amp; DATEDIF(D66,T66,"ym") &amp; " мес. " &amp; DATEDIF(D66,T66,"md") &amp; " дн."</f>
        <v>0 г. 0 мес. 1 дн.</v>
      </c>
      <c r="W66" s="22"/>
      <c r="X66" s="72"/>
    </row>
    <row r="67" spans="1:24" ht="35.1" customHeight="1" x14ac:dyDescent="0.25">
      <c r="A67" s="12">
        <f t="shared" si="4"/>
        <v>66</v>
      </c>
      <c r="B67" s="12">
        <v>243</v>
      </c>
      <c r="C67" s="20" t="s">
        <v>27</v>
      </c>
      <c r="D67" s="18">
        <v>45339</v>
      </c>
      <c r="E67" s="17">
        <v>0.72222222222222221</v>
      </c>
      <c r="F67" s="12" t="s">
        <v>336</v>
      </c>
      <c r="G67" s="18">
        <v>43944</v>
      </c>
      <c r="H67" s="12" t="str">
        <f t="shared" si="5"/>
        <v>3 г. 9 мес. 25 дн.</v>
      </c>
      <c r="I67" s="12" t="s">
        <v>121</v>
      </c>
      <c r="K67" s="12" t="s">
        <v>313</v>
      </c>
      <c r="L67" s="12" t="s">
        <v>314</v>
      </c>
      <c r="M67" s="12" t="s">
        <v>48</v>
      </c>
      <c r="N67" s="12">
        <v>72</v>
      </c>
      <c r="O67" s="12" t="s">
        <v>73</v>
      </c>
      <c r="S67" s="12" t="s">
        <v>27</v>
      </c>
      <c r="T67" s="18">
        <v>45346</v>
      </c>
      <c r="U67" s="17">
        <v>0.58333333333333337</v>
      </c>
      <c r="V67" s="12" t="str">
        <f t="shared" si="6"/>
        <v>0 г. 0 мес. 7 дн.</v>
      </c>
      <c r="W67" s="22"/>
      <c r="X67" s="72"/>
    </row>
    <row r="68" spans="1:24" ht="35.1" customHeight="1" x14ac:dyDescent="0.25">
      <c r="A68" s="12">
        <f t="shared" si="4"/>
        <v>67</v>
      </c>
      <c r="B68" s="12">
        <v>123</v>
      </c>
      <c r="C68" s="20" t="s">
        <v>26</v>
      </c>
      <c r="D68" s="18">
        <v>45330</v>
      </c>
      <c r="E68" s="17">
        <v>0.28819444444444448</v>
      </c>
      <c r="F68" s="12" t="s">
        <v>318</v>
      </c>
      <c r="G68" s="18">
        <v>44424</v>
      </c>
      <c r="H68" s="12" t="str">
        <f t="shared" si="5"/>
        <v>2 г. 5 мес. 23 дн.</v>
      </c>
      <c r="I68" s="12" t="s">
        <v>118</v>
      </c>
      <c r="K68" s="12" t="s">
        <v>319</v>
      </c>
      <c r="L68" s="12" t="s">
        <v>320</v>
      </c>
      <c r="M68" s="12" t="s">
        <v>48</v>
      </c>
      <c r="O68" s="12" t="s">
        <v>87</v>
      </c>
      <c r="S68" s="12" t="s">
        <v>80</v>
      </c>
      <c r="T68" s="18">
        <v>45331</v>
      </c>
      <c r="U68" s="17">
        <v>0.5</v>
      </c>
      <c r="V68" s="12" t="str">
        <f t="shared" si="6"/>
        <v>0 г. 0 мес. 1 дн.</v>
      </c>
      <c r="W68" s="22"/>
      <c r="X68" s="72"/>
    </row>
    <row r="69" spans="1:24" ht="35.1" customHeight="1" x14ac:dyDescent="0.25">
      <c r="A69" s="12">
        <f t="shared" si="4"/>
        <v>68</v>
      </c>
      <c r="B69" s="12">
        <v>66</v>
      </c>
      <c r="C69" s="20" t="s">
        <v>28</v>
      </c>
      <c r="D69" s="18">
        <v>45331</v>
      </c>
      <c r="E69" s="17">
        <v>0.125</v>
      </c>
      <c r="F69" s="12" t="s">
        <v>239</v>
      </c>
      <c r="G69" s="18">
        <v>39326</v>
      </c>
      <c r="H69" s="12" t="str">
        <f t="shared" si="5"/>
        <v>16 г. 5 мес. 8 дн.</v>
      </c>
      <c r="I69" s="12" t="s">
        <v>123</v>
      </c>
      <c r="J69" s="12" t="s">
        <v>28</v>
      </c>
      <c r="K69" s="12" t="s">
        <v>321</v>
      </c>
      <c r="L69" s="12" t="s">
        <v>241</v>
      </c>
      <c r="M69" s="12" t="s">
        <v>46</v>
      </c>
      <c r="O69" s="12" t="s">
        <v>87</v>
      </c>
      <c r="S69" s="12" t="s">
        <v>28</v>
      </c>
      <c r="T69" s="18">
        <v>45331</v>
      </c>
      <c r="U69" s="17">
        <v>0.43888888888888888</v>
      </c>
      <c r="V69" s="12" t="str">
        <f t="shared" si="6"/>
        <v>0 г. 0 мес. 0 дн.</v>
      </c>
      <c r="W69" s="22"/>
      <c r="X69" s="72"/>
    </row>
    <row r="70" spans="1:24" ht="35.1" customHeight="1" x14ac:dyDescent="0.25">
      <c r="A70" s="12">
        <f t="shared" si="4"/>
        <v>69</v>
      </c>
      <c r="B70" s="12">
        <v>66</v>
      </c>
      <c r="C70" s="20" t="s">
        <v>28</v>
      </c>
      <c r="D70" s="18">
        <v>45339</v>
      </c>
      <c r="E70" s="17">
        <v>8.2638888888888887E-2</v>
      </c>
      <c r="F70" s="12" t="s">
        <v>239</v>
      </c>
      <c r="G70" s="18">
        <v>39326</v>
      </c>
      <c r="H70" s="12" t="str">
        <f t="shared" si="5"/>
        <v>16 г. 5 мес. 16 дн.</v>
      </c>
      <c r="I70" s="12" t="s">
        <v>123</v>
      </c>
      <c r="J70" s="12" t="s">
        <v>28</v>
      </c>
      <c r="K70" s="12" t="s">
        <v>321</v>
      </c>
      <c r="L70" s="12" t="s">
        <v>241</v>
      </c>
      <c r="M70" s="12" t="s">
        <v>46</v>
      </c>
      <c r="O70" s="12" t="s">
        <v>87</v>
      </c>
      <c r="S70" s="12" t="s">
        <v>28</v>
      </c>
      <c r="T70" s="18">
        <v>45340</v>
      </c>
      <c r="U70" s="17">
        <v>0.42777777777777781</v>
      </c>
      <c r="V70" s="12" t="str">
        <f t="shared" si="6"/>
        <v>0 г. 0 мес. 1 дн.</v>
      </c>
      <c r="W70" s="22"/>
      <c r="X70" s="72"/>
    </row>
    <row r="71" spans="1:24" ht="35.1" customHeight="1" x14ac:dyDescent="0.25">
      <c r="A71" s="12">
        <f t="shared" si="4"/>
        <v>70</v>
      </c>
      <c r="B71" s="12">
        <v>158</v>
      </c>
      <c r="C71" s="20" t="s">
        <v>26</v>
      </c>
      <c r="D71" s="18">
        <v>45340</v>
      </c>
      <c r="E71" s="17">
        <v>0.72916666666666663</v>
      </c>
      <c r="F71" s="12" t="s">
        <v>323</v>
      </c>
      <c r="G71" s="18">
        <v>39533</v>
      </c>
      <c r="H71" s="12" t="str">
        <f t="shared" si="5"/>
        <v>15 г. 10 мес. 23 дн.</v>
      </c>
      <c r="I71" s="12" t="s">
        <v>118</v>
      </c>
      <c r="K71" s="12" t="s">
        <v>324</v>
      </c>
      <c r="L71" s="12" t="s">
        <v>325</v>
      </c>
      <c r="M71" s="12" t="s">
        <v>48</v>
      </c>
      <c r="O71" s="12" t="s">
        <v>87</v>
      </c>
      <c r="S71" s="12" t="s">
        <v>26</v>
      </c>
      <c r="T71" s="18">
        <v>45342</v>
      </c>
      <c r="U71" s="17">
        <v>0.5</v>
      </c>
      <c r="V71" s="12" t="str">
        <f t="shared" si="6"/>
        <v>0 г. 0 мес. 2 дн.</v>
      </c>
      <c r="W71" s="22"/>
      <c r="X71" s="72"/>
    </row>
    <row r="72" spans="1:24" ht="35.1" customHeight="1" x14ac:dyDescent="0.25">
      <c r="A72" s="12">
        <f t="shared" si="4"/>
        <v>71</v>
      </c>
      <c r="B72" s="12">
        <v>159</v>
      </c>
      <c r="C72" s="20" t="s">
        <v>26</v>
      </c>
      <c r="D72" s="18">
        <v>45340</v>
      </c>
      <c r="E72" s="17">
        <v>0.97152777777777777</v>
      </c>
      <c r="F72" s="12" t="s">
        <v>326</v>
      </c>
      <c r="G72" s="18">
        <v>40681</v>
      </c>
      <c r="H72" s="12" t="str">
        <f t="shared" si="5"/>
        <v>12 г. 9 мес. 0 дн.</v>
      </c>
      <c r="I72" s="12" t="s">
        <v>118</v>
      </c>
      <c r="K72" s="12" t="s">
        <v>327</v>
      </c>
      <c r="L72" s="12" t="s">
        <v>328</v>
      </c>
      <c r="M72" s="12" t="s">
        <v>55</v>
      </c>
      <c r="O72" s="12" t="s">
        <v>87</v>
      </c>
      <c r="S72" s="12" t="s">
        <v>26</v>
      </c>
      <c r="T72" s="18">
        <v>45341</v>
      </c>
      <c r="U72" s="17">
        <v>0.48402777777777778</v>
      </c>
      <c r="V72" s="12" t="str">
        <f t="shared" si="6"/>
        <v>0 г. 0 мес. 1 дн.</v>
      </c>
      <c r="W72" s="22"/>
      <c r="X72" s="72"/>
    </row>
    <row r="73" spans="1:24" ht="35.1" customHeight="1" x14ac:dyDescent="0.25">
      <c r="A73" s="12">
        <f t="shared" si="4"/>
        <v>72</v>
      </c>
      <c r="B73" s="12">
        <v>410</v>
      </c>
      <c r="C73" s="20" t="s">
        <v>77</v>
      </c>
      <c r="D73" s="18">
        <v>45342</v>
      </c>
      <c r="E73" s="17">
        <v>0.52083333333333337</v>
      </c>
      <c r="F73" s="12" t="s">
        <v>329</v>
      </c>
      <c r="G73" s="18">
        <v>42903</v>
      </c>
      <c r="H73" s="12" t="str">
        <f t="shared" si="5"/>
        <v>6 г. 8 мес. 3 дн.</v>
      </c>
      <c r="I73" s="12" t="s">
        <v>119</v>
      </c>
      <c r="J73" s="12" t="s">
        <v>77</v>
      </c>
      <c r="K73" s="12" t="s">
        <v>330</v>
      </c>
      <c r="L73" s="12" t="s">
        <v>251</v>
      </c>
      <c r="M73" s="12" t="s">
        <v>49</v>
      </c>
      <c r="O73" s="12" t="s">
        <v>87</v>
      </c>
      <c r="S73" s="12" t="s">
        <v>77</v>
      </c>
      <c r="T73" s="18">
        <v>45342</v>
      </c>
      <c r="U73" s="17">
        <v>0.8125</v>
      </c>
      <c r="V73" s="12" t="str">
        <f t="shared" si="6"/>
        <v>0 г. 0 мес. 0 дн.</v>
      </c>
      <c r="W73" s="22"/>
      <c r="X73" s="72"/>
    </row>
    <row r="74" spans="1:24" ht="35.1" customHeight="1" x14ac:dyDescent="0.25">
      <c r="A74" s="13">
        <v>73</v>
      </c>
      <c r="B74" s="13"/>
      <c r="C74" s="14" t="s">
        <v>27</v>
      </c>
      <c r="D74" s="18">
        <v>45342</v>
      </c>
      <c r="E74" s="15">
        <v>0.54166666666666663</v>
      </c>
      <c r="F74" s="13" t="s">
        <v>331</v>
      </c>
      <c r="G74" s="25">
        <v>43999</v>
      </c>
      <c r="H74" s="12" t="str">
        <f t="shared" si="5"/>
        <v>3 г. 8 мес. 3 дн.</v>
      </c>
      <c r="I74" s="12" t="s">
        <v>118</v>
      </c>
      <c r="K74" s="26" t="s">
        <v>147</v>
      </c>
      <c r="L74" s="26" t="s">
        <v>332</v>
      </c>
      <c r="M74" s="26" t="s">
        <v>48</v>
      </c>
      <c r="N74" s="13"/>
      <c r="O74" s="12" t="s">
        <v>87</v>
      </c>
      <c r="P74" s="27"/>
      <c r="Q74" s="13"/>
      <c r="R74" s="13"/>
      <c r="S74" s="27" t="s">
        <v>27</v>
      </c>
      <c r="T74" s="28">
        <v>45343</v>
      </c>
      <c r="U74" s="29">
        <v>0.47222222222222227</v>
      </c>
      <c r="V74" s="26" t="str">
        <f t="shared" si="6"/>
        <v>0 г. 0 мес. 1 дн.</v>
      </c>
      <c r="W74" s="24"/>
      <c r="X74" s="72"/>
    </row>
    <row r="75" spans="1:24" s="13" customFormat="1" ht="35.1" customHeight="1" x14ac:dyDescent="0.25">
      <c r="A75" s="12">
        <f t="shared" si="4"/>
        <v>74</v>
      </c>
      <c r="B75" s="12">
        <v>171</v>
      </c>
      <c r="C75" s="20" t="s">
        <v>26</v>
      </c>
      <c r="D75" s="18">
        <v>45343</v>
      </c>
      <c r="E75" s="17">
        <v>0.48958333333333331</v>
      </c>
      <c r="F75" s="12" t="s">
        <v>370</v>
      </c>
      <c r="G75" s="18">
        <v>44205</v>
      </c>
      <c r="H75" s="12" t="str">
        <f t="shared" si="5"/>
        <v>3 г. 1 мес. 12 дн.</v>
      </c>
      <c r="I75" s="12" t="s">
        <v>118</v>
      </c>
      <c r="J75" s="12"/>
      <c r="K75" s="12" t="s">
        <v>296</v>
      </c>
      <c r="L75" s="12" t="s">
        <v>333</v>
      </c>
      <c r="M75" s="12" t="s">
        <v>40</v>
      </c>
      <c r="N75" s="12"/>
      <c r="O75" s="12" t="s">
        <v>87</v>
      </c>
      <c r="P75" s="12"/>
      <c r="Q75" s="12"/>
      <c r="R75" s="12"/>
      <c r="S75" s="12" t="s">
        <v>26</v>
      </c>
      <c r="T75" s="18">
        <v>45343</v>
      </c>
      <c r="U75" s="17">
        <v>0.76388888888888884</v>
      </c>
      <c r="V75" s="12" t="str">
        <f t="shared" si="6"/>
        <v>0 г. 0 мес. 0 дн.</v>
      </c>
      <c r="W75" s="22"/>
      <c r="X75" s="74"/>
    </row>
    <row r="76" spans="1:24" ht="35.1" customHeight="1" x14ac:dyDescent="0.25">
      <c r="A76" s="12">
        <f t="shared" si="4"/>
        <v>75</v>
      </c>
      <c r="B76" s="12">
        <v>229</v>
      </c>
      <c r="C76" s="20" t="s">
        <v>23</v>
      </c>
      <c r="D76" s="18">
        <v>45343</v>
      </c>
      <c r="E76" s="17">
        <v>0.62152777777777779</v>
      </c>
      <c r="F76" s="12" t="s">
        <v>365</v>
      </c>
      <c r="G76" s="18">
        <v>38986</v>
      </c>
      <c r="H76" s="12" t="str">
        <f t="shared" si="5"/>
        <v>17 г. 4 мес. 26 дн.</v>
      </c>
      <c r="I76" s="12" t="s">
        <v>119</v>
      </c>
      <c r="J76" s="12" t="s">
        <v>23</v>
      </c>
      <c r="K76" s="12" t="s">
        <v>334</v>
      </c>
      <c r="L76" s="12" t="s">
        <v>335</v>
      </c>
      <c r="M76" s="12" t="s">
        <v>51</v>
      </c>
      <c r="O76" s="12" t="s">
        <v>87</v>
      </c>
      <c r="S76" s="12" t="s">
        <v>23</v>
      </c>
      <c r="T76" s="18">
        <v>45344</v>
      </c>
      <c r="U76" s="17">
        <v>0.5</v>
      </c>
      <c r="V76" s="12" t="str">
        <f t="shared" si="6"/>
        <v>0 г. 0 мес. 1 дн.</v>
      </c>
      <c r="W76" s="22"/>
      <c r="X76" s="72"/>
    </row>
    <row r="77" spans="1:24" ht="35.1" customHeight="1" x14ac:dyDescent="0.25">
      <c r="A77" s="12">
        <f t="shared" si="4"/>
        <v>76</v>
      </c>
      <c r="B77" s="12"/>
      <c r="C77" s="20" t="s">
        <v>77</v>
      </c>
      <c r="D77" s="18">
        <v>45345</v>
      </c>
      <c r="E77" s="17">
        <v>0.54166666666666663</v>
      </c>
      <c r="F77" s="12" t="s">
        <v>337</v>
      </c>
      <c r="G77" s="18">
        <v>42280</v>
      </c>
      <c r="H77" s="12" t="str">
        <f t="shared" si="5"/>
        <v>8 г. 4 мес. 20 дн.</v>
      </c>
      <c r="I77" s="12" t="s">
        <v>120</v>
      </c>
      <c r="J77" s="12" t="s">
        <v>77</v>
      </c>
      <c r="K77" s="12" t="s">
        <v>338</v>
      </c>
      <c r="L77" s="12" t="s">
        <v>339</v>
      </c>
      <c r="M77" s="12" t="s">
        <v>49</v>
      </c>
      <c r="O77" s="12" t="s">
        <v>87</v>
      </c>
      <c r="S77" s="12" t="s">
        <v>77</v>
      </c>
      <c r="T77" s="18">
        <v>45346</v>
      </c>
      <c r="U77" s="17">
        <v>0.5</v>
      </c>
      <c r="V77" s="12" t="str">
        <f t="shared" si="6"/>
        <v>0 г. 0 мес. 1 дн.</v>
      </c>
      <c r="W77" s="22"/>
      <c r="X77" s="72"/>
    </row>
    <row r="78" spans="1:24" ht="35.1" customHeight="1" x14ac:dyDescent="0.25">
      <c r="A78" s="12">
        <f t="shared" si="4"/>
        <v>77</v>
      </c>
      <c r="B78" s="12"/>
      <c r="C78" s="20" t="s">
        <v>28</v>
      </c>
      <c r="D78" s="18">
        <v>45345</v>
      </c>
      <c r="E78" s="17">
        <v>0.88888888888888884</v>
      </c>
      <c r="F78" s="12" t="s">
        <v>340</v>
      </c>
      <c r="G78" s="18">
        <v>39487</v>
      </c>
      <c r="H78" s="12" t="str">
        <f t="shared" si="5"/>
        <v>16 г. 0 мес. 14 дн.</v>
      </c>
      <c r="I78" s="12" t="s">
        <v>121</v>
      </c>
      <c r="K78" s="12" t="s">
        <v>341</v>
      </c>
      <c r="L78" s="12" t="s">
        <v>342</v>
      </c>
      <c r="M78" s="12" t="s">
        <v>40</v>
      </c>
      <c r="O78" s="12" t="s">
        <v>73</v>
      </c>
      <c r="Q78" s="12" t="s">
        <v>125</v>
      </c>
      <c r="S78" s="12" t="s">
        <v>28</v>
      </c>
      <c r="T78" s="18">
        <v>45352</v>
      </c>
      <c r="U78" s="17">
        <v>0.54166666666666663</v>
      </c>
      <c r="V78" s="12" t="str">
        <f t="shared" si="6"/>
        <v>0 г. 0 мес. 7 дн.</v>
      </c>
      <c r="W78" s="22"/>
      <c r="X78" s="72"/>
    </row>
    <row r="79" spans="1:24" ht="35.1" customHeight="1" x14ac:dyDescent="0.25">
      <c r="A79" s="12">
        <f t="shared" si="4"/>
        <v>78</v>
      </c>
      <c r="B79" s="12">
        <v>465</v>
      </c>
      <c r="C79" s="20" t="s">
        <v>77</v>
      </c>
      <c r="D79" s="18">
        <v>45348</v>
      </c>
      <c r="E79" s="17">
        <v>0.83333333333333337</v>
      </c>
      <c r="F79" s="12" t="s">
        <v>343</v>
      </c>
      <c r="G79" s="18">
        <v>39675</v>
      </c>
      <c r="H79" s="12" t="str">
        <f t="shared" si="5"/>
        <v>15 г. 6 мес. 11 дн.</v>
      </c>
      <c r="I79" s="12" t="s">
        <v>119</v>
      </c>
      <c r="J79" s="12" t="s">
        <v>77</v>
      </c>
      <c r="K79" s="12" t="s">
        <v>147</v>
      </c>
      <c r="L79" s="12" t="s">
        <v>346</v>
      </c>
      <c r="M79" s="12" t="s">
        <v>49</v>
      </c>
      <c r="O79" s="12" t="s">
        <v>73</v>
      </c>
      <c r="S79" s="12" t="s">
        <v>77</v>
      </c>
      <c r="T79" s="18">
        <v>45352</v>
      </c>
      <c r="U79" s="17">
        <v>0.5</v>
      </c>
      <c r="V79" s="12" t="str">
        <f t="shared" si="6"/>
        <v>0 г. 0 мес. 4 дн.</v>
      </c>
      <c r="W79" s="22" t="s">
        <v>132</v>
      </c>
      <c r="X79" s="72"/>
    </row>
    <row r="80" spans="1:24" ht="35.1" customHeight="1" x14ac:dyDescent="0.25">
      <c r="A80" s="12">
        <f t="shared" si="4"/>
        <v>79</v>
      </c>
      <c r="B80" s="12">
        <v>455</v>
      </c>
      <c r="C80" s="20" t="s">
        <v>77</v>
      </c>
      <c r="D80" s="18">
        <v>45348</v>
      </c>
      <c r="E80" s="17">
        <v>0.5</v>
      </c>
      <c r="F80" s="12" t="s">
        <v>344</v>
      </c>
      <c r="G80" s="18">
        <v>40918</v>
      </c>
      <c r="H80" s="12" t="str">
        <f t="shared" si="5"/>
        <v>12 г. 1 мес. 16 дн.</v>
      </c>
      <c r="I80" s="12" t="s">
        <v>119</v>
      </c>
      <c r="J80" s="12" t="s">
        <v>77</v>
      </c>
      <c r="K80" s="12" t="s">
        <v>345</v>
      </c>
      <c r="L80" s="12" t="s">
        <v>347</v>
      </c>
      <c r="M80" s="12" t="s">
        <v>49</v>
      </c>
      <c r="O80" s="12" t="s">
        <v>87</v>
      </c>
      <c r="S80" s="12" t="s">
        <v>77</v>
      </c>
      <c r="T80" s="18">
        <v>45352</v>
      </c>
      <c r="U80" s="17">
        <v>0.5</v>
      </c>
      <c r="V80" s="12" t="str">
        <f t="shared" si="6"/>
        <v>0 г. 0 мес. 4 дн.</v>
      </c>
      <c r="W80" s="22"/>
      <c r="X80" s="72"/>
    </row>
    <row r="81" spans="1:24" ht="35.1" customHeight="1" x14ac:dyDescent="0.25">
      <c r="A81" s="30">
        <f t="shared" si="4"/>
        <v>80</v>
      </c>
      <c r="B81" s="30">
        <v>187</v>
      </c>
      <c r="C81" s="31" t="s">
        <v>26</v>
      </c>
      <c r="D81" s="32">
        <v>45349</v>
      </c>
      <c r="E81" s="33">
        <v>0.16666666666666666</v>
      </c>
      <c r="F81" s="30" t="s">
        <v>348</v>
      </c>
      <c r="G81" s="32">
        <v>39568</v>
      </c>
      <c r="H81" s="30" t="str">
        <f t="shared" si="5"/>
        <v>15 г. 9 мес. 28 дн.</v>
      </c>
      <c r="I81" s="30" t="s">
        <v>118</v>
      </c>
      <c r="J81" s="30"/>
      <c r="K81" s="30" t="s">
        <v>145</v>
      </c>
      <c r="L81" s="30" t="s">
        <v>349</v>
      </c>
      <c r="M81" s="30" t="s">
        <v>46</v>
      </c>
      <c r="N81" s="30"/>
      <c r="O81" s="30" t="s">
        <v>87</v>
      </c>
      <c r="P81" s="30"/>
      <c r="Q81" s="30"/>
      <c r="R81" s="30"/>
      <c r="S81" s="30" t="s">
        <v>26</v>
      </c>
      <c r="T81" s="32">
        <v>45351</v>
      </c>
      <c r="U81" s="33">
        <v>0.54166666666666663</v>
      </c>
      <c r="V81" s="30" t="str">
        <f t="shared" si="6"/>
        <v>0 г. 0 мес. 2 дн.</v>
      </c>
      <c r="W81" s="22"/>
      <c r="X81" s="72"/>
    </row>
    <row r="82" spans="1:24" ht="35.1" customHeight="1" x14ac:dyDescent="0.25">
      <c r="A82" s="12">
        <f t="shared" si="4"/>
        <v>81</v>
      </c>
      <c r="B82" s="12">
        <v>480</v>
      </c>
      <c r="C82" s="20" t="s">
        <v>77</v>
      </c>
      <c r="D82" s="18">
        <v>45349</v>
      </c>
      <c r="E82" s="17">
        <v>0.72916666666666663</v>
      </c>
      <c r="F82" s="12" t="s">
        <v>350</v>
      </c>
      <c r="G82" s="18">
        <v>42263</v>
      </c>
      <c r="H82" s="12" t="str">
        <f t="shared" si="5"/>
        <v>8 г. 5 мес. 11 дн.</v>
      </c>
      <c r="I82" s="12" t="s">
        <v>118</v>
      </c>
      <c r="K82" s="12" t="s">
        <v>147</v>
      </c>
      <c r="L82" s="12" t="s">
        <v>360</v>
      </c>
      <c r="M82" s="12" t="s">
        <v>49</v>
      </c>
      <c r="O82" s="12" t="s">
        <v>87</v>
      </c>
      <c r="S82" s="12" t="s">
        <v>80</v>
      </c>
      <c r="T82" s="18">
        <v>45370</v>
      </c>
      <c r="U82" s="17">
        <v>0.5</v>
      </c>
      <c r="V82" s="12" t="str">
        <f t="shared" si="6"/>
        <v>0 г. 0 мес. 21 дн.</v>
      </c>
      <c r="W82" s="22"/>
      <c r="X82" s="72"/>
    </row>
    <row r="83" spans="1:24" ht="35.1" customHeight="1" x14ac:dyDescent="0.25">
      <c r="A83" s="12">
        <f t="shared" si="4"/>
        <v>82</v>
      </c>
      <c r="B83" s="12">
        <v>130</v>
      </c>
      <c r="C83" s="20" t="s">
        <v>28</v>
      </c>
      <c r="D83" s="18">
        <v>45350</v>
      </c>
      <c r="E83" s="17">
        <v>0.14583333333333334</v>
      </c>
      <c r="F83" s="12" t="s">
        <v>366</v>
      </c>
      <c r="G83" s="18">
        <v>45255</v>
      </c>
      <c r="H83" s="12" t="str">
        <f t="shared" si="5"/>
        <v>0 г. 3 мес. 3 дн.</v>
      </c>
      <c r="I83" s="12" t="s">
        <v>118</v>
      </c>
      <c r="K83" s="12" t="s">
        <v>147</v>
      </c>
      <c r="L83" s="12" t="s">
        <v>351</v>
      </c>
      <c r="M83" s="12" t="s">
        <v>46</v>
      </c>
      <c r="O83" s="12" t="s">
        <v>87</v>
      </c>
      <c r="S83" s="12" t="s">
        <v>28</v>
      </c>
      <c r="T83" s="18">
        <v>45352</v>
      </c>
      <c r="U83" s="17">
        <v>0.5</v>
      </c>
      <c r="V83" s="12" t="str">
        <f t="shared" si="6"/>
        <v>0 г. 0 мес. 2 дн.</v>
      </c>
      <c r="W83" s="22"/>
      <c r="X83" s="72"/>
    </row>
    <row r="84" spans="1:24" ht="35.1" customHeight="1" x14ac:dyDescent="0.25">
      <c r="A84" s="12">
        <f t="shared" si="4"/>
        <v>83</v>
      </c>
      <c r="B84" s="12">
        <v>197</v>
      </c>
      <c r="C84" s="20" t="s">
        <v>26</v>
      </c>
      <c r="D84" s="18">
        <v>45351</v>
      </c>
      <c r="E84" s="17">
        <v>0.79861111111111116</v>
      </c>
      <c r="F84" s="12" t="s">
        <v>352</v>
      </c>
      <c r="G84" s="18">
        <v>45190</v>
      </c>
      <c r="H84" s="12" t="str">
        <f t="shared" si="5"/>
        <v>0 г. 5 мес. 8 дн.</v>
      </c>
      <c r="I84" s="12" t="s">
        <v>118</v>
      </c>
      <c r="K84" s="12" t="s">
        <v>353</v>
      </c>
      <c r="L84" s="12" t="s">
        <v>325</v>
      </c>
      <c r="M84" s="12" t="s">
        <v>48</v>
      </c>
      <c r="O84" s="12" t="s">
        <v>73</v>
      </c>
      <c r="S84" s="12" t="s">
        <v>26</v>
      </c>
      <c r="T84" s="18">
        <v>45352</v>
      </c>
      <c r="U84" s="17">
        <v>0.54166666666666663</v>
      </c>
      <c r="V84" s="12" t="str">
        <f t="shared" si="6"/>
        <v>0 г. 0 мес. 1 дн.</v>
      </c>
      <c r="W84" s="22"/>
      <c r="X84" s="72"/>
    </row>
    <row r="85" spans="1:24" ht="35.1" customHeight="1" x14ac:dyDescent="0.25">
      <c r="A85" s="12">
        <f t="shared" si="4"/>
        <v>84</v>
      </c>
      <c r="B85" s="12">
        <v>502</v>
      </c>
      <c r="C85" s="20" t="s">
        <v>77</v>
      </c>
      <c r="D85" s="18">
        <v>45352</v>
      </c>
      <c r="E85" s="17">
        <v>0.60416666666666663</v>
      </c>
      <c r="F85" s="12" t="s">
        <v>354</v>
      </c>
      <c r="G85" s="18">
        <v>44929</v>
      </c>
      <c r="H85" s="12" t="str">
        <f t="shared" si="5"/>
        <v>1 г. 1 мес. 27 дн.</v>
      </c>
      <c r="I85" s="12" t="s">
        <v>120</v>
      </c>
      <c r="J85" s="12" t="s">
        <v>77</v>
      </c>
      <c r="K85" s="12" t="s">
        <v>355</v>
      </c>
      <c r="L85" s="12" t="s">
        <v>356</v>
      </c>
      <c r="M85" s="12" t="s">
        <v>51</v>
      </c>
      <c r="O85" s="12" t="s">
        <v>87</v>
      </c>
      <c r="Q85" s="12" t="s">
        <v>101</v>
      </c>
      <c r="S85" s="12" t="s">
        <v>77</v>
      </c>
      <c r="T85" s="18">
        <v>45352</v>
      </c>
      <c r="U85" s="17">
        <v>0.8125</v>
      </c>
      <c r="V85" s="12" t="str">
        <f t="shared" si="6"/>
        <v>0 г. 0 мес. 0 дн.</v>
      </c>
      <c r="W85" s="22"/>
      <c r="X85" s="72"/>
    </row>
    <row r="86" spans="1:24" ht="35.1" customHeight="1" x14ac:dyDescent="0.25">
      <c r="A86" s="12">
        <f t="shared" si="4"/>
        <v>85</v>
      </c>
      <c r="B86" s="12">
        <v>205</v>
      </c>
      <c r="C86" s="20" t="s">
        <v>26</v>
      </c>
      <c r="D86" s="18">
        <v>45353</v>
      </c>
      <c r="E86" s="17">
        <v>0.15972222222222224</v>
      </c>
      <c r="F86" s="12" t="s">
        <v>357</v>
      </c>
      <c r="G86" s="18">
        <v>39502</v>
      </c>
      <c r="H86" s="12" t="str">
        <f t="shared" si="5"/>
        <v>16 г. 0 мес. 7 дн.</v>
      </c>
      <c r="I86" s="12" t="s">
        <v>118</v>
      </c>
      <c r="K86" s="12" t="s">
        <v>358</v>
      </c>
      <c r="L86" s="12" t="s">
        <v>359</v>
      </c>
      <c r="M86" s="12" t="s">
        <v>55</v>
      </c>
      <c r="O86" s="12" t="s">
        <v>87</v>
      </c>
      <c r="S86" s="12" t="s">
        <v>26</v>
      </c>
      <c r="T86" s="18">
        <v>45353</v>
      </c>
      <c r="U86" s="17">
        <v>0.50972222222222219</v>
      </c>
      <c r="V86" s="12" t="str">
        <f t="shared" si="6"/>
        <v>0 г. 0 мес. 0 дн.</v>
      </c>
      <c r="W86" s="22"/>
      <c r="X86" s="72"/>
    </row>
    <row r="87" spans="1:24" ht="35.1" customHeight="1" x14ac:dyDescent="0.25">
      <c r="A87" s="12">
        <f t="shared" si="4"/>
        <v>86</v>
      </c>
      <c r="B87" s="12">
        <v>199</v>
      </c>
      <c r="C87" s="20" t="s">
        <v>26</v>
      </c>
      <c r="D87" s="18">
        <v>45352</v>
      </c>
      <c r="E87" s="17">
        <v>3.472222222222222E-3</v>
      </c>
      <c r="F87" s="12" t="s">
        <v>138</v>
      </c>
      <c r="G87" s="18">
        <v>45024</v>
      </c>
      <c r="H87" s="12" t="str">
        <f t="shared" si="5"/>
        <v>0 г. 10 мес. 22 дн.</v>
      </c>
      <c r="I87" s="12" t="s">
        <v>123</v>
      </c>
      <c r="J87" s="12" t="s">
        <v>80</v>
      </c>
      <c r="K87" s="12" t="s">
        <v>268</v>
      </c>
      <c r="L87" s="43" t="s">
        <v>361</v>
      </c>
      <c r="M87" s="12" t="s">
        <v>46</v>
      </c>
      <c r="O87" s="12" t="s">
        <v>87</v>
      </c>
      <c r="S87" s="12" t="s">
        <v>80</v>
      </c>
      <c r="T87" s="18">
        <v>45357</v>
      </c>
      <c r="U87" s="17">
        <v>0.5</v>
      </c>
      <c r="V87" s="12" t="str">
        <f t="shared" si="6"/>
        <v>0 г. 0 мес. 5 дн.</v>
      </c>
      <c r="W87" s="22"/>
      <c r="X87" s="72"/>
    </row>
    <row r="88" spans="1:24" ht="35.1" customHeight="1" x14ac:dyDescent="0.25">
      <c r="A88" s="12">
        <f t="shared" si="4"/>
        <v>87</v>
      </c>
      <c r="B88" s="12">
        <v>494</v>
      </c>
      <c r="C88" s="20" t="s">
        <v>77</v>
      </c>
      <c r="D88" s="18">
        <v>45351</v>
      </c>
      <c r="E88" s="17">
        <v>0.52083333333333337</v>
      </c>
      <c r="F88" s="12" t="s">
        <v>362</v>
      </c>
      <c r="G88" s="18">
        <v>45156</v>
      </c>
      <c r="H88" s="12" t="str">
        <f t="shared" si="5"/>
        <v>0 г. 6 мес. 11 дн.</v>
      </c>
      <c r="I88" s="12" t="s">
        <v>119</v>
      </c>
      <c r="J88" s="12" t="s">
        <v>77</v>
      </c>
      <c r="K88" s="12" t="s">
        <v>363</v>
      </c>
      <c r="L88" s="12" t="s">
        <v>364</v>
      </c>
      <c r="M88" s="12" t="s">
        <v>49</v>
      </c>
      <c r="O88" s="12" t="s">
        <v>73</v>
      </c>
      <c r="P88" s="12" t="s">
        <v>94</v>
      </c>
      <c r="Q88" s="12" t="s">
        <v>126</v>
      </c>
      <c r="S88" s="12" t="s">
        <v>77</v>
      </c>
      <c r="T88" s="18">
        <v>45377</v>
      </c>
      <c r="U88" s="17">
        <v>0.5</v>
      </c>
      <c r="V88" s="12" t="str">
        <f t="shared" si="6"/>
        <v>0 г. 0 мес. 26 дн.</v>
      </c>
      <c r="W88" s="22"/>
      <c r="X88" s="72"/>
    </row>
    <row r="89" spans="1:24" ht="35.1" customHeight="1" x14ac:dyDescent="0.25">
      <c r="A89" s="12">
        <f t="shared" si="4"/>
        <v>88</v>
      </c>
      <c r="B89" s="12">
        <v>227</v>
      </c>
      <c r="C89" s="20" t="s">
        <v>23</v>
      </c>
      <c r="D89" s="18">
        <v>45349</v>
      </c>
      <c r="E89" s="17">
        <v>0.64930555555555558</v>
      </c>
      <c r="F89" s="12" t="s">
        <v>368</v>
      </c>
      <c r="G89" s="18">
        <v>39725</v>
      </c>
      <c r="H89" s="12" t="str">
        <f t="shared" si="5"/>
        <v>15 г. 4 мес. 23 дн.</v>
      </c>
      <c r="I89" s="12" t="s">
        <v>119</v>
      </c>
      <c r="J89" s="12" t="s">
        <v>23</v>
      </c>
      <c r="K89" s="12" t="s">
        <v>369</v>
      </c>
      <c r="L89" s="12" t="s">
        <v>367</v>
      </c>
      <c r="M89" s="12" t="s">
        <v>51</v>
      </c>
      <c r="O89" s="12" t="s">
        <v>87</v>
      </c>
      <c r="P89" s="12" t="s">
        <v>94</v>
      </c>
      <c r="S89" s="12" t="s">
        <v>23</v>
      </c>
      <c r="T89" s="18">
        <v>45350</v>
      </c>
      <c r="U89" s="17">
        <v>0.44444444444444442</v>
      </c>
      <c r="V89" s="12" t="str">
        <f t="shared" si="6"/>
        <v>0 г. 0 мес. 1 дн.</v>
      </c>
      <c r="W89" s="22"/>
      <c r="X89" s="72"/>
    </row>
    <row r="90" spans="1:24" ht="35.1" customHeight="1" x14ac:dyDescent="0.25">
      <c r="A90" s="12">
        <f t="shared" si="4"/>
        <v>89</v>
      </c>
      <c r="B90" s="21">
        <v>209</v>
      </c>
      <c r="C90" s="20" t="s">
        <v>26</v>
      </c>
      <c r="D90" s="18">
        <v>45354</v>
      </c>
      <c r="E90" s="17">
        <v>0.91666666666666663</v>
      </c>
      <c r="F90" s="12" t="s">
        <v>371</v>
      </c>
      <c r="G90" s="18">
        <v>40703</v>
      </c>
      <c r="H90" s="12" t="str">
        <f t="shared" si="5"/>
        <v>12 г. 8 мес. 23 дн.</v>
      </c>
      <c r="I90" s="12" t="s">
        <v>118</v>
      </c>
      <c r="K90" s="12" t="s">
        <v>372</v>
      </c>
      <c r="L90" s="12" t="s">
        <v>373</v>
      </c>
      <c r="M90" s="12" t="s">
        <v>43</v>
      </c>
      <c r="N90" s="21"/>
      <c r="O90" s="12" t="s">
        <v>87</v>
      </c>
      <c r="P90" s="21"/>
      <c r="Q90" s="21"/>
      <c r="R90" s="21"/>
      <c r="S90" s="12" t="s">
        <v>26</v>
      </c>
      <c r="T90" s="18">
        <v>45356</v>
      </c>
      <c r="U90" s="17">
        <v>0.44444444444444442</v>
      </c>
      <c r="V90" s="12" t="str">
        <f t="shared" si="6"/>
        <v>0 г. 0 мес. 2 дн.</v>
      </c>
      <c r="W90" s="22"/>
      <c r="X90" s="72"/>
    </row>
    <row r="91" spans="1:24" ht="35.1" customHeight="1" x14ac:dyDescent="0.25">
      <c r="A91" s="12">
        <f t="shared" si="4"/>
        <v>90</v>
      </c>
      <c r="B91" s="12">
        <v>137</v>
      </c>
      <c r="C91" s="20" t="s">
        <v>28</v>
      </c>
      <c r="D91" s="18">
        <v>45355</v>
      </c>
      <c r="E91" s="17">
        <v>6.9444444444444441E-3</v>
      </c>
      <c r="F91" s="12" t="s">
        <v>293</v>
      </c>
      <c r="G91" s="18">
        <v>45211</v>
      </c>
      <c r="H91" s="12" t="str">
        <f t="shared" si="5"/>
        <v>0 г. 4 мес. 21 дн.</v>
      </c>
      <c r="I91" s="12" t="s">
        <v>123</v>
      </c>
      <c r="J91" s="12" t="s">
        <v>28</v>
      </c>
      <c r="K91" s="12" t="s">
        <v>322</v>
      </c>
      <c r="L91" s="12" t="s">
        <v>374</v>
      </c>
      <c r="M91" s="12" t="s">
        <v>46</v>
      </c>
      <c r="O91" s="12" t="s">
        <v>87</v>
      </c>
      <c r="S91" s="12" t="s">
        <v>31</v>
      </c>
      <c r="T91" s="18">
        <v>45372</v>
      </c>
      <c r="U91" s="17">
        <v>0.5</v>
      </c>
      <c r="V91" s="12" t="str">
        <f t="shared" si="6"/>
        <v>0 г. 0 мес. 17 дн.</v>
      </c>
      <c r="W91" s="22"/>
      <c r="X91" s="72"/>
    </row>
    <row r="92" spans="1:24" ht="35.1" customHeight="1" x14ac:dyDescent="0.25">
      <c r="A92" s="12">
        <f t="shared" si="4"/>
        <v>91</v>
      </c>
      <c r="B92" s="12">
        <v>212</v>
      </c>
      <c r="C92" s="20" t="s">
        <v>80</v>
      </c>
      <c r="D92" s="18">
        <v>45356</v>
      </c>
      <c r="E92" s="17">
        <v>4.8611111111111112E-2</v>
      </c>
      <c r="F92" s="12" t="s">
        <v>758</v>
      </c>
      <c r="G92" s="18">
        <v>42529</v>
      </c>
      <c r="H92" s="12" t="str">
        <f t="shared" si="5"/>
        <v>7 г. 8 мес. 26 дн.</v>
      </c>
      <c r="I92" s="12" t="s">
        <v>118</v>
      </c>
      <c r="K92" s="12" t="s">
        <v>463</v>
      </c>
      <c r="L92" s="12" t="s">
        <v>375</v>
      </c>
      <c r="M92" s="12" t="s">
        <v>48</v>
      </c>
      <c r="N92" s="12">
        <v>418</v>
      </c>
      <c r="O92" s="12" t="s">
        <v>87</v>
      </c>
      <c r="S92" s="12" t="s">
        <v>80</v>
      </c>
      <c r="T92" s="18">
        <v>45373</v>
      </c>
      <c r="U92" s="17">
        <v>0.45833333333333331</v>
      </c>
      <c r="V92" s="12" t="str">
        <f t="shared" si="6"/>
        <v>0 г. 0 мес. 17 дн.</v>
      </c>
      <c r="W92" s="22"/>
      <c r="X92" s="72"/>
    </row>
    <row r="93" spans="1:24" ht="35.1" customHeight="1" x14ac:dyDescent="0.25">
      <c r="A93" s="12">
        <f t="shared" si="4"/>
        <v>92</v>
      </c>
      <c r="B93" s="21">
        <v>289</v>
      </c>
      <c r="C93" s="20" t="s">
        <v>23</v>
      </c>
      <c r="D93" s="18">
        <v>45356</v>
      </c>
      <c r="E93" s="17">
        <v>0.5625</v>
      </c>
      <c r="F93" s="12" t="s">
        <v>376</v>
      </c>
      <c r="G93" s="18">
        <v>38714</v>
      </c>
      <c r="H93" s="12" t="str">
        <f t="shared" si="5"/>
        <v>18 г. 2 мес. 6 дн.</v>
      </c>
      <c r="I93" s="12" t="s">
        <v>119</v>
      </c>
      <c r="K93" s="12" t="s">
        <v>377</v>
      </c>
      <c r="L93" s="12" t="s">
        <v>378</v>
      </c>
      <c r="M93" s="12" t="s">
        <v>51</v>
      </c>
      <c r="N93" s="21"/>
      <c r="O93" s="12" t="s">
        <v>87</v>
      </c>
      <c r="P93" s="21" t="s">
        <v>94</v>
      </c>
      <c r="Q93" s="21"/>
      <c r="R93" s="21"/>
      <c r="S93" s="12" t="s">
        <v>23</v>
      </c>
      <c r="T93" s="18">
        <v>45358</v>
      </c>
      <c r="U93" s="17">
        <v>0.5</v>
      </c>
      <c r="V93" s="12" t="str">
        <f t="shared" si="6"/>
        <v>0 г. 0 мес. 2 дн.</v>
      </c>
      <c r="W93" s="22"/>
      <c r="X93" s="72"/>
    </row>
    <row r="94" spans="1:24" ht="35.1" customHeight="1" x14ac:dyDescent="0.25">
      <c r="A94" s="12">
        <f t="shared" si="4"/>
        <v>93</v>
      </c>
      <c r="B94" s="12">
        <v>313</v>
      </c>
      <c r="C94" s="20" t="s">
        <v>27</v>
      </c>
      <c r="D94" s="18">
        <v>45356</v>
      </c>
      <c r="E94" s="17">
        <v>0.17708333333333334</v>
      </c>
      <c r="F94" s="12" t="s">
        <v>379</v>
      </c>
      <c r="G94" s="18">
        <v>43921</v>
      </c>
      <c r="H94" s="12" t="str">
        <f t="shared" si="5"/>
        <v>3 г. 11 мес. 3 дн.</v>
      </c>
      <c r="I94" s="12" t="s">
        <v>118</v>
      </c>
      <c r="K94" s="12" t="s">
        <v>380</v>
      </c>
      <c r="L94" s="12" t="s">
        <v>381</v>
      </c>
      <c r="M94" s="12" t="s">
        <v>48</v>
      </c>
      <c r="O94" s="12" t="s">
        <v>87</v>
      </c>
      <c r="S94" s="12" t="s">
        <v>27</v>
      </c>
      <c r="T94" s="18">
        <v>45357</v>
      </c>
      <c r="U94" s="17">
        <v>0.5</v>
      </c>
      <c r="V94" s="12" t="str">
        <f t="shared" si="6"/>
        <v>0 г. 0 мес. 1 дн.</v>
      </c>
      <c r="W94" s="22"/>
      <c r="X94" s="72"/>
    </row>
    <row r="95" spans="1:24" ht="35.1" customHeight="1" x14ac:dyDescent="0.25">
      <c r="A95" s="12">
        <f t="shared" si="4"/>
        <v>94</v>
      </c>
      <c r="B95" s="12">
        <v>139</v>
      </c>
      <c r="C95" s="20" t="s">
        <v>25</v>
      </c>
      <c r="D95" s="18">
        <v>45356</v>
      </c>
      <c r="E95" s="17">
        <v>0.5</v>
      </c>
      <c r="F95" s="12" t="s">
        <v>382</v>
      </c>
      <c r="G95" s="18">
        <v>45314</v>
      </c>
      <c r="H95" s="12" t="str">
        <f t="shared" si="5"/>
        <v>0 г. 1 мес. 11 дн.</v>
      </c>
      <c r="I95" s="12" t="s">
        <v>118</v>
      </c>
      <c r="K95" s="12" t="s">
        <v>383</v>
      </c>
      <c r="L95" s="12" t="s">
        <v>384</v>
      </c>
      <c r="M95" s="12" t="s">
        <v>50</v>
      </c>
      <c r="O95" s="12" t="s">
        <v>87</v>
      </c>
      <c r="S95" s="12" t="s">
        <v>28</v>
      </c>
      <c r="T95" s="18">
        <v>45357</v>
      </c>
      <c r="U95" s="17">
        <v>0.5</v>
      </c>
      <c r="V95" s="12" t="str">
        <f t="shared" si="6"/>
        <v>0 г. 0 мес. 1 дн.</v>
      </c>
      <c r="W95" s="22"/>
      <c r="X95" s="72"/>
    </row>
    <row r="96" spans="1:24" ht="35.1" customHeight="1" x14ac:dyDescent="0.25">
      <c r="A96" s="12">
        <f t="shared" si="4"/>
        <v>95</v>
      </c>
      <c r="B96" s="12">
        <v>253</v>
      </c>
      <c r="C96" s="20" t="s">
        <v>23</v>
      </c>
      <c r="D96" s="18">
        <v>45356</v>
      </c>
      <c r="E96" s="17">
        <v>0.66666666666666663</v>
      </c>
      <c r="F96" s="12" t="s">
        <v>385</v>
      </c>
      <c r="G96" s="18">
        <v>39727</v>
      </c>
      <c r="H96" s="12" t="str">
        <f t="shared" si="5"/>
        <v>15 г. 4 мес. 28 дн.</v>
      </c>
      <c r="I96" s="12" t="s">
        <v>119</v>
      </c>
      <c r="J96" s="12" t="s">
        <v>23</v>
      </c>
      <c r="K96" s="12" t="s">
        <v>147</v>
      </c>
      <c r="L96" s="12" t="s">
        <v>386</v>
      </c>
      <c r="M96" s="12" t="s">
        <v>51</v>
      </c>
      <c r="O96" s="12" t="s">
        <v>87</v>
      </c>
      <c r="P96" s="12" t="s">
        <v>94</v>
      </c>
      <c r="S96" s="12" t="s">
        <v>23</v>
      </c>
      <c r="T96" s="18">
        <v>45357</v>
      </c>
      <c r="U96" s="17">
        <v>0.5</v>
      </c>
      <c r="V96" s="12" t="str">
        <f t="shared" si="6"/>
        <v>0 г. 0 мес. 1 дн.</v>
      </c>
      <c r="W96" s="22"/>
      <c r="X96" s="72"/>
    </row>
    <row r="97" spans="1:24" ht="35.1" customHeight="1" x14ac:dyDescent="0.25">
      <c r="A97" s="12">
        <f t="shared" si="4"/>
        <v>96</v>
      </c>
      <c r="B97" s="12">
        <v>139</v>
      </c>
      <c r="C97" s="20" t="s">
        <v>28</v>
      </c>
      <c r="D97" s="18">
        <v>45357</v>
      </c>
      <c r="E97" s="17">
        <v>0.78472222222222221</v>
      </c>
      <c r="F97" s="12" t="s">
        <v>387</v>
      </c>
      <c r="G97" s="18">
        <v>45314</v>
      </c>
      <c r="H97" s="12" t="str">
        <f t="shared" si="5"/>
        <v>0 г. 1 мес. 12 дн.</v>
      </c>
      <c r="I97" s="12" t="s">
        <v>123</v>
      </c>
      <c r="J97" s="12" t="s">
        <v>28</v>
      </c>
      <c r="K97" s="12" t="s">
        <v>388</v>
      </c>
      <c r="L97" s="12" t="s">
        <v>389</v>
      </c>
      <c r="M97" s="12" t="s">
        <v>46</v>
      </c>
      <c r="O97" s="12" t="s">
        <v>87</v>
      </c>
      <c r="Q97" s="12" t="s">
        <v>101</v>
      </c>
      <c r="S97" s="12" t="s">
        <v>26</v>
      </c>
      <c r="T97" s="18">
        <v>45390</v>
      </c>
      <c r="U97" s="17">
        <v>0.99930555555555556</v>
      </c>
      <c r="V97" s="12" t="str">
        <f t="shared" si="6"/>
        <v>0 г. 1 мес. 2 дн.</v>
      </c>
      <c r="W97" s="22"/>
      <c r="X97" s="72"/>
    </row>
    <row r="98" spans="1:24" ht="35.1" customHeight="1" x14ac:dyDescent="0.25">
      <c r="A98" s="12">
        <f t="shared" si="4"/>
        <v>97</v>
      </c>
      <c r="B98" s="12">
        <v>119</v>
      </c>
      <c r="C98" s="20" t="s">
        <v>28</v>
      </c>
      <c r="D98" s="18">
        <v>45357</v>
      </c>
      <c r="E98" s="17">
        <v>0.66666666666666663</v>
      </c>
      <c r="F98" s="12" t="s">
        <v>340</v>
      </c>
      <c r="G98" s="18">
        <v>39487</v>
      </c>
      <c r="H98" s="12" t="str">
        <f t="shared" ref="H98:H129" si="7">DATEDIF(G98,D98,"y") &amp; " г. " &amp; DATEDIF(G98,D98,"ym") &amp; " мес. " &amp; DATEDIF(G98,D98,"md") &amp; " дн."</f>
        <v>16 г. 0 мес. 26 дн.</v>
      </c>
      <c r="I98" s="12" t="s">
        <v>123</v>
      </c>
      <c r="J98" s="12" t="s">
        <v>28</v>
      </c>
      <c r="K98" s="12" t="s">
        <v>390</v>
      </c>
      <c r="L98" s="12" t="s">
        <v>342</v>
      </c>
      <c r="M98" s="12" t="s">
        <v>40</v>
      </c>
      <c r="O98" s="12" t="s">
        <v>73</v>
      </c>
      <c r="Q98" s="12" t="s">
        <v>101</v>
      </c>
      <c r="S98" s="12" t="s">
        <v>28</v>
      </c>
      <c r="T98" s="18">
        <v>45358</v>
      </c>
      <c r="U98" s="17">
        <v>0.5</v>
      </c>
      <c r="V98" s="12" t="str">
        <f t="shared" si="6"/>
        <v>0 г. 0 мес. 1 дн.</v>
      </c>
      <c r="W98" s="22"/>
      <c r="X98" s="72"/>
    </row>
    <row r="99" spans="1:24" ht="35.1" customHeight="1" x14ac:dyDescent="0.25">
      <c r="A99" s="12">
        <f t="shared" si="4"/>
        <v>98</v>
      </c>
      <c r="B99" s="12">
        <v>310</v>
      </c>
      <c r="C99" s="20" t="s">
        <v>23</v>
      </c>
      <c r="D99" s="18">
        <v>45357</v>
      </c>
      <c r="E99" s="17">
        <v>0.95833333333333337</v>
      </c>
      <c r="F99" s="12" t="s">
        <v>392</v>
      </c>
      <c r="G99" s="18">
        <v>41496</v>
      </c>
      <c r="H99" s="12" t="str">
        <f t="shared" si="7"/>
        <v>10 г. 6 мес. 25 дн.</v>
      </c>
      <c r="I99" s="12" t="s">
        <v>118</v>
      </c>
      <c r="K99" s="12" t="s">
        <v>147</v>
      </c>
      <c r="L99" s="12" t="s">
        <v>391</v>
      </c>
      <c r="M99" s="12" t="s">
        <v>51</v>
      </c>
      <c r="O99" s="12" t="s">
        <v>87</v>
      </c>
      <c r="S99" s="12" t="s">
        <v>23</v>
      </c>
      <c r="T99" s="18">
        <v>45358</v>
      </c>
      <c r="U99" s="17">
        <v>0.5</v>
      </c>
      <c r="V99" s="12" t="str">
        <f t="shared" si="6"/>
        <v>0 г. 0 мес. 1 дн.</v>
      </c>
      <c r="W99" s="22"/>
      <c r="X99" s="72"/>
    </row>
    <row r="100" spans="1:24" ht="35.1" customHeight="1" x14ac:dyDescent="0.25">
      <c r="A100" s="12">
        <f t="shared" si="4"/>
        <v>99</v>
      </c>
      <c r="B100" s="12">
        <v>323</v>
      </c>
      <c r="C100" s="20" t="s">
        <v>27</v>
      </c>
      <c r="D100" s="18">
        <v>45358</v>
      </c>
      <c r="E100" s="17">
        <v>0.57638888888888895</v>
      </c>
      <c r="F100" s="12" t="s">
        <v>393</v>
      </c>
      <c r="G100" s="18">
        <v>45259</v>
      </c>
      <c r="H100" s="12" t="str">
        <f t="shared" si="7"/>
        <v>0 г. 3 мес. 7 дн.</v>
      </c>
      <c r="I100" s="12" t="s">
        <v>120</v>
      </c>
      <c r="J100" s="12" t="s">
        <v>27</v>
      </c>
      <c r="K100" s="12" t="s">
        <v>394</v>
      </c>
      <c r="L100" s="12" t="s">
        <v>395</v>
      </c>
      <c r="M100" s="12" t="s">
        <v>42</v>
      </c>
      <c r="O100" s="12" t="s">
        <v>87</v>
      </c>
      <c r="Q100" s="12" t="s">
        <v>101</v>
      </c>
      <c r="S100" s="12" t="s">
        <v>27</v>
      </c>
      <c r="T100" s="18">
        <v>45358</v>
      </c>
      <c r="U100" s="17">
        <v>0.77083333333333337</v>
      </c>
      <c r="V100" s="12" t="str">
        <f t="shared" si="6"/>
        <v>0 г. 0 мес. 0 дн.</v>
      </c>
      <c r="W100" s="22"/>
      <c r="X100" s="72"/>
    </row>
    <row r="101" spans="1:24" ht="35.1" customHeight="1" x14ac:dyDescent="0.25">
      <c r="A101" s="12">
        <f t="shared" si="4"/>
        <v>100</v>
      </c>
      <c r="B101" s="12">
        <v>225</v>
      </c>
      <c r="C101" s="20" t="s">
        <v>26</v>
      </c>
      <c r="D101" s="18">
        <v>45359</v>
      </c>
      <c r="E101" s="17">
        <v>0.79166666666666663</v>
      </c>
      <c r="F101" s="12" t="s">
        <v>396</v>
      </c>
      <c r="G101" s="18">
        <v>39534</v>
      </c>
      <c r="H101" s="12" t="str">
        <f t="shared" si="7"/>
        <v>15 г. 11 мес. 10 дн.</v>
      </c>
      <c r="I101" s="12" t="s">
        <v>118</v>
      </c>
      <c r="K101" s="12" t="s">
        <v>147</v>
      </c>
      <c r="L101" s="12" t="s">
        <v>148</v>
      </c>
      <c r="M101" s="12" t="s">
        <v>55</v>
      </c>
      <c r="O101" s="12" t="s">
        <v>87</v>
      </c>
      <c r="S101" s="12" t="s">
        <v>26</v>
      </c>
      <c r="T101" s="18">
        <v>45360</v>
      </c>
      <c r="U101" s="17">
        <v>0.45833333333333331</v>
      </c>
      <c r="V101" s="12" t="str">
        <f t="shared" si="6"/>
        <v>0 г. 0 мес. 1 дн.</v>
      </c>
      <c r="W101" s="22"/>
      <c r="X101" s="72"/>
    </row>
    <row r="102" spans="1:24" ht="35.1" customHeight="1" x14ac:dyDescent="0.25">
      <c r="A102" s="12">
        <f t="shared" si="4"/>
        <v>101</v>
      </c>
      <c r="B102" s="12">
        <v>229</v>
      </c>
      <c r="C102" s="20" t="s">
        <v>26</v>
      </c>
      <c r="D102" s="18">
        <v>45360</v>
      </c>
      <c r="E102" s="17">
        <v>0.54513888888888895</v>
      </c>
      <c r="F102" s="12" t="s">
        <v>397</v>
      </c>
      <c r="G102" s="18">
        <v>43600</v>
      </c>
      <c r="H102" s="12" t="str">
        <f t="shared" si="7"/>
        <v>4 г. 9 мес. 23 дн.</v>
      </c>
      <c r="I102" s="12" t="s">
        <v>118</v>
      </c>
      <c r="K102" s="12" t="s">
        <v>398</v>
      </c>
      <c r="L102" s="12" t="s">
        <v>342</v>
      </c>
      <c r="M102" s="12" t="s">
        <v>46</v>
      </c>
      <c r="O102" s="12" t="s">
        <v>87</v>
      </c>
      <c r="S102" s="12" t="s">
        <v>28</v>
      </c>
      <c r="T102" s="18">
        <v>45362</v>
      </c>
      <c r="U102" s="17">
        <v>0.47916666666666669</v>
      </c>
      <c r="V102" s="12" t="str">
        <f t="shared" si="6"/>
        <v>0 г. 0 мес. 2 дн.</v>
      </c>
      <c r="W102" s="22"/>
      <c r="X102" s="72"/>
    </row>
    <row r="103" spans="1:24" ht="35.1" customHeight="1" x14ac:dyDescent="0.25">
      <c r="A103" s="12">
        <f t="shared" si="4"/>
        <v>102</v>
      </c>
      <c r="B103" s="12">
        <v>230</v>
      </c>
      <c r="C103" s="20" t="s">
        <v>26</v>
      </c>
      <c r="D103" s="18">
        <v>45360</v>
      </c>
      <c r="E103" s="17">
        <v>0.76388888888888884</v>
      </c>
      <c r="F103" s="12" t="s">
        <v>399</v>
      </c>
      <c r="G103" s="18">
        <v>38965</v>
      </c>
      <c r="H103" s="12" t="str">
        <f t="shared" si="7"/>
        <v>17 г. 6 мес. 4 дн.</v>
      </c>
      <c r="I103" s="12" t="s">
        <v>118</v>
      </c>
      <c r="K103" s="12" t="s">
        <v>400</v>
      </c>
      <c r="L103" s="12" t="s">
        <v>401</v>
      </c>
      <c r="M103" s="12" t="s">
        <v>55</v>
      </c>
      <c r="O103" s="12" t="s">
        <v>87</v>
      </c>
      <c r="S103" s="12" t="s">
        <v>26</v>
      </c>
      <c r="T103" s="18">
        <v>45361</v>
      </c>
      <c r="U103" s="17">
        <v>0.47916666666666669</v>
      </c>
      <c r="V103" s="12" t="str">
        <f t="shared" si="6"/>
        <v>0 г. 0 мес. 1 дн.</v>
      </c>
      <c r="W103" s="22"/>
      <c r="X103" s="72"/>
    </row>
    <row r="104" spans="1:24" ht="35.1" customHeight="1" x14ac:dyDescent="0.25">
      <c r="A104" s="12">
        <f t="shared" si="4"/>
        <v>103</v>
      </c>
      <c r="B104" s="12">
        <v>313</v>
      </c>
      <c r="C104" s="20" t="s">
        <v>23</v>
      </c>
      <c r="D104" s="18">
        <v>45360</v>
      </c>
      <c r="E104" s="17">
        <v>0.90625</v>
      </c>
      <c r="F104" s="12" t="s">
        <v>402</v>
      </c>
      <c r="G104" s="18">
        <v>41177</v>
      </c>
      <c r="H104" s="12" t="str">
        <f t="shared" si="7"/>
        <v>11 г. 5 мес. 13 дн.</v>
      </c>
      <c r="I104" s="12" t="s">
        <v>119</v>
      </c>
      <c r="J104" s="12" t="s">
        <v>23</v>
      </c>
      <c r="K104" s="12" t="s">
        <v>403</v>
      </c>
      <c r="L104" s="12" t="s">
        <v>404</v>
      </c>
      <c r="M104" s="12" t="s">
        <v>52</v>
      </c>
      <c r="O104" s="12" t="s">
        <v>87</v>
      </c>
      <c r="S104" s="12" t="s">
        <v>23</v>
      </c>
      <c r="T104" s="18">
        <v>45362</v>
      </c>
      <c r="U104" s="17">
        <v>0.5</v>
      </c>
      <c r="V104" s="12" t="str">
        <f t="shared" si="6"/>
        <v>0 г. 0 мес. 2 дн.</v>
      </c>
      <c r="W104" s="22"/>
      <c r="X104" s="72"/>
    </row>
    <row r="105" spans="1:24" ht="35.1" customHeight="1" x14ac:dyDescent="0.25">
      <c r="A105" s="12">
        <f t="shared" si="4"/>
        <v>104</v>
      </c>
      <c r="B105" s="12">
        <v>231</v>
      </c>
      <c r="C105" s="20" t="s">
        <v>26</v>
      </c>
      <c r="D105" s="18">
        <v>45360</v>
      </c>
      <c r="E105" s="17">
        <v>0.98263888888888884</v>
      </c>
      <c r="F105" s="12" t="s">
        <v>405</v>
      </c>
      <c r="G105" s="18">
        <v>39144</v>
      </c>
      <c r="H105" s="12" t="str">
        <f t="shared" si="7"/>
        <v>17 г. 0 мес. 6 дн.</v>
      </c>
      <c r="I105" s="12" t="s">
        <v>118</v>
      </c>
      <c r="K105" s="12" t="s">
        <v>406</v>
      </c>
      <c r="L105" s="12" t="s">
        <v>407</v>
      </c>
      <c r="M105" s="12" t="s">
        <v>55</v>
      </c>
      <c r="O105" s="12" t="s">
        <v>87</v>
      </c>
      <c r="S105" s="12" t="s">
        <v>26</v>
      </c>
      <c r="T105" s="18">
        <v>45361</v>
      </c>
      <c r="U105" s="17">
        <v>0.47916666666666669</v>
      </c>
      <c r="V105" s="12" t="str">
        <f t="shared" si="6"/>
        <v>0 г. 0 мес. 1 дн.</v>
      </c>
      <c r="W105" s="22"/>
      <c r="X105" s="72"/>
    </row>
    <row r="106" spans="1:24" ht="35.1" customHeight="1" x14ac:dyDescent="0.25">
      <c r="A106" s="12">
        <f t="shared" si="4"/>
        <v>105</v>
      </c>
      <c r="B106" s="12">
        <v>164</v>
      </c>
      <c r="C106" s="20" t="s">
        <v>77</v>
      </c>
      <c r="D106" s="18">
        <v>45355</v>
      </c>
      <c r="E106" s="17">
        <v>0.45833333333333331</v>
      </c>
      <c r="F106" s="12" t="s">
        <v>217</v>
      </c>
      <c r="G106" s="18">
        <v>45116</v>
      </c>
      <c r="H106" s="12" t="str">
        <f t="shared" si="7"/>
        <v>0 г. 7 мес. 24 дн.</v>
      </c>
      <c r="I106" s="12" t="s">
        <v>123</v>
      </c>
      <c r="J106" s="12" t="s">
        <v>77</v>
      </c>
      <c r="K106" s="12" t="s">
        <v>218</v>
      </c>
      <c r="L106" s="12" t="s">
        <v>408</v>
      </c>
      <c r="M106" s="12" t="s">
        <v>46</v>
      </c>
      <c r="N106" s="12">
        <v>169</v>
      </c>
      <c r="O106" s="12" t="s">
        <v>73</v>
      </c>
      <c r="Q106" s="12" t="s">
        <v>101</v>
      </c>
      <c r="S106" s="12" t="s">
        <v>77</v>
      </c>
      <c r="T106" s="18">
        <v>45362</v>
      </c>
      <c r="U106" s="17">
        <v>0.5</v>
      </c>
      <c r="V106" s="12" t="str">
        <f t="shared" si="6"/>
        <v>0 г. 0 мес. 7 дн.</v>
      </c>
      <c r="W106" s="22"/>
      <c r="X106" s="72"/>
    </row>
    <row r="107" spans="1:24" ht="35.1" customHeight="1" x14ac:dyDescent="0.25">
      <c r="A107" s="12">
        <f t="shared" si="4"/>
        <v>106</v>
      </c>
      <c r="B107" s="12">
        <v>234</v>
      </c>
      <c r="C107" s="20" t="s">
        <v>26</v>
      </c>
      <c r="D107" s="18">
        <v>45361</v>
      </c>
      <c r="E107" s="17">
        <v>0.74305555555555547</v>
      </c>
      <c r="F107" s="12" t="s">
        <v>409</v>
      </c>
      <c r="G107" s="18">
        <v>40289</v>
      </c>
      <c r="H107" s="12" t="str">
        <f t="shared" si="7"/>
        <v>13 г. 10 мес. 18 дн.</v>
      </c>
      <c r="I107" s="12" t="s">
        <v>119</v>
      </c>
      <c r="J107" s="12" t="s">
        <v>26</v>
      </c>
      <c r="K107" s="12" t="s">
        <v>410</v>
      </c>
      <c r="L107" s="12" t="s">
        <v>411</v>
      </c>
      <c r="M107" s="12" t="s">
        <v>55</v>
      </c>
      <c r="O107" s="12" t="s">
        <v>87</v>
      </c>
      <c r="S107" s="12" t="s">
        <v>28</v>
      </c>
      <c r="T107" s="18">
        <v>45362</v>
      </c>
      <c r="U107" s="17">
        <v>0.47916666666666669</v>
      </c>
      <c r="V107" s="12" t="str">
        <f t="shared" si="6"/>
        <v>0 г. 0 мес. 1 дн.</v>
      </c>
      <c r="W107" s="22"/>
      <c r="X107" s="72"/>
    </row>
    <row r="108" spans="1:24" ht="35.1" customHeight="1" x14ac:dyDescent="0.25">
      <c r="A108" s="12">
        <f t="shared" si="4"/>
        <v>107</v>
      </c>
      <c r="B108" s="12">
        <v>570</v>
      </c>
      <c r="C108" s="20" t="s">
        <v>77</v>
      </c>
      <c r="D108" s="18">
        <v>45361</v>
      </c>
      <c r="E108" s="17">
        <v>0.83680555555555547</v>
      </c>
      <c r="F108" s="12" t="s">
        <v>413</v>
      </c>
      <c r="G108" s="18">
        <v>44204</v>
      </c>
      <c r="H108" s="12" t="str">
        <f t="shared" si="7"/>
        <v>3 г. 2 мес. 2 дн.</v>
      </c>
      <c r="I108" s="12" t="s">
        <v>119</v>
      </c>
      <c r="J108" s="12" t="s">
        <v>77</v>
      </c>
      <c r="K108" s="12" t="s">
        <v>1164</v>
      </c>
      <c r="L108" s="12" t="s">
        <v>412</v>
      </c>
      <c r="M108" s="12" t="s">
        <v>54</v>
      </c>
      <c r="O108" s="12" t="s">
        <v>73</v>
      </c>
      <c r="S108" s="12" t="s">
        <v>77</v>
      </c>
      <c r="T108" s="18">
        <v>45364</v>
      </c>
      <c r="U108" s="17">
        <v>0.5</v>
      </c>
      <c r="V108" s="12" t="str">
        <f t="shared" si="6"/>
        <v>0 г. 0 мес. 3 дн.</v>
      </c>
      <c r="W108" s="22"/>
      <c r="X108" s="72"/>
    </row>
    <row r="109" spans="1:24" ht="35.1" customHeight="1" x14ac:dyDescent="0.25">
      <c r="A109" s="12">
        <f t="shared" si="4"/>
        <v>108</v>
      </c>
      <c r="B109" s="12">
        <v>235</v>
      </c>
      <c r="C109" s="20" t="s">
        <v>26</v>
      </c>
      <c r="D109" s="18">
        <v>45361</v>
      </c>
      <c r="E109" s="17">
        <v>0.90277777777777779</v>
      </c>
      <c r="F109" s="12" t="s">
        <v>198</v>
      </c>
      <c r="G109" s="18">
        <v>45260</v>
      </c>
      <c r="H109" s="12" t="str">
        <f t="shared" si="7"/>
        <v>0 г. 3 мес. 9 дн.</v>
      </c>
      <c r="I109" s="12" t="s">
        <v>118</v>
      </c>
      <c r="K109" s="12" t="s">
        <v>414</v>
      </c>
      <c r="L109" s="12" t="s">
        <v>415</v>
      </c>
      <c r="M109" s="12" t="s">
        <v>48</v>
      </c>
      <c r="O109" s="12" t="s">
        <v>87</v>
      </c>
      <c r="S109" s="12" t="s">
        <v>27</v>
      </c>
      <c r="T109" s="18">
        <v>45362</v>
      </c>
      <c r="U109" s="17">
        <v>0.625</v>
      </c>
      <c r="V109" s="12" t="str">
        <f t="shared" si="6"/>
        <v>0 г. 0 мес. 1 дн.</v>
      </c>
      <c r="W109" s="22"/>
      <c r="X109" s="72"/>
    </row>
    <row r="110" spans="1:24" ht="35.1" customHeight="1" x14ac:dyDescent="0.25">
      <c r="A110" s="12">
        <f t="shared" si="4"/>
        <v>109</v>
      </c>
      <c r="B110" s="12">
        <v>576</v>
      </c>
      <c r="C110" s="20" t="s">
        <v>77</v>
      </c>
      <c r="D110" s="18">
        <v>45363</v>
      </c>
      <c r="E110" s="17">
        <v>0.59027777777777779</v>
      </c>
      <c r="F110" s="12" t="s">
        <v>416</v>
      </c>
      <c r="G110" s="18">
        <v>40345</v>
      </c>
      <c r="H110" s="12" t="str">
        <f t="shared" si="7"/>
        <v>13 г. 8 мес. 25 дн.</v>
      </c>
      <c r="I110" s="12" t="s">
        <v>119</v>
      </c>
      <c r="J110" s="12" t="s">
        <v>77</v>
      </c>
      <c r="K110" s="12" t="s">
        <v>264</v>
      </c>
      <c r="L110" s="12" t="s">
        <v>251</v>
      </c>
      <c r="M110" s="12" t="s">
        <v>49</v>
      </c>
      <c r="O110" s="12" t="s">
        <v>87</v>
      </c>
      <c r="S110" s="12" t="s">
        <v>77</v>
      </c>
      <c r="T110" s="18">
        <v>45363</v>
      </c>
      <c r="U110" s="17">
        <v>0.83333333333333337</v>
      </c>
      <c r="V110" s="12" t="str">
        <f t="shared" si="6"/>
        <v>0 г. 0 мес. 0 дн.</v>
      </c>
      <c r="W110" s="22"/>
      <c r="X110" s="72"/>
    </row>
    <row r="111" spans="1:24" ht="35.1" customHeight="1" x14ac:dyDescent="0.25">
      <c r="A111" s="12">
        <f t="shared" si="4"/>
        <v>110</v>
      </c>
      <c r="B111" s="12">
        <v>293</v>
      </c>
      <c r="C111" s="20" t="s">
        <v>77</v>
      </c>
      <c r="D111" s="18">
        <v>45363</v>
      </c>
      <c r="E111" s="17">
        <v>0.51736111111111105</v>
      </c>
      <c r="F111" s="12" t="s">
        <v>417</v>
      </c>
      <c r="G111" s="18">
        <v>38845</v>
      </c>
      <c r="H111" s="12" t="str">
        <f t="shared" si="7"/>
        <v>17 г. 10 мес. 4 дн.</v>
      </c>
      <c r="I111" s="12" t="s">
        <v>119</v>
      </c>
      <c r="J111" s="12" t="s">
        <v>23</v>
      </c>
      <c r="K111" s="12" t="s">
        <v>264</v>
      </c>
      <c r="L111" s="12" t="s">
        <v>418</v>
      </c>
      <c r="M111" s="12" t="s">
        <v>51</v>
      </c>
      <c r="O111" s="12" t="s">
        <v>87</v>
      </c>
      <c r="P111" s="12" t="s">
        <v>94</v>
      </c>
      <c r="S111" s="12" t="s">
        <v>23</v>
      </c>
      <c r="T111" s="18">
        <v>45364</v>
      </c>
      <c r="U111" s="17">
        <v>0.45833333333333331</v>
      </c>
      <c r="V111" s="12" t="str">
        <f t="shared" si="6"/>
        <v>0 г. 0 мес. 1 дн.</v>
      </c>
      <c r="W111" s="22"/>
      <c r="X111" s="72"/>
    </row>
    <row r="112" spans="1:24" ht="35.1" customHeight="1" x14ac:dyDescent="0.25">
      <c r="A112" s="12">
        <f t="shared" si="4"/>
        <v>111</v>
      </c>
      <c r="B112" s="12">
        <v>591</v>
      </c>
      <c r="C112" s="20" t="s">
        <v>77</v>
      </c>
      <c r="D112" s="18">
        <v>45364</v>
      </c>
      <c r="E112" s="17">
        <v>0.56944444444444442</v>
      </c>
      <c r="F112" s="12" t="s">
        <v>419</v>
      </c>
      <c r="G112" s="18">
        <v>41868</v>
      </c>
      <c r="H112" s="12" t="str">
        <f t="shared" si="7"/>
        <v>9 г. 6 мес. 25 дн.</v>
      </c>
      <c r="I112" s="12" t="s">
        <v>119</v>
      </c>
      <c r="J112" s="12" t="s">
        <v>77</v>
      </c>
      <c r="K112" s="12" t="s">
        <v>420</v>
      </c>
      <c r="L112" s="12" t="s">
        <v>421</v>
      </c>
      <c r="M112" s="12" t="s">
        <v>49</v>
      </c>
      <c r="O112" s="12" t="s">
        <v>87</v>
      </c>
      <c r="S112" s="20" t="s">
        <v>77</v>
      </c>
      <c r="T112" s="18">
        <v>45369</v>
      </c>
      <c r="U112" s="17">
        <v>0.58333333333333337</v>
      </c>
      <c r="V112" s="12" t="str">
        <f t="shared" si="6"/>
        <v>0 г. 0 мес. 5 дн.</v>
      </c>
      <c r="W112" s="22"/>
      <c r="X112" s="72"/>
    </row>
    <row r="113" spans="1:24" ht="35.1" customHeight="1" x14ac:dyDescent="0.25">
      <c r="A113" s="12">
        <f t="shared" si="4"/>
        <v>112</v>
      </c>
      <c r="B113" s="12">
        <v>601</v>
      </c>
      <c r="C113" s="20" t="s">
        <v>77</v>
      </c>
      <c r="D113" s="18">
        <v>45364</v>
      </c>
      <c r="E113" s="17">
        <v>0.57638888888888895</v>
      </c>
      <c r="F113" s="12" t="s">
        <v>422</v>
      </c>
      <c r="G113" s="18">
        <v>43125</v>
      </c>
      <c r="H113" s="12" t="str">
        <f t="shared" si="7"/>
        <v>6 г. 1 мес. 17 дн.</v>
      </c>
      <c r="I113" s="12" t="s">
        <v>118</v>
      </c>
      <c r="K113" s="12" t="s">
        <v>423</v>
      </c>
      <c r="L113" s="12" t="s">
        <v>424</v>
      </c>
      <c r="M113" s="12" t="s">
        <v>52</v>
      </c>
      <c r="O113" s="12" t="s">
        <v>87</v>
      </c>
      <c r="S113" s="12" t="s">
        <v>29</v>
      </c>
      <c r="T113" s="18">
        <v>45364</v>
      </c>
      <c r="U113" s="17">
        <v>0.75</v>
      </c>
      <c r="V113" s="12" t="str">
        <f t="shared" si="6"/>
        <v>0 г. 0 мес. 0 дн.</v>
      </c>
      <c r="W113" s="22"/>
      <c r="X113" s="72"/>
    </row>
    <row r="114" spans="1:24" ht="35.1" customHeight="1" x14ac:dyDescent="0.25">
      <c r="A114" s="12">
        <f t="shared" si="4"/>
        <v>113</v>
      </c>
      <c r="B114" s="12">
        <v>346</v>
      </c>
      <c r="C114" s="20" t="s">
        <v>27</v>
      </c>
      <c r="D114" s="18">
        <v>45364</v>
      </c>
      <c r="E114" s="17">
        <v>0.82638888888888884</v>
      </c>
      <c r="F114" s="12" t="s">
        <v>425</v>
      </c>
      <c r="G114" s="18">
        <v>45275</v>
      </c>
      <c r="H114" s="12" t="str">
        <f t="shared" si="7"/>
        <v>0 г. 2 мес. 27 дн.</v>
      </c>
      <c r="I114" s="12" t="s">
        <v>118</v>
      </c>
      <c r="K114" s="12" t="s">
        <v>426</v>
      </c>
      <c r="L114" s="12" t="s">
        <v>427</v>
      </c>
      <c r="M114" s="12" t="s">
        <v>48</v>
      </c>
      <c r="O114" s="12" t="s">
        <v>87</v>
      </c>
      <c r="S114" s="12" t="s">
        <v>27</v>
      </c>
      <c r="T114" s="18">
        <v>45368</v>
      </c>
      <c r="U114" s="17">
        <v>0.58333333333333337</v>
      </c>
      <c r="V114" s="12" t="str">
        <f t="shared" si="6"/>
        <v>0 г. 0 мес. 4 дн.</v>
      </c>
      <c r="W114" s="22"/>
      <c r="X114" s="72"/>
    </row>
    <row r="115" spans="1:24" ht="35.1" customHeight="1" x14ac:dyDescent="0.25">
      <c r="A115" s="12">
        <f t="shared" si="4"/>
        <v>114</v>
      </c>
      <c r="B115" s="12">
        <v>245</v>
      </c>
      <c r="C115" s="20" t="s">
        <v>80</v>
      </c>
      <c r="D115" s="18">
        <v>45365</v>
      </c>
      <c r="E115" s="17">
        <v>0.36805555555555558</v>
      </c>
      <c r="F115" s="12" t="s">
        <v>429</v>
      </c>
      <c r="G115" s="18">
        <v>40339</v>
      </c>
      <c r="H115" s="12" t="str">
        <f t="shared" si="7"/>
        <v>13 г. 9 мес. 4 дн.</v>
      </c>
      <c r="I115" s="12" t="s">
        <v>120</v>
      </c>
      <c r="J115" s="12" t="s">
        <v>80</v>
      </c>
      <c r="K115" s="12" t="s">
        <v>428</v>
      </c>
      <c r="L115" s="12" t="s">
        <v>430</v>
      </c>
      <c r="M115" s="12" t="s">
        <v>48</v>
      </c>
      <c r="O115" s="12" t="s">
        <v>87</v>
      </c>
      <c r="S115" s="12" t="s">
        <v>80</v>
      </c>
      <c r="T115" s="18">
        <v>45391</v>
      </c>
      <c r="U115" s="17">
        <v>0.58333333333333337</v>
      </c>
      <c r="V115" s="12" t="str">
        <f t="shared" si="6"/>
        <v>0 г. 0 мес. 26 дн.</v>
      </c>
      <c r="W115" s="22"/>
      <c r="X115" s="72"/>
    </row>
    <row r="116" spans="1:24" ht="35.1" customHeight="1" x14ac:dyDescent="0.25">
      <c r="A116" s="12">
        <f t="shared" si="4"/>
        <v>115</v>
      </c>
      <c r="B116" s="12">
        <v>354</v>
      </c>
      <c r="C116" s="20" t="s">
        <v>27</v>
      </c>
      <c r="D116" s="18">
        <v>45365</v>
      </c>
      <c r="E116" s="17">
        <v>0.45833333333333331</v>
      </c>
      <c r="F116" s="12" t="s">
        <v>431</v>
      </c>
      <c r="G116" s="18">
        <v>45290</v>
      </c>
      <c r="H116" s="12" t="str">
        <f t="shared" si="7"/>
        <v>0 г. 2 мес. 13 дн.</v>
      </c>
      <c r="I116" s="12" t="s">
        <v>121</v>
      </c>
      <c r="K116" s="12" t="s">
        <v>432</v>
      </c>
      <c r="L116" s="12" t="s">
        <v>433</v>
      </c>
      <c r="M116" s="12" t="s">
        <v>48</v>
      </c>
      <c r="O116" s="12" t="s">
        <v>87</v>
      </c>
      <c r="S116" s="12" t="s">
        <v>27</v>
      </c>
      <c r="T116" s="18">
        <v>45366</v>
      </c>
      <c r="U116" s="17">
        <v>0.58333333333333337</v>
      </c>
      <c r="V116" s="12" t="str">
        <f t="shared" si="6"/>
        <v>0 г. 0 мес. 1 дн.</v>
      </c>
      <c r="W116" s="22"/>
      <c r="X116" s="72"/>
    </row>
    <row r="117" spans="1:24" ht="35.1" customHeight="1" x14ac:dyDescent="0.25">
      <c r="A117" s="12">
        <f t="shared" si="4"/>
        <v>116</v>
      </c>
      <c r="B117" s="12">
        <v>358</v>
      </c>
      <c r="C117" s="20" t="s">
        <v>27</v>
      </c>
      <c r="D117" s="18">
        <v>45367</v>
      </c>
      <c r="E117" s="17">
        <v>0.52083333333333337</v>
      </c>
      <c r="F117" s="12" t="s">
        <v>434</v>
      </c>
      <c r="G117" s="18">
        <v>44928</v>
      </c>
      <c r="H117" s="12" t="str">
        <f t="shared" si="7"/>
        <v>1 г. 2 мес. 14 дн.</v>
      </c>
      <c r="I117" s="12" t="s">
        <v>121</v>
      </c>
      <c r="K117" s="12" t="s">
        <v>436</v>
      </c>
      <c r="L117" s="12" t="s">
        <v>435</v>
      </c>
      <c r="M117" s="12" t="s">
        <v>48</v>
      </c>
      <c r="O117" s="12" t="s">
        <v>87</v>
      </c>
      <c r="S117" s="12" t="s">
        <v>27</v>
      </c>
      <c r="T117" s="18">
        <v>45369</v>
      </c>
      <c r="U117" s="17">
        <v>0.54166666666666663</v>
      </c>
      <c r="V117" s="12" t="str">
        <f t="shared" si="6"/>
        <v>0 г. 0 мес. 2 дн.</v>
      </c>
      <c r="W117" s="22"/>
      <c r="X117" s="72"/>
    </row>
    <row r="118" spans="1:24" ht="35.1" customHeight="1" x14ac:dyDescent="0.25">
      <c r="A118" s="12">
        <f t="shared" si="4"/>
        <v>117</v>
      </c>
      <c r="B118" s="12">
        <v>264</v>
      </c>
      <c r="C118" s="20" t="s">
        <v>26</v>
      </c>
      <c r="D118" s="18">
        <v>45370</v>
      </c>
      <c r="E118" s="17">
        <v>0.625</v>
      </c>
      <c r="F118" s="12" t="s">
        <v>459</v>
      </c>
      <c r="G118" s="18">
        <v>39339</v>
      </c>
      <c r="H118" s="12" t="str">
        <f t="shared" si="7"/>
        <v>16 г. 6 мес. 5 дн.</v>
      </c>
      <c r="I118" s="12" t="s">
        <v>118</v>
      </c>
      <c r="K118" s="12" t="s">
        <v>437</v>
      </c>
      <c r="L118" s="12" t="s">
        <v>438</v>
      </c>
      <c r="M118" s="12" t="s">
        <v>43</v>
      </c>
      <c r="O118" s="12" t="s">
        <v>87</v>
      </c>
      <c r="S118" s="12" t="s">
        <v>26</v>
      </c>
      <c r="T118" s="18">
        <v>45371</v>
      </c>
      <c r="U118" s="17">
        <v>0.5</v>
      </c>
      <c r="V118" s="12" t="str">
        <f t="shared" si="6"/>
        <v>0 г. 0 мес. 1 дн.</v>
      </c>
      <c r="W118" s="22"/>
      <c r="X118" s="72"/>
    </row>
    <row r="119" spans="1:24" ht="35.1" customHeight="1" x14ac:dyDescent="0.25">
      <c r="A119" s="12">
        <f t="shared" si="4"/>
        <v>118</v>
      </c>
      <c r="B119" s="12">
        <v>367</v>
      </c>
      <c r="C119" s="20" t="s">
        <v>26</v>
      </c>
      <c r="D119" s="18">
        <v>45371</v>
      </c>
      <c r="E119" s="17">
        <v>0.55555555555555558</v>
      </c>
      <c r="F119" s="12" t="s">
        <v>439</v>
      </c>
      <c r="G119" s="18">
        <v>38865</v>
      </c>
      <c r="H119" s="12" t="str">
        <f t="shared" si="7"/>
        <v>17 г. 9 мес. 21 дн.</v>
      </c>
      <c r="I119" s="12" t="s">
        <v>118</v>
      </c>
      <c r="K119" s="12" t="s">
        <v>440</v>
      </c>
      <c r="L119" s="12" t="s">
        <v>404</v>
      </c>
      <c r="M119" s="12" t="s">
        <v>51</v>
      </c>
      <c r="O119" s="12" t="s">
        <v>87</v>
      </c>
      <c r="S119" s="12" t="s">
        <v>23</v>
      </c>
      <c r="T119" s="18">
        <v>45373</v>
      </c>
      <c r="U119" s="17">
        <v>0.44097222222222227</v>
      </c>
      <c r="V119" s="12" t="str">
        <f t="shared" si="6"/>
        <v>0 г. 0 мес. 2 дн.</v>
      </c>
      <c r="W119" s="22"/>
      <c r="X119" s="72"/>
    </row>
    <row r="120" spans="1:24" ht="35.1" customHeight="1" x14ac:dyDescent="0.25">
      <c r="A120" s="21">
        <f t="shared" si="4"/>
        <v>119</v>
      </c>
      <c r="B120" s="21">
        <v>365</v>
      </c>
      <c r="C120" s="20" t="s">
        <v>27</v>
      </c>
      <c r="D120" s="18">
        <v>45371</v>
      </c>
      <c r="E120" s="17">
        <v>0.61805555555555558</v>
      </c>
      <c r="F120" s="12" t="s">
        <v>441</v>
      </c>
      <c r="G120" s="18">
        <v>45298</v>
      </c>
      <c r="H120" s="12" t="str">
        <f t="shared" si="7"/>
        <v>0 г. 2 мес. 13 дн.</v>
      </c>
      <c r="I120" s="12" t="s">
        <v>120</v>
      </c>
      <c r="J120" s="12" t="s">
        <v>27</v>
      </c>
      <c r="K120" s="12" t="s">
        <v>147</v>
      </c>
      <c r="L120" s="12" t="s">
        <v>442</v>
      </c>
      <c r="M120" s="12" t="s">
        <v>42</v>
      </c>
      <c r="N120" s="21"/>
      <c r="O120" s="12" t="s">
        <v>87</v>
      </c>
      <c r="P120" s="21"/>
      <c r="Q120" s="21" t="s">
        <v>101</v>
      </c>
      <c r="R120" s="21"/>
      <c r="S120" s="12" t="s">
        <v>27</v>
      </c>
      <c r="T120" s="18">
        <v>45371</v>
      </c>
      <c r="U120" s="17">
        <v>0.92013888888888884</v>
      </c>
      <c r="V120" s="12" t="str">
        <f t="shared" si="6"/>
        <v>0 г. 0 мес. 0 дн.</v>
      </c>
      <c r="W120" s="22"/>
      <c r="X120" s="72"/>
    </row>
    <row r="121" spans="1:24" s="44" customFormat="1" ht="35.1" customHeight="1" x14ac:dyDescent="0.25">
      <c r="A121" s="44">
        <f t="shared" si="4"/>
        <v>120</v>
      </c>
      <c r="B121" s="44">
        <v>355</v>
      </c>
      <c r="C121" s="45" t="s">
        <v>27</v>
      </c>
      <c r="D121" s="46">
        <v>45371</v>
      </c>
      <c r="E121" s="47">
        <v>0.54166666666666663</v>
      </c>
      <c r="F121" s="44" t="s">
        <v>352</v>
      </c>
      <c r="G121" s="46">
        <v>45190</v>
      </c>
      <c r="H121" s="44" t="str">
        <f t="shared" si="7"/>
        <v>0 г. 5 мес. 28 дн.</v>
      </c>
      <c r="I121" s="44" t="s">
        <v>120</v>
      </c>
      <c r="J121" s="44" t="s">
        <v>27</v>
      </c>
      <c r="K121" s="44" t="s">
        <v>443</v>
      </c>
      <c r="L121" s="44" t="s">
        <v>427</v>
      </c>
      <c r="M121" s="44" t="s">
        <v>48</v>
      </c>
      <c r="O121" s="44" t="s">
        <v>73</v>
      </c>
      <c r="S121" s="44" t="s">
        <v>30</v>
      </c>
      <c r="T121" s="46">
        <v>45373</v>
      </c>
      <c r="U121" s="47">
        <v>0.49305555555555558</v>
      </c>
      <c r="V121" s="44" t="str">
        <f t="shared" si="6"/>
        <v>0 г. 0 мес. 2 дн.</v>
      </c>
      <c r="W121" s="48"/>
      <c r="X121" s="72"/>
    </row>
    <row r="122" spans="1:24" ht="35.1" customHeight="1" x14ac:dyDescent="0.25">
      <c r="A122" s="12">
        <f t="shared" si="4"/>
        <v>121</v>
      </c>
      <c r="B122" s="21">
        <v>372</v>
      </c>
      <c r="C122" s="20" t="s">
        <v>27</v>
      </c>
      <c r="D122" s="18">
        <v>45371</v>
      </c>
      <c r="E122" s="17">
        <v>0.91666666666666663</v>
      </c>
      <c r="F122" s="12" t="s">
        <v>444</v>
      </c>
      <c r="G122" s="18">
        <v>45251</v>
      </c>
      <c r="H122" s="12" t="str">
        <f t="shared" si="7"/>
        <v>0 г. 3 мес. 28 дн.</v>
      </c>
      <c r="I122" s="12" t="s">
        <v>120</v>
      </c>
      <c r="J122" s="12" t="s">
        <v>27</v>
      </c>
      <c r="K122" s="12" t="s">
        <v>445</v>
      </c>
      <c r="L122" s="12" t="s">
        <v>446</v>
      </c>
      <c r="M122" s="12" t="s">
        <v>56</v>
      </c>
      <c r="N122" s="21"/>
      <c r="O122" s="12" t="s">
        <v>87</v>
      </c>
      <c r="P122" s="21"/>
      <c r="Q122" s="21"/>
      <c r="R122" s="21"/>
      <c r="S122" s="12" t="s">
        <v>27</v>
      </c>
      <c r="T122" s="18">
        <v>45373</v>
      </c>
      <c r="U122" s="17">
        <v>0.62777777777777777</v>
      </c>
      <c r="V122" s="12" t="str">
        <f t="shared" si="6"/>
        <v>0 г. 0 мес. 2 дн.</v>
      </c>
      <c r="W122" s="22"/>
      <c r="X122" s="72"/>
    </row>
    <row r="123" spans="1:24" ht="35.1" customHeight="1" x14ac:dyDescent="0.25">
      <c r="A123" s="12">
        <f t="shared" si="4"/>
        <v>122</v>
      </c>
      <c r="B123" s="12">
        <v>267</v>
      </c>
      <c r="C123" s="20" t="s">
        <v>26</v>
      </c>
      <c r="D123" s="18">
        <v>45372</v>
      </c>
      <c r="E123" s="17">
        <v>0.22916666666666666</v>
      </c>
      <c r="F123" s="12" t="s">
        <v>447</v>
      </c>
      <c r="G123" s="18">
        <v>41578</v>
      </c>
      <c r="H123" s="12" t="str">
        <f t="shared" si="7"/>
        <v>10 г. 4 мес. 19 дн.</v>
      </c>
      <c r="I123" s="12" t="s">
        <v>118</v>
      </c>
      <c r="K123" s="12" t="s">
        <v>448</v>
      </c>
      <c r="L123" s="12" t="s">
        <v>449</v>
      </c>
      <c r="M123" s="12" t="s">
        <v>48</v>
      </c>
      <c r="O123" s="12" t="s">
        <v>87</v>
      </c>
      <c r="S123" s="12" t="s">
        <v>26</v>
      </c>
      <c r="T123" s="18">
        <v>45373</v>
      </c>
      <c r="U123" s="17">
        <v>0.46180555555555558</v>
      </c>
      <c r="V123" s="12" t="str">
        <f t="shared" si="6"/>
        <v>0 г. 0 мес. 1 дн.</v>
      </c>
      <c r="W123" s="24"/>
      <c r="X123" s="72"/>
    </row>
    <row r="124" spans="1:24" s="13" customFormat="1" ht="35.1" customHeight="1" x14ac:dyDescent="0.25">
      <c r="A124" s="13">
        <f t="shared" si="4"/>
        <v>123</v>
      </c>
      <c r="B124" s="13">
        <v>678</v>
      </c>
      <c r="C124" s="14" t="s">
        <v>77</v>
      </c>
      <c r="D124" s="18">
        <v>45372</v>
      </c>
      <c r="E124" s="15">
        <v>0.99305555555555547</v>
      </c>
      <c r="F124" s="13" t="s">
        <v>450</v>
      </c>
      <c r="G124" s="16">
        <v>39581</v>
      </c>
      <c r="H124" s="12" t="str">
        <f t="shared" si="7"/>
        <v>15 г. 10 мес. 8 дн.</v>
      </c>
      <c r="I124" s="12" t="s">
        <v>118</v>
      </c>
      <c r="J124" s="12"/>
      <c r="K124" s="13" t="s">
        <v>451</v>
      </c>
      <c r="L124" s="13" t="s">
        <v>452</v>
      </c>
      <c r="M124" s="13" t="s">
        <v>50</v>
      </c>
      <c r="O124" s="12" t="s">
        <v>73</v>
      </c>
      <c r="Q124" s="13" t="s">
        <v>124</v>
      </c>
      <c r="S124" s="13" t="s">
        <v>77</v>
      </c>
      <c r="T124" s="16">
        <v>45375</v>
      </c>
      <c r="U124" s="15">
        <v>0.54166666666666663</v>
      </c>
      <c r="V124" s="12" t="str">
        <f t="shared" si="6"/>
        <v>0 г. 0 мес. 3 дн.</v>
      </c>
      <c r="W124" s="22"/>
      <c r="X124" s="74"/>
    </row>
    <row r="125" spans="1:24" ht="35.1" customHeight="1" x14ac:dyDescent="0.25">
      <c r="A125" s="12">
        <f t="shared" si="4"/>
        <v>124</v>
      </c>
      <c r="B125" s="12">
        <v>695</v>
      </c>
      <c r="C125" s="20" t="s">
        <v>77</v>
      </c>
      <c r="D125" s="18">
        <v>45375</v>
      </c>
      <c r="E125" s="17">
        <v>0.51736111111111105</v>
      </c>
      <c r="F125" s="12" t="s">
        <v>454</v>
      </c>
      <c r="G125" s="18">
        <v>44394</v>
      </c>
      <c r="H125" s="12" t="str">
        <f t="shared" si="7"/>
        <v>2 г. 8 мес. 7 дн.</v>
      </c>
      <c r="I125" s="12" t="s">
        <v>118</v>
      </c>
      <c r="K125" s="12" t="s">
        <v>455</v>
      </c>
      <c r="L125" s="12" t="s">
        <v>453</v>
      </c>
      <c r="M125" s="12" t="s">
        <v>54</v>
      </c>
      <c r="O125" s="12" t="s">
        <v>87</v>
      </c>
      <c r="S125" s="12" t="s">
        <v>77</v>
      </c>
      <c r="T125" s="18">
        <v>45376</v>
      </c>
      <c r="U125" s="17">
        <v>0.5625</v>
      </c>
      <c r="V125" s="12" t="str">
        <f t="shared" si="6"/>
        <v>0 г. 0 мес. 1 дн.</v>
      </c>
      <c r="W125" s="22"/>
      <c r="X125" s="72"/>
    </row>
    <row r="126" spans="1:24" ht="35.1" customHeight="1" x14ac:dyDescent="0.25">
      <c r="A126" s="12">
        <f t="shared" si="4"/>
        <v>125</v>
      </c>
      <c r="B126" s="12">
        <v>272</v>
      </c>
      <c r="C126" s="20" t="s">
        <v>26</v>
      </c>
      <c r="D126" s="18">
        <v>45375</v>
      </c>
      <c r="E126" s="17">
        <v>0.63888888888888895</v>
      </c>
      <c r="F126" s="12" t="s">
        <v>456</v>
      </c>
      <c r="G126" s="18">
        <v>45225</v>
      </c>
      <c r="H126" s="12" t="str">
        <f t="shared" si="7"/>
        <v>0 г. 4 мес. 27 дн.</v>
      </c>
      <c r="I126" s="12" t="s">
        <v>120</v>
      </c>
      <c r="J126" s="12" t="s">
        <v>26</v>
      </c>
      <c r="K126" s="12" t="s">
        <v>457</v>
      </c>
      <c r="L126" s="12" t="s">
        <v>458</v>
      </c>
      <c r="M126" s="12" t="s">
        <v>48</v>
      </c>
      <c r="O126" s="12" t="s">
        <v>87</v>
      </c>
      <c r="S126" s="12" t="s">
        <v>26</v>
      </c>
      <c r="T126" s="18">
        <v>45377</v>
      </c>
      <c r="U126" s="17">
        <v>0.45833333333333331</v>
      </c>
      <c r="V126" s="12" t="str">
        <f t="shared" si="6"/>
        <v>0 г. 0 мес. 2 дн.</v>
      </c>
      <c r="W126" s="22"/>
      <c r="X126" s="72"/>
    </row>
    <row r="127" spans="1:24" ht="35.1" customHeight="1" x14ac:dyDescent="0.25">
      <c r="A127" s="12">
        <f t="shared" si="4"/>
        <v>126</v>
      </c>
      <c r="B127" s="12">
        <v>667</v>
      </c>
      <c r="C127" s="20" t="s">
        <v>77</v>
      </c>
      <c r="D127" s="18">
        <v>45371</v>
      </c>
      <c r="E127" s="17">
        <v>0.89583333333333337</v>
      </c>
      <c r="F127" s="12" t="s">
        <v>460</v>
      </c>
      <c r="G127" s="18">
        <v>45156</v>
      </c>
      <c r="H127" s="12" t="str">
        <f t="shared" si="7"/>
        <v>0 г. 7 мес. 2 дн.</v>
      </c>
      <c r="I127" s="12" t="s">
        <v>118</v>
      </c>
      <c r="K127" s="12" t="s">
        <v>461</v>
      </c>
      <c r="L127" s="12" t="s">
        <v>462</v>
      </c>
      <c r="M127" s="12" t="s">
        <v>52</v>
      </c>
      <c r="O127" s="12" t="s">
        <v>87</v>
      </c>
      <c r="Q127" s="12" t="s">
        <v>101</v>
      </c>
      <c r="S127" s="12" t="s">
        <v>77</v>
      </c>
      <c r="T127" s="18">
        <v>45373</v>
      </c>
      <c r="U127" s="17">
        <v>0.79861111111111116</v>
      </c>
      <c r="V127" s="12" t="str">
        <f t="shared" si="6"/>
        <v>0 г. 0 мес. 2 дн.</v>
      </c>
      <c r="W127" s="22"/>
      <c r="X127" s="72"/>
    </row>
    <row r="128" spans="1:24" ht="35.1" customHeight="1" x14ac:dyDescent="0.25">
      <c r="A128" s="12">
        <f t="shared" ref="A128:A191" si="8">ROW(A127)</f>
        <v>127</v>
      </c>
      <c r="B128" s="12">
        <v>164</v>
      </c>
      <c r="C128" s="20" t="s">
        <v>77</v>
      </c>
      <c r="D128" s="18">
        <v>45373</v>
      </c>
      <c r="E128" s="17">
        <v>0.63194444444444442</v>
      </c>
      <c r="F128" s="12" t="s">
        <v>217</v>
      </c>
      <c r="G128" s="18">
        <v>45116</v>
      </c>
      <c r="H128" s="12" t="str">
        <f t="shared" si="7"/>
        <v>0 г. 8 мес. 13 дн.</v>
      </c>
      <c r="I128" s="12" t="s">
        <v>123</v>
      </c>
      <c r="J128" s="12" t="s">
        <v>77</v>
      </c>
      <c r="K128" s="12" t="s">
        <v>464</v>
      </c>
      <c r="L128" s="12" t="s">
        <v>465</v>
      </c>
      <c r="M128" s="12" t="s">
        <v>46</v>
      </c>
      <c r="N128" s="12">
        <v>60</v>
      </c>
      <c r="O128" s="12" t="s">
        <v>87</v>
      </c>
      <c r="S128" s="12" t="s">
        <v>29</v>
      </c>
      <c r="T128" s="18">
        <v>45376</v>
      </c>
      <c r="U128" s="17">
        <v>0.10416666666666667</v>
      </c>
      <c r="V128" s="12" t="str">
        <f t="shared" si="6"/>
        <v>0 г. 0 мес. 3 дн.</v>
      </c>
      <c r="W128" s="22"/>
      <c r="X128" s="72"/>
    </row>
    <row r="129" spans="1:24" ht="35.1" customHeight="1" x14ac:dyDescent="0.25">
      <c r="A129" s="12">
        <f t="shared" si="8"/>
        <v>128</v>
      </c>
      <c r="B129" s="12">
        <v>697</v>
      </c>
      <c r="C129" s="20" t="s">
        <v>77</v>
      </c>
      <c r="D129" s="18">
        <v>45375</v>
      </c>
      <c r="E129" s="17">
        <v>0.83333333333333337</v>
      </c>
      <c r="F129" s="12" t="s">
        <v>466</v>
      </c>
      <c r="G129" s="18">
        <v>44852</v>
      </c>
      <c r="H129" s="12" t="str">
        <f t="shared" si="7"/>
        <v>1 г. 5 мес. 6 дн.</v>
      </c>
      <c r="I129" s="12" t="s">
        <v>118</v>
      </c>
      <c r="K129" s="12" t="s">
        <v>467</v>
      </c>
      <c r="L129" s="12" t="s">
        <v>468</v>
      </c>
      <c r="M129" s="12" t="s">
        <v>54</v>
      </c>
      <c r="O129" s="12" t="s">
        <v>87</v>
      </c>
      <c r="S129" s="12" t="s">
        <v>77</v>
      </c>
      <c r="T129" s="18">
        <v>45376</v>
      </c>
      <c r="U129" s="17">
        <v>0.53472222222222221</v>
      </c>
      <c r="V129" s="12" t="str">
        <f t="shared" si="6"/>
        <v>0 г. 0 мес. 1 дн.</v>
      </c>
      <c r="W129" s="22"/>
      <c r="X129" s="72"/>
    </row>
    <row r="130" spans="1:24" ht="35.1" customHeight="1" x14ac:dyDescent="0.25">
      <c r="A130" s="12">
        <f t="shared" si="8"/>
        <v>129</v>
      </c>
      <c r="B130" s="12">
        <v>188</v>
      </c>
      <c r="C130" s="20" t="s">
        <v>80</v>
      </c>
      <c r="D130" s="18">
        <v>45376</v>
      </c>
      <c r="E130" s="17">
        <v>0.13263888888888889</v>
      </c>
      <c r="F130" s="12" t="s">
        <v>350</v>
      </c>
      <c r="G130" s="18">
        <v>42171</v>
      </c>
      <c r="H130" s="12" t="str">
        <f t="shared" ref="H130:H161" si="9">DATEDIF(G130,D130,"y") &amp; " г. " &amp; DATEDIF(G130,D130,"ym") &amp; " мес. " &amp; DATEDIF(G130,D130,"md") &amp; " дн."</f>
        <v>8 г. 9 мес. 9 дн.</v>
      </c>
      <c r="I130" s="12" t="s">
        <v>123</v>
      </c>
      <c r="J130" s="12" t="s">
        <v>80</v>
      </c>
      <c r="K130" s="12" t="s">
        <v>469</v>
      </c>
      <c r="L130" s="12" t="s">
        <v>470</v>
      </c>
      <c r="M130" s="12" t="s">
        <v>48</v>
      </c>
      <c r="O130" s="12" t="s">
        <v>87</v>
      </c>
      <c r="S130" s="12" t="s">
        <v>80</v>
      </c>
      <c r="T130" s="18">
        <v>45389</v>
      </c>
      <c r="U130" s="17">
        <v>0.54166666666666663</v>
      </c>
      <c r="V130" s="12" t="str">
        <f t="shared" ref="V130:V193" si="10">DATEDIF(D130,T130,"y") &amp; " г. " &amp; DATEDIF(D130,T130,"ym") &amp; " мес. " &amp; DATEDIF(D130,T130,"md") &amp; " дн."</f>
        <v>0 г. 0 мес. 13 дн.</v>
      </c>
      <c r="W130" s="22"/>
      <c r="X130" s="72"/>
    </row>
    <row r="131" spans="1:24" ht="35.1" customHeight="1" x14ac:dyDescent="0.25">
      <c r="A131" s="12">
        <f t="shared" si="8"/>
        <v>130</v>
      </c>
      <c r="B131" s="12">
        <v>153</v>
      </c>
      <c r="C131" s="20" t="s">
        <v>25</v>
      </c>
      <c r="D131" s="18">
        <v>45376</v>
      </c>
      <c r="E131" s="17">
        <v>0.53611111111111109</v>
      </c>
      <c r="F131" s="12" t="s">
        <v>471</v>
      </c>
      <c r="G131" s="18">
        <v>45347</v>
      </c>
      <c r="H131" s="12" t="str">
        <f t="shared" si="9"/>
        <v>0 г. 1 мес. 0 дн.</v>
      </c>
      <c r="I131" s="12" t="s">
        <v>120</v>
      </c>
      <c r="J131" s="12" t="s">
        <v>25</v>
      </c>
      <c r="K131" s="12" t="s">
        <v>472</v>
      </c>
      <c r="L131" s="12" t="s">
        <v>473</v>
      </c>
      <c r="M131" s="12" t="s">
        <v>42</v>
      </c>
      <c r="O131" s="12" t="s">
        <v>87</v>
      </c>
      <c r="Q131" s="12" t="s">
        <v>101</v>
      </c>
      <c r="S131" s="12" t="s">
        <v>25</v>
      </c>
      <c r="T131" s="18">
        <v>45376</v>
      </c>
      <c r="U131" s="17">
        <v>0.79166666666666663</v>
      </c>
      <c r="V131" s="12" t="str">
        <f t="shared" si="10"/>
        <v>0 г. 0 мес. 0 дн.</v>
      </c>
      <c r="W131" s="22"/>
      <c r="X131" s="72"/>
    </row>
    <row r="132" spans="1:24" ht="35.1" customHeight="1" x14ac:dyDescent="0.25">
      <c r="A132" s="12">
        <f t="shared" si="8"/>
        <v>131</v>
      </c>
      <c r="B132" s="12">
        <v>279</v>
      </c>
      <c r="C132" s="20" t="s">
        <v>26</v>
      </c>
      <c r="D132" s="18">
        <v>45376</v>
      </c>
      <c r="E132" s="17">
        <v>0.98958333333333337</v>
      </c>
      <c r="F132" s="12" t="s">
        <v>474</v>
      </c>
      <c r="G132" s="18">
        <v>39385</v>
      </c>
      <c r="H132" s="12" t="str">
        <f t="shared" si="9"/>
        <v>16 г. 4 мес. 24 дн.</v>
      </c>
      <c r="I132" s="12" t="s">
        <v>118</v>
      </c>
      <c r="K132" s="12" t="s">
        <v>475</v>
      </c>
      <c r="L132" s="12" t="s">
        <v>476</v>
      </c>
      <c r="M132" s="12" t="s">
        <v>55</v>
      </c>
      <c r="O132" s="12" t="s">
        <v>87</v>
      </c>
      <c r="S132" s="12" t="s">
        <v>26</v>
      </c>
      <c r="T132" s="18">
        <v>45377</v>
      </c>
      <c r="U132" s="17">
        <v>0.58333333333333337</v>
      </c>
      <c r="V132" s="12" t="str">
        <f t="shared" si="10"/>
        <v>0 г. 0 мес. 1 дн.</v>
      </c>
      <c r="W132" s="22"/>
      <c r="X132" s="72"/>
    </row>
    <row r="133" spans="1:24" ht="35.1" customHeight="1" x14ac:dyDescent="0.25">
      <c r="A133" s="12">
        <f t="shared" si="8"/>
        <v>132</v>
      </c>
      <c r="B133" s="12">
        <v>381</v>
      </c>
      <c r="C133" s="20" t="s">
        <v>23</v>
      </c>
      <c r="D133" s="18">
        <v>45377</v>
      </c>
      <c r="E133" s="49">
        <v>0.41666666666666669</v>
      </c>
      <c r="F133" s="12" t="s">
        <v>484</v>
      </c>
      <c r="G133" s="18">
        <v>41144</v>
      </c>
      <c r="H133" s="12" t="str">
        <f t="shared" si="9"/>
        <v>11 г. 7 мес. 3 дн.</v>
      </c>
      <c r="I133" s="12" t="s">
        <v>120</v>
      </c>
      <c r="J133" s="12" t="s">
        <v>23</v>
      </c>
      <c r="K133" s="12" t="s">
        <v>477</v>
      </c>
      <c r="L133" s="12" t="s">
        <v>478</v>
      </c>
      <c r="M133" s="12" t="s">
        <v>42</v>
      </c>
      <c r="O133" s="12" t="s">
        <v>87</v>
      </c>
      <c r="Q133" s="12" t="s">
        <v>101</v>
      </c>
      <c r="S133" s="12" t="s">
        <v>23</v>
      </c>
      <c r="T133" s="18">
        <v>45379</v>
      </c>
      <c r="U133" s="17">
        <v>0.41666666666666669</v>
      </c>
      <c r="V133" s="12" t="str">
        <f t="shared" si="10"/>
        <v>0 г. 0 мес. 2 дн.</v>
      </c>
      <c r="W133" s="22"/>
      <c r="X133" s="72"/>
    </row>
    <row r="134" spans="1:24" ht="35.1" customHeight="1" x14ac:dyDescent="0.25">
      <c r="A134" s="12">
        <f t="shared" si="8"/>
        <v>133</v>
      </c>
      <c r="B134" s="12">
        <v>398</v>
      </c>
      <c r="C134" s="20" t="s">
        <v>23</v>
      </c>
      <c r="D134" s="18">
        <v>45377</v>
      </c>
      <c r="E134" s="17">
        <v>0.75347222222222221</v>
      </c>
      <c r="F134" s="12" t="s">
        <v>562</v>
      </c>
      <c r="G134" s="18">
        <v>40841</v>
      </c>
      <c r="H134" s="12" t="str">
        <f t="shared" si="9"/>
        <v>12 г. 5 мес. 1 дн.</v>
      </c>
      <c r="I134" s="12" t="s">
        <v>118</v>
      </c>
      <c r="K134" s="12" t="s">
        <v>479</v>
      </c>
      <c r="L134" s="12" t="s">
        <v>480</v>
      </c>
      <c r="M134" s="12" t="s">
        <v>52</v>
      </c>
      <c r="O134" s="12" t="s">
        <v>73</v>
      </c>
      <c r="S134" s="12" t="s">
        <v>29</v>
      </c>
      <c r="T134" s="18">
        <v>45392</v>
      </c>
      <c r="U134" s="17">
        <v>0.65277777777777779</v>
      </c>
      <c r="V134" s="12" t="str">
        <f t="shared" si="10"/>
        <v>0 г. 0 мес. 15 дн.</v>
      </c>
      <c r="W134" s="22" t="s">
        <v>137</v>
      </c>
      <c r="X134" s="72"/>
    </row>
    <row r="135" spans="1:24" ht="35.1" customHeight="1" x14ac:dyDescent="0.25">
      <c r="A135" s="12">
        <f t="shared" si="8"/>
        <v>134</v>
      </c>
      <c r="B135" s="12">
        <v>212</v>
      </c>
      <c r="C135" s="20" t="s">
        <v>26</v>
      </c>
      <c r="D135" s="18">
        <v>45377</v>
      </c>
      <c r="E135" s="17">
        <v>0.82291666666666663</v>
      </c>
      <c r="F135" s="12" t="s">
        <v>481</v>
      </c>
      <c r="G135" s="18">
        <v>39434</v>
      </c>
      <c r="H135" s="12" t="str">
        <f t="shared" si="9"/>
        <v>16 г. 3 мес. 8 дн.</v>
      </c>
      <c r="I135" s="12" t="s">
        <v>118</v>
      </c>
      <c r="K135" s="12" t="s">
        <v>482</v>
      </c>
      <c r="L135" s="12" t="s">
        <v>483</v>
      </c>
      <c r="M135" s="12" t="s">
        <v>55</v>
      </c>
      <c r="O135" s="12" t="s">
        <v>87</v>
      </c>
      <c r="S135" s="12" t="s">
        <v>26</v>
      </c>
      <c r="T135" s="18">
        <v>45378</v>
      </c>
      <c r="U135" s="17">
        <v>0.47916666666666669</v>
      </c>
      <c r="V135" s="12" t="str">
        <f t="shared" si="10"/>
        <v>0 г. 0 мес. 1 дн.</v>
      </c>
      <c r="W135" s="22"/>
      <c r="X135" s="72"/>
    </row>
    <row r="136" spans="1:24" ht="35.1" customHeight="1" x14ac:dyDescent="0.25">
      <c r="A136" s="12">
        <f t="shared" si="8"/>
        <v>135</v>
      </c>
      <c r="B136" s="12">
        <v>404</v>
      </c>
      <c r="C136" s="20" t="s">
        <v>23</v>
      </c>
      <c r="D136" s="18">
        <v>45378</v>
      </c>
      <c r="E136" s="17">
        <v>0.57986111111111105</v>
      </c>
      <c r="F136" s="12" t="s">
        <v>485</v>
      </c>
      <c r="G136" s="18">
        <v>42515</v>
      </c>
      <c r="H136" s="12" t="str">
        <f t="shared" si="9"/>
        <v>7 г. 10 мес. 2 дн.</v>
      </c>
      <c r="I136" s="12" t="s">
        <v>118</v>
      </c>
      <c r="K136" s="12" t="s">
        <v>486</v>
      </c>
      <c r="L136" s="12" t="s">
        <v>487</v>
      </c>
      <c r="M136" s="12" t="s">
        <v>52</v>
      </c>
      <c r="O136" s="12" t="s">
        <v>87</v>
      </c>
      <c r="S136" s="12" t="s">
        <v>23</v>
      </c>
      <c r="T136" s="18">
        <v>45379</v>
      </c>
      <c r="U136" s="17">
        <v>0.5</v>
      </c>
      <c r="V136" s="12" t="str">
        <f t="shared" si="10"/>
        <v>0 г. 0 мес. 1 дн.</v>
      </c>
      <c r="W136" s="22"/>
      <c r="X136" s="72"/>
    </row>
    <row r="137" spans="1:24" ht="35.1" customHeight="1" x14ac:dyDescent="0.25">
      <c r="A137" s="12">
        <f t="shared" si="8"/>
        <v>136</v>
      </c>
      <c r="B137" s="12">
        <v>391</v>
      </c>
      <c r="C137" s="20" t="s">
        <v>23</v>
      </c>
      <c r="D137" s="18">
        <v>45380</v>
      </c>
      <c r="E137" s="17">
        <v>0.47569444444444442</v>
      </c>
      <c r="F137" s="12" t="s">
        <v>488</v>
      </c>
      <c r="G137" s="18">
        <v>39889</v>
      </c>
      <c r="H137" s="12" t="str">
        <f t="shared" si="9"/>
        <v>15 г. 0 мес. 12 дн.</v>
      </c>
      <c r="I137" s="12" t="s">
        <v>119</v>
      </c>
      <c r="J137" s="12" t="s">
        <v>23</v>
      </c>
      <c r="L137" s="12" t="s">
        <v>489</v>
      </c>
      <c r="M137" s="12" t="s">
        <v>51</v>
      </c>
      <c r="O137" s="12" t="s">
        <v>88</v>
      </c>
      <c r="P137" s="12" t="s">
        <v>94</v>
      </c>
      <c r="S137" s="12" t="s">
        <v>23</v>
      </c>
      <c r="T137" s="18">
        <v>45381</v>
      </c>
      <c r="U137" s="17">
        <v>0.40277777777777773</v>
      </c>
      <c r="V137" s="12" t="str">
        <f t="shared" si="10"/>
        <v>0 г. 0 мес. 1 дн.</v>
      </c>
      <c r="W137" s="22"/>
      <c r="X137" s="72"/>
    </row>
    <row r="138" spans="1:24" ht="35.1" customHeight="1" x14ac:dyDescent="0.25">
      <c r="A138" s="12">
        <f t="shared" si="8"/>
        <v>137</v>
      </c>
      <c r="B138" s="12">
        <v>729</v>
      </c>
      <c r="C138" s="20" t="s">
        <v>28</v>
      </c>
      <c r="D138" s="18">
        <v>45379</v>
      </c>
      <c r="E138" s="17">
        <v>0.70486111111111116</v>
      </c>
      <c r="F138" s="12" t="s">
        <v>563</v>
      </c>
      <c r="G138" s="18">
        <v>44197</v>
      </c>
      <c r="H138" s="12" t="str">
        <f t="shared" si="9"/>
        <v>3 г. 2 мес. 27 дн.</v>
      </c>
      <c r="I138" s="12" t="s">
        <v>120</v>
      </c>
      <c r="J138" s="20" t="s">
        <v>28</v>
      </c>
      <c r="K138" s="12" t="s">
        <v>490</v>
      </c>
      <c r="L138" s="12" t="s">
        <v>491</v>
      </c>
      <c r="M138" s="12" t="s">
        <v>41</v>
      </c>
      <c r="O138" s="12" t="s">
        <v>87</v>
      </c>
      <c r="S138" s="12" t="s">
        <v>77</v>
      </c>
      <c r="T138" s="18">
        <v>45381</v>
      </c>
      <c r="U138" s="17">
        <v>0.63888888888888895</v>
      </c>
      <c r="V138" s="12" t="str">
        <f t="shared" si="10"/>
        <v>0 г. 0 мес. 2 дн.</v>
      </c>
      <c r="W138" s="22"/>
      <c r="X138" s="72"/>
    </row>
    <row r="139" spans="1:24" ht="35.1" customHeight="1" x14ac:dyDescent="0.25">
      <c r="A139" s="12">
        <f t="shared" si="8"/>
        <v>138</v>
      </c>
      <c r="B139" s="12">
        <v>425</v>
      </c>
      <c r="C139" s="20" t="s">
        <v>27</v>
      </c>
      <c r="D139" s="18">
        <v>45380</v>
      </c>
      <c r="E139" s="17">
        <v>6.9444444444444434E-2</v>
      </c>
      <c r="F139" s="12" t="s">
        <v>492</v>
      </c>
      <c r="G139" s="18">
        <v>44971</v>
      </c>
      <c r="H139" s="12" t="str">
        <f t="shared" si="9"/>
        <v>1 г. 1 мес. 15 дн.</v>
      </c>
      <c r="I139" s="12" t="s">
        <v>118</v>
      </c>
      <c r="K139" s="12" t="s">
        <v>493</v>
      </c>
      <c r="L139" s="12" t="s">
        <v>494</v>
      </c>
      <c r="M139" s="12" t="s">
        <v>48</v>
      </c>
      <c r="O139" s="12" t="s">
        <v>87</v>
      </c>
      <c r="S139" s="12" t="s">
        <v>27</v>
      </c>
      <c r="T139" s="18">
        <v>45382</v>
      </c>
      <c r="U139" s="17">
        <v>0.77083333333333337</v>
      </c>
      <c r="V139" s="12" t="str">
        <f t="shared" si="10"/>
        <v>0 г. 0 мес. 2 дн.</v>
      </c>
      <c r="W139" s="22"/>
      <c r="X139" s="72"/>
    </row>
    <row r="140" spans="1:24" ht="35.1" customHeight="1" x14ac:dyDescent="0.25">
      <c r="A140" s="12">
        <f t="shared" si="8"/>
        <v>139</v>
      </c>
      <c r="B140" s="12">
        <v>291</v>
      </c>
      <c r="C140" s="20" t="s">
        <v>26</v>
      </c>
      <c r="D140" s="18">
        <v>45379</v>
      </c>
      <c r="E140" s="17">
        <v>0.75</v>
      </c>
      <c r="F140" s="12" t="s">
        <v>564</v>
      </c>
      <c r="G140" s="18">
        <v>39872</v>
      </c>
      <c r="H140" s="12" t="str">
        <f t="shared" si="9"/>
        <v>15 г. 1 мес. 0 дн.</v>
      </c>
      <c r="I140" s="12" t="s">
        <v>118</v>
      </c>
      <c r="K140" s="12" t="s">
        <v>345</v>
      </c>
      <c r="L140" s="12" t="s">
        <v>148</v>
      </c>
      <c r="M140" s="12" t="s">
        <v>55</v>
      </c>
      <c r="O140" s="12" t="s">
        <v>87</v>
      </c>
      <c r="S140" s="12" t="s">
        <v>26</v>
      </c>
      <c r="T140" s="18">
        <v>45380</v>
      </c>
      <c r="U140" s="17">
        <v>0.5</v>
      </c>
      <c r="V140" s="12" t="str">
        <f t="shared" si="10"/>
        <v>0 г. 0 мес. 1 дн.</v>
      </c>
      <c r="W140" s="22"/>
      <c r="X140" s="72"/>
    </row>
    <row r="141" spans="1:24" ht="35.1" customHeight="1" x14ac:dyDescent="0.25">
      <c r="A141" s="12">
        <f t="shared" si="8"/>
        <v>140</v>
      </c>
      <c r="B141" s="12">
        <v>295</v>
      </c>
      <c r="C141" s="20" t="s">
        <v>26</v>
      </c>
      <c r="D141" s="18">
        <v>45381</v>
      </c>
      <c r="E141" s="17">
        <v>0.79861111111111116</v>
      </c>
      <c r="F141" s="12" t="s">
        <v>565</v>
      </c>
      <c r="G141" s="18">
        <v>40194</v>
      </c>
      <c r="H141" s="12" t="str">
        <f t="shared" si="9"/>
        <v>14 г. 2 мес. 14 дн.</v>
      </c>
      <c r="I141" s="12" t="s">
        <v>118</v>
      </c>
      <c r="K141" s="12" t="s">
        <v>495</v>
      </c>
      <c r="L141" s="12" t="s">
        <v>148</v>
      </c>
      <c r="M141" s="12" t="s">
        <v>55</v>
      </c>
      <c r="O141" s="12" t="s">
        <v>87</v>
      </c>
      <c r="S141" s="12" t="s">
        <v>26</v>
      </c>
      <c r="T141" s="18">
        <v>45382</v>
      </c>
      <c r="U141" s="17">
        <v>0.5</v>
      </c>
      <c r="V141" s="12" t="str">
        <f t="shared" si="10"/>
        <v>0 г. 0 мес. 1 дн.</v>
      </c>
      <c r="W141" s="22"/>
      <c r="X141" s="72"/>
    </row>
    <row r="142" spans="1:24" ht="35.1" customHeight="1" x14ac:dyDescent="0.25">
      <c r="A142" s="12">
        <f t="shared" si="8"/>
        <v>141</v>
      </c>
      <c r="B142" s="12">
        <v>743</v>
      </c>
      <c r="C142" s="20" t="s">
        <v>77</v>
      </c>
      <c r="D142" s="18">
        <v>45382</v>
      </c>
      <c r="E142" s="17">
        <v>0.67361111111111116</v>
      </c>
      <c r="F142" s="12" t="s">
        <v>496</v>
      </c>
      <c r="G142" s="18">
        <v>42526</v>
      </c>
      <c r="H142" s="12" t="str">
        <f t="shared" si="9"/>
        <v>7 г. 9 мес. 26 дн.</v>
      </c>
      <c r="I142" s="12" t="s">
        <v>118</v>
      </c>
      <c r="K142" s="12" t="s">
        <v>497</v>
      </c>
      <c r="L142" s="12" t="s">
        <v>498</v>
      </c>
      <c r="M142" s="12" t="s">
        <v>54</v>
      </c>
      <c r="O142" s="12" t="s">
        <v>87</v>
      </c>
      <c r="S142" s="12" t="s">
        <v>77</v>
      </c>
      <c r="T142" s="18">
        <v>45383</v>
      </c>
      <c r="U142" s="17">
        <v>0.45833333333333331</v>
      </c>
      <c r="V142" s="12" t="str">
        <f t="shared" si="10"/>
        <v>0 г. 0 мес. 1 дн.</v>
      </c>
      <c r="W142" s="22"/>
      <c r="X142" s="72"/>
    </row>
    <row r="143" spans="1:24" ht="35.1" customHeight="1" x14ac:dyDescent="0.25">
      <c r="A143" s="12">
        <f t="shared" si="8"/>
        <v>142</v>
      </c>
      <c r="B143" s="12">
        <v>304</v>
      </c>
      <c r="C143" s="20" t="s">
        <v>26</v>
      </c>
      <c r="D143" s="18">
        <v>45384</v>
      </c>
      <c r="E143" s="17">
        <v>0.79166666666666663</v>
      </c>
      <c r="F143" s="12" t="s">
        <v>499</v>
      </c>
      <c r="G143" s="18">
        <v>39192</v>
      </c>
      <c r="H143" s="12" t="str">
        <f t="shared" si="9"/>
        <v>16 г. 11 мес. 13 дн.</v>
      </c>
      <c r="I143" s="12" t="s">
        <v>118</v>
      </c>
      <c r="K143" s="12" t="s">
        <v>500</v>
      </c>
      <c r="L143" s="12" t="s">
        <v>501</v>
      </c>
      <c r="M143" s="12" t="s">
        <v>49</v>
      </c>
      <c r="O143" s="12" t="s">
        <v>87</v>
      </c>
      <c r="S143" s="12" t="s">
        <v>26</v>
      </c>
      <c r="T143" s="18">
        <v>45385</v>
      </c>
      <c r="U143" s="17">
        <v>0.68055555555555547</v>
      </c>
      <c r="V143" s="12" t="str">
        <f t="shared" si="10"/>
        <v>0 г. 0 мес. 1 дн.</v>
      </c>
      <c r="W143" s="22"/>
      <c r="X143" s="72"/>
    </row>
    <row r="144" spans="1:24" ht="35.1" customHeight="1" x14ac:dyDescent="0.25">
      <c r="A144" s="12">
        <f t="shared" si="8"/>
        <v>143</v>
      </c>
      <c r="B144" s="12">
        <v>289</v>
      </c>
      <c r="C144" s="20" t="s">
        <v>26</v>
      </c>
      <c r="D144" s="18">
        <v>45384</v>
      </c>
      <c r="E144" s="17">
        <v>0.58333333333333337</v>
      </c>
      <c r="F144" s="12" t="s">
        <v>502</v>
      </c>
      <c r="G144" s="18">
        <v>43809</v>
      </c>
      <c r="H144" s="12" t="str">
        <f t="shared" si="9"/>
        <v>4 г. 3 мес. 23 дн.</v>
      </c>
      <c r="I144" s="12" t="s">
        <v>120</v>
      </c>
      <c r="J144" s="12" t="s">
        <v>26</v>
      </c>
      <c r="K144" s="12" t="s">
        <v>503</v>
      </c>
      <c r="L144" s="12" t="s">
        <v>504</v>
      </c>
      <c r="M144" s="12" t="s">
        <v>44</v>
      </c>
      <c r="O144" s="12" t="s">
        <v>87</v>
      </c>
      <c r="S144" s="12" t="s">
        <v>26</v>
      </c>
      <c r="T144" s="18">
        <v>45389</v>
      </c>
      <c r="U144" s="17">
        <v>0.71527777777777779</v>
      </c>
      <c r="V144" s="12" t="str">
        <f t="shared" si="10"/>
        <v>0 г. 0 мес. 5 дн.</v>
      </c>
      <c r="W144" s="22"/>
      <c r="X144" s="72"/>
    </row>
    <row r="145" spans="1:24" ht="35.1" customHeight="1" x14ac:dyDescent="0.25">
      <c r="A145" s="12">
        <f t="shared" si="8"/>
        <v>144</v>
      </c>
      <c r="B145" s="12">
        <v>767</v>
      </c>
      <c r="C145" s="20" t="s">
        <v>77</v>
      </c>
      <c r="D145" s="18">
        <v>45384</v>
      </c>
      <c r="E145" s="17">
        <v>0.91666666666666663</v>
      </c>
      <c r="F145" s="12" t="s">
        <v>505</v>
      </c>
      <c r="G145" s="18">
        <v>38988</v>
      </c>
      <c r="H145" s="12" t="str">
        <f t="shared" si="9"/>
        <v>17 г. 6 мес. 5 дн.</v>
      </c>
      <c r="I145" s="12" t="s">
        <v>121</v>
      </c>
      <c r="K145" s="12" t="s">
        <v>506</v>
      </c>
      <c r="L145" s="12" t="s">
        <v>507</v>
      </c>
      <c r="M145" s="12" t="s">
        <v>40</v>
      </c>
      <c r="O145" s="12" t="s">
        <v>87</v>
      </c>
      <c r="S145" s="12" t="s">
        <v>77</v>
      </c>
      <c r="T145" s="18">
        <v>45389</v>
      </c>
      <c r="U145" s="17">
        <v>0.70833333333333337</v>
      </c>
      <c r="V145" s="12" t="str">
        <f t="shared" si="10"/>
        <v>0 г. 0 мес. 5 дн.</v>
      </c>
      <c r="W145" s="22"/>
      <c r="X145" s="72"/>
    </row>
    <row r="146" spans="1:24" ht="35.1" customHeight="1" x14ac:dyDescent="0.25">
      <c r="A146" s="12">
        <f t="shared" si="8"/>
        <v>145</v>
      </c>
      <c r="B146" s="12">
        <v>332</v>
      </c>
      <c r="C146" s="20" t="s">
        <v>26</v>
      </c>
      <c r="D146" s="18">
        <v>45394</v>
      </c>
      <c r="E146" s="17">
        <v>0.67708333333333337</v>
      </c>
      <c r="F146" s="12" t="s">
        <v>508</v>
      </c>
      <c r="G146" s="18">
        <v>40418</v>
      </c>
      <c r="H146" s="12" t="str">
        <f t="shared" si="9"/>
        <v>13 г. 7 мес. 15 дн.</v>
      </c>
      <c r="I146" s="12" t="s">
        <v>118</v>
      </c>
      <c r="K146" s="12" t="s">
        <v>509</v>
      </c>
      <c r="L146" s="12" t="s">
        <v>510</v>
      </c>
      <c r="M146" s="12" t="s">
        <v>43</v>
      </c>
      <c r="O146" s="12" t="s">
        <v>87</v>
      </c>
      <c r="S146" s="12" t="s">
        <v>26</v>
      </c>
      <c r="T146" s="18">
        <v>45397</v>
      </c>
      <c r="U146" s="17">
        <v>0.6</v>
      </c>
      <c r="V146" s="12" t="str">
        <f t="shared" si="10"/>
        <v>0 г. 0 мес. 3 дн.</v>
      </c>
      <c r="W146" s="22"/>
      <c r="X146" s="72"/>
    </row>
    <row r="147" spans="1:24" ht="35.1" customHeight="1" x14ac:dyDescent="0.25">
      <c r="A147" s="12">
        <f t="shared" si="8"/>
        <v>146</v>
      </c>
      <c r="B147" s="12">
        <v>486</v>
      </c>
      <c r="C147" s="20" t="s">
        <v>23</v>
      </c>
      <c r="D147" s="18">
        <v>45395</v>
      </c>
      <c r="E147" s="17">
        <v>0.31597222222222221</v>
      </c>
      <c r="F147" s="12" t="s">
        <v>511</v>
      </c>
      <c r="G147" s="18">
        <v>39158</v>
      </c>
      <c r="H147" s="12" t="str">
        <f t="shared" si="9"/>
        <v>17 г. 0 мес. 27 дн.</v>
      </c>
      <c r="I147" s="12" t="s">
        <v>118</v>
      </c>
      <c r="K147" s="12" t="s">
        <v>512</v>
      </c>
      <c r="L147" s="12" t="s">
        <v>404</v>
      </c>
      <c r="M147" s="12" t="s">
        <v>52</v>
      </c>
      <c r="O147" s="12" t="s">
        <v>87</v>
      </c>
      <c r="S147" s="12" t="s">
        <v>23</v>
      </c>
      <c r="T147" s="18">
        <v>45399</v>
      </c>
      <c r="U147" s="17">
        <v>0.54166666666666663</v>
      </c>
      <c r="V147" s="12" t="str">
        <f t="shared" si="10"/>
        <v>0 г. 0 мес. 4 дн.</v>
      </c>
      <c r="W147" s="22"/>
      <c r="X147" s="72"/>
    </row>
    <row r="148" spans="1:24" ht="35.1" customHeight="1" x14ac:dyDescent="0.25">
      <c r="A148" s="12">
        <f t="shared" si="8"/>
        <v>147</v>
      </c>
      <c r="B148" s="12">
        <v>827</v>
      </c>
      <c r="C148" s="20" t="s">
        <v>77</v>
      </c>
      <c r="D148" s="18">
        <v>45394</v>
      </c>
      <c r="E148" s="17">
        <v>0.67013888888888884</v>
      </c>
      <c r="F148" s="12" t="s">
        <v>513</v>
      </c>
      <c r="G148" s="18">
        <v>45394</v>
      </c>
      <c r="H148" s="12" t="str">
        <f t="shared" si="9"/>
        <v>0 г. 0 мес. 0 дн.</v>
      </c>
      <c r="I148" s="12" t="s">
        <v>121</v>
      </c>
      <c r="K148" s="12" t="s">
        <v>514</v>
      </c>
      <c r="L148" s="12" t="s">
        <v>515</v>
      </c>
      <c r="M148" s="12" t="s">
        <v>56</v>
      </c>
      <c r="O148" s="12" t="s">
        <v>86</v>
      </c>
      <c r="S148" s="12" t="s">
        <v>77</v>
      </c>
      <c r="T148" s="18">
        <v>45397</v>
      </c>
      <c r="U148" s="17">
        <v>0.5</v>
      </c>
      <c r="V148" s="12" t="str">
        <f t="shared" si="10"/>
        <v>0 г. 0 мес. 3 дн.</v>
      </c>
      <c r="W148" s="22"/>
      <c r="X148" s="72"/>
    </row>
    <row r="149" spans="1:24" ht="35.1" customHeight="1" x14ac:dyDescent="0.25">
      <c r="A149" s="12">
        <f t="shared" si="8"/>
        <v>148</v>
      </c>
      <c r="B149" s="12">
        <v>767</v>
      </c>
      <c r="C149" s="20" t="s">
        <v>77</v>
      </c>
      <c r="D149" s="18">
        <v>45391</v>
      </c>
      <c r="E149" s="17">
        <v>0.42708333333333331</v>
      </c>
      <c r="F149" s="12" t="s">
        <v>505</v>
      </c>
      <c r="G149" s="18">
        <v>38988</v>
      </c>
      <c r="H149" s="12" t="str">
        <f t="shared" si="9"/>
        <v>17 г. 6 мес. 12 дн.</v>
      </c>
      <c r="I149" s="12" t="s">
        <v>120</v>
      </c>
      <c r="J149" s="12" t="s">
        <v>77</v>
      </c>
      <c r="K149" s="12" t="s">
        <v>506</v>
      </c>
      <c r="L149" s="12" t="s">
        <v>516</v>
      </c>
      <c r="M149" s="12" t="s">
        <v>46</v>
      </c>
      <c r="O149" s="12" t="s">
        <v>73</v>
      </c>
      <c r="Q149" s="12" t="s">
        <v>124</v>
      </c>
      <c r="S149" s="12" t="s">
        <v>77</v>
      </c>
      <c r="T149" s="18">
        <v>45404</v>
      </c>
      <c r="U149" s="17">
        <v>0.58333333333333337</v>
      </c>
      <c r="V149" s="12" t="str">
        <f t="shared" si="10"/>
        <v>0 г. 0 мес. 13 дн.</v>
      </c>
      <c r="W149" s="22"/>
      <c r="X149" s="72"/>
    </row>
    <row r="150" spans="1:24" s="40" customFormat="1" ht="35.1" customHeight="1" x14ac:dyDescent="0.25">
      <c r="A150" s="40">
        <f t="shared" si="8"/>
        <v>149</v>
      </c>
      <c r="B150" s="40">
        <v>200</v>
      </c>
      <c r="C150" s="41" t="s">
        <v>28</v>
      </c>
      <c r="D150" s="38">
        <v>45385</v>
      </c>
      <c r="E150" s="39">
        <v>0.44791666666666669</v>
      </c>
      <c r="F150" s="40" t="s">
        <v>517</v>
      </c>
      <c r="G150" s="38">
        <v>45353</v>
      </c>
      <c r="H150" s="40" t="str">
        <f t="shared" si="9"/>
        <v>0 г. 1 мес. 1 дн.</v>
      </c>
      <c r="I150" s="40" t="s">
        <v>121</v>
      </c>
      <c r="K150" s="40" t="s">
        <v>518</v>
      </c>
      <c r="L150" s="40" t="s">
        <v>519</v>
      </c>
      <c r="M150" s="40" t="s">
        <v>46</v>
      </c>
      <c r="O150" s="40" t="s">
        <v>86</v>
      </c>
      <c r="Q150" s="40" t="s">
        <v>127</v>
      </c>
      <c r="S150" s="40" t="s">
        <v>30</v>
      </c>
      <c r="T150" s="38">
        <v>45405</v>
      </c>
      <c r="U150" s="39"/>
      <c r="V150" s="40" t="str">
        <f t="shared" si="10"/>
        <v>0 г. 0 мес. 20 дн.</v>
      </c>
      <c r="W150" s="42"/>
      <c r="X150" s="74"/>
    </row>
    <row r="151" spans="1:24" ht="35.1" customHeight="1" x14ac:dyDescent="0.25">
      <c r="A151" s="12">
        <f t="shared" si="8"/>
        <v>150</v>
      </c>
      <c r="B151" s="12">
        <v>320</v>
      </c>
      <c r="C151" s="20" t="s">
        <v>80</v>
      </c>
      <c r="D151" s="18">
        <v>45391</v>
      </c>
      <c r="E151" s="17">
        <v>3.472222222222222E-3</v>
      </c>
      <c r="F151" s="12" t="s">
        <v>387</v>
      </c>
      <c r="G151" s="18">
        <v>45314</v>
      </c>
      <c r="H151" s="12" t="str">
        <f t="shared" si="9"/>
        <v>0 г. 2 мес. 17 дн.</v>
      </c>
      <c r="I151" s="12" t="s">
        <v>120</v>
      </c>
      <c r="J151" s="12" t="s">
        <v>28</v>
      </c>
      <c r="K151" s="12" t="s">
        <v>520</v>
      </c>
      <c r="L151" s="12" t="s">
        <v>389</v>
      </c>
      <c r="M151" s="12" t="s">
        <v>46</v>
      </c>
      <c r="O151" s="12" t="s">
        <v>87</v>
      </c>
      <c r="S151" s="12" t="s">
        <v>80</v>
      </c>
      <c r="T151" s="18">
        <v>45396</v>
      </c>
      <c r="U151" s="17">
        <v>0.58333333333333337</v>
      </c>
      <c r="V151" s="12" t="str">
        <f t="shared" si="10"/>
        <v>0 г. 0 мес. 5 дн.</v>
      </c>
      <c r="W151" s="22"/>
      <c r="X151" s="72"/>
    </row>
    <row r="152" spans="1:24" ht="35.1" customHeight="1" x14ac:dyDescent="0.25">
      <c r="A152" s="40">
        <f t="shared" si="8"/>
        <v>151</v>
      </c>
      <c r="B152" s="40">
        <v>335</v>
      </c>
      <c r="C152" s="41" t="s">
        <v>26</v>
      </c>
      <c r="D152" s="38">
        <v>45395</v>
      </c>
      <c r="E152" s="39">
        <v>0.97916666666666663</v>
      </c>
      <c r="F152" s="40" t="s">
        <v>521</v>
      </c>
      <c r="G152" s="38">
        <v>42665</v>
      </c>
      <c r="H152" s="40" t="str">
        <f t="shared" si="9"/>
        <v>7 г. 5 мес. 22 дн.</v>
      </c>
      <c r="I152" s="40" t="s">
        <v>121</v>
      </c>
      <c r="J152" s="40"/>
      <c r="K152" s="40" t="s">
        <v>522</v>
      </c>
      <c r="L152" s="40" t="s">
        <v>523</v>
      </c>
      <c r="M152" s="40" t="s">
        <v>42</v>
      </c>
      <c r="N152" s="40">
        <v>5</v>
      </c>
      <c r="O152" s="40" t="s">
        <v>86</v>
      </c>
      <c r="P152" s="40"/>
      <c r="Q152" s="40" t="s">
        <v>125</v>
      </c>
      <c r="R152" s="40"/>
      <c r="S152" s="40" t="s">
        <v>30</v>
      </c>
      <c r="T152" s="38">
        <v>45400</v>
      </c>
      <c r="U152" s="39">
        <v>0.25</v>
      </c>
      <c r="V152" s="40" t="str">
        <f t="shared" si="10"/>
        <v>0 г. 0 мес. 5 дн.</v>
      </c>
      <c r="W152" s="42"/>
      <c r="X152" s="72"/>
    </row>
    <row r="153" spans="1:24" ht="35.1" customHeight="1" x14ac:dyDescent="0.25">
      <c r="A153" s="12">
        <f t="shared" si="8"/>
        <v>152</v>
      </c>
      <c r="B153" s="12">
        <v>178</v>
      </c>
      <c r="C153" s="20" t="s">
        <v>24</v>
      </c>
      <c r="D153" s="18">
        <v>45396</v>
      </c>
      <c r="E153" s="17">
        <v>0.45833333333333331</v>
      </c>
      <c r="F153" s="12" t="s">
        <v>524</v>
      </c>
      <c r="G153" s="18">
        <v>45037</v>
      </c>
      <c r="H153" s="12" t="str">
        <f t="shared" si="9"/>
        <v>0 г. 11 мес. 24 дн.</v>
      </c>
      <c r="I153" s="12" t="s">
        <v>121</v>
      </c>
      <c r="K153" s="12" t="s">
        <v>545</v>
      </c>
      <c r="L153" s="12" t="s">
        <v>525</v>
      </c>
      <c r="M153" s="12" t="s">
        <v>50</v>
      </c>
      <c r="O153" s="12" t="s">
        <v>73</v>
      </c>
      <c r="Q153" s="12" t="s">
        <v>127</v>
      </c>
      <c r="S153" s="12" t="s">
        <v>29</v>
      </c>
      <c r="T153" s="18">
        <v>45406</v>
      </c>
      <c r="U153" s="17">
        <v>0.5</v>
      </c>
      <c r="V153" s="12" t="str">
        <f t="shared" si="10"/>
        <v>0 г. 0 мес. 10 дн.</v>
      </c>
      <c r="W153" s="22"/>
      <c r="X153" s="72"/>
    </row>
    <row r="154" spans="1:24" ht="35.1" customHeight="1" x14ac:dyDescent="0.25">
      <c r="A154" s="12">
        <f t="shared" si="8"/>
        <v>153</v>
      </c>
      <c r="B154" s="12">
        <v>792</v>
      </c>
      <c r="C154" s="20" t="s">
        <v>77</v>
      </c>
      <c r="D154" s="18">
        <v>45388</v>
      </c>
      <c r="E154" s="17">
        <v>0.75694444444444453</v>
      </c>
      <c r="F154" s="12" t="s">
        <v>526</v>
      </c>
      <c r="G154" s="18">
        <v>41877</v>
      </c>
      <c r="H154" s="12" t="str">
        <f t="shared" si="9"/>
        <v>9 г. 7 мес. 11 дн.</v>
      </c>
      <c r="I154" s="12" t="s">
        <v>118</v>
      </c>
      <c r="K154" s="12" t="s">
        <v>547</v>
      </c>
      <c r="L154" s="12" t="s">
        <v>527</v>
      </c>
      <c r="M154" s="12" t="s">
        <v>49</v>
      </c>
      <c r="O154" s="12" t="s">
        <v>87</v>
      </c>
      <c r="S154" s="12" t="s">
        <v>77</v>
      </c>
      <c r="T154" s="18">
        <v>45390</v>
      </c>
      <c r="U154" s="17">
        <v>0.5</v>
      </c>
      <c r="V154" s="12" t="str">
        <f t="shared" si="10"/>
        <v>0 г. 0 мес. 2 дн.</v>
      </c>
      <c r="W154" s="22"/>
      <c r="X154" s="72"/>
    </row>
    <row r="155" spans="1:24" ht="35.1" customHeight="1" x14ac:dyDescent="0.25">
      <c r="A155" s="12">
        <f t="shared" si="8"/>
        <v>154</v>
      </c>
      <c r="B155" s="12">
        <v>792</v>
      </c>
      <c r="C155" s="20" t="s">
        <v>77</v>
      </c>
      <c r="D155" s="18">
        <v>45396</v>
      </c>
      <c r="E155" s="17">
        <v>0.85763888888888884</v>
      </c>
      <c r="F155" s="12" t="s">
        <v>526</v>
      </c>
      <c r="G155" s="18">
        <v>41877</v>
      </c>
      <c r="H155" s="12" t="str">
        <f t="shared" si="9"/>
        <v>9 г. 7 мес. 19 дн.</v>
      </c>
      <c r="I155" s="12" t="s">
        <v>119</v>
      </c>
      <c r="J155" s="12" t="s">
        <v>77</v>
      </c>
      <c r="K155" s="12" t="s">
        <v>547</v>
      </c>
      <c r="L155" s="12" t="s">
        <v>528</v>
      </c>
      <c r="M155" s="12" t="s">
        <v>49</v>
      </c>
      <c r="O155" s="12" t="s">
        <v>87</v>
      </c>
      <c r="Q155" s="12" t="s">
        <v>124</v>
      </c>
      <c r="S155" s="12" t="s">
        <v>77</v>
      </c>
      <c r="T155" s="18">
        <v>45398</v>
      </c>
      <c r="U155" s="17">
        <v>0.45833333333333331</v>
      </c>
      <c r="V155" s="12" t="str">
        <f t="shared" si="10"/>
        <v>0 г. 0 мес. 2 дн.</v>
      </c>
      <c r="W155" s="22"/>
      <c r="X155" s="72"/>
    </row>
    <row r="156" spans="1:24" s="23" customFormat="1" ht="35.1" customHeight="1" x14ac:dyDescent="0.2">
      <c r="A156" s="13">
        <v>156</v>
      </c>
      <c r="B156" s="13">
        <v>843</v>
      </c>
      <c r="C156" s="14" t="s">
        <v>77</v>
      </c>
      <c r="D156" s="18">
        <v>45396</v>
      </c>
      <c r="E156" s="15">
        <v>0.82638888888888884</v>
      </c>
      <c r="F156" s="13" t="s">
        <v>529</v>
      </c>
      <c r="G156" s="16">
        <v>45357</v>
      </c>
      <c r="H156" s="12" t="str">
        <f t="shared" si="9"/>
        <v>0 г. 1 мес. 8 дн.</v>
      </c>
      <c r="I156" s="12" t="s">
        <v>121</v>
      </c>
      <c r="J156" s="12"/>
      <c r="K156" s="13" t="s">
        <v>546</v>
      </c>
      <c r="L156" s="13" t="s">
        <v>530</v>
      </c>
      <c r="M156" s="13" t="s">
        <v>49</v>
      </c>
      <c r="N156" s="13"/>
      <c r="O156" s="12" t="s">
        <v>73</v>
      </c>
      <c r="P156" s="13"/>
      <c r="Q156" s="13"/>
      <c r="R156" s="13"/>
      <c r="S156" s="13" t="s">
        <v>77</v>
      </c>
      <c r="T156" s="16">
        <v>45399</v>
      </c>
      <c r="U156" s="15">
        <v>0.5625</v>
      </c>
      <c r="V156" s="12" t="str">
        <f t="shared" si="10"/>
        <v>0 г. 0 мес. 3 дн.</v>
      </c>
      <c r="W156" s="22"/>
      <c r="X156" s="72"/>
    </row>
    <row r="157" spans="1:24" ht="35.1" customHeight="1" x14ac:dyDescent="0.25">
      <c r="A157" s="12">
        <f t="shared" si="8"/>
        <v>156</v>
      </c>
      <c r="B157" s="12">
        <v>227</v>
      </c>
      <c r="C157" s="20" t="s">
        <v>28</v>
      </c>
      <c r="D157" s="18">
        <v>45399</v>
      </c>
      <c r="E157" s="17">
        <v>0.40277777777777773</v>
      </c>
      <c r="F157" s="12" t="s">
        <v>531</v>
      </c>
      <c r="G157" s="18">
        <v>42726</v>
      </c>
      <c r="H157" s="12" t="str">
        <f t="shared" si="9"/>
        <v>7 г. 3 мес. 26 дн.</v>
      </c>
      <c r="I157" s="12" t="s">
        <v>121</v>
      </c>
      <c r="K157" s="12" t="s">
        <v>532</v>
      </c>
      <c r="L157" s="12" t="s">
        <v>533</v>
      </c>
      <c r="M157" s="12" t="s">
        <v>46</v>
      </c>
      <c r="O157" s="50" t="s">
        <v>87</v>
      </c>
      <c r="S157" s="12" t="s">
        <v>28</v>
      </c>
      <c r="T157" s="18">
        <v>45400</v>
      </c>
      <c r="U157" s="17">
        <v>0.51736111111111105</v>
      </c>
      <c r="V157" s="12" t="str">
        <f t="shared" si="10"/>
        <v>0 г. 0 мес. 1 дн.</v>
      </c>
      <c r="W157" s="22"/>
      <c r="X157" s="72"/>
    </row>
    <row r="158" spans="1:24" ht="35.1" customHeight="1" x14ac:dyDescent="0.25">
      <c r="A158" s="12">
        <f t="shared" si="8"/>
        <v>157</v>
      </c>
      <c r="B158" s="12">
        <v>779</v>
      </c>
      <c r="C158" s="20" t="s">
        <v>77</v>
      </c>
      <c r="D158" s="18">
        <v>45386</v>
      </c>
      <c r="E158" s="17">
        <v>0.91666666666666663</v>
      </c>
      <c r="F158" s="12" t="s">
        <v>534</v>
      </c>
      <c r="G158" s="18">
        <v>39611</v>
      </c>
      <c r="H158" s="12" t="str">
        <f t="shared" si="9"/>
        <v>15 г. 9 мес. 23 дн.</v>
      </c>
      <c r="I158" s="12" t="s">
        <v>119</v>
      </c>
      <c r="J158" s="12" t="s">
        <v>77</v>
      </c>
      <c r="K158" s="12" t="s">
        <v>535</v>
      </c>
      <c r="L158" s="12" t="s">
        <v>536</v>
      </c>
      <c r="M158" s="12" t="s">
        <v>52</v>
      </c>
      <c r="O158" s="12" t="s">
        <v>73</v>
      </c>
      <c r="S158" s="12" t="s">
        <v>77</v>
      </c>
      <c r="T158" s="18">
        <v>45390</v>
      </c>
      <c r="U158" s="17">
        <v>0.52569444444444446</v>
      </c>
      <c r="V158" s="12" t="str">
        <f t="shared" si="10"/>
        <v>0 г. 0 мес. 4 дн.</v>
      </c>
      <c r="W158" s="22"/>
      <c r="X158" s="72"/>
    </row>
    <row r="159" spans="1:24" ht="35.1" customHeight="1" x14ac:dyDescent="0.25">
      <c r="A159" s="12">
        <f t="shared" si="8"/>
        <v>158</v>
      </c>
      <c r="B159" s="12">
        <v>324</v>
      </c>
      <c r="C159" s="20" t="s">
        <v>26</v>
      </c>
      <c r="D159" s="18">
        <v>45391</v>
      </c>
      <c r="E159" s="17">
        <v>0.77569444444444446</v>
      </c>
      <c r="F159" s="12" t="s">
        <v>537</v>
      </c>
      <c r="G159" s="18">
        <v>40773</v>
      </c>
      <c r="H159" s="12" t="str">
        <f t="shared" si="9"/>
        <v>12 г. 7 мес. 22 дн.</v>
      </c>
      <c r="I159" s="12" t="s">
        <v>118</v>
      </c>
      <c r="K159" s="12" t="s">
        <v>538</v>
      </c>
      <c r="L159" s="12" t="s">
        <v>510</v>
      </c>
      <c r="M159" s="12" t="s">
        <v>43</v>
      </c>
      <c r="O159" s="12" t="s">
        <v>87</v>
      </c>
      <c r="S159" s="12" t="s">
        <v>29</v>
      </c>
      <c r="T159" s="18">
        <v>45392</v>
      </c>
      <c r="U159" s="17">
        <v>0.4375</v>
      </c>
      <c r="V159" s="12" t="str">
        <f t="shared" si="10"/>
        <v>0 г. 0 мес. 1 дн.</v>
      </c>
      <c r="W159" s="22"/>
      <c r="X159" s="72"/>
    </row>
    <row r="160" spans="1:24" ht="35.1" customHeight="1" x14ac:dyDescent="0.25">
      <c r="A160" s="12">
        <f t="shared" si="8"/>
        <v>159</v>
      </c>
      <c r="B160" s="12">
        <v>312</v>
      </c>
      <c r="C160" s="20" t="s">
        <v>26</v>
      </c>
      <c r="D160" s="18">
        <v>45388</v>
      </c>
      <c r="E160" s="17">
        <v>7.9861111111111105E-2</v>
      </c>
      <c r="F160" s="12" t="s">
        <v>539</v>
      </c>
      <c r="G160" s="18">
        <v>45018</v>
      </c>
      <c r="H160" s="12" t="str">
        <f t="shared" si="9"/>
        <v>1 г. 0 мес. 4 дн.</v>
      </c>
      <c r="I160" s="12" t="s">
        <v>121</v>
      </c>
      <c r="K160" s="12" t="s">
        <v>540</v>
      </c>
      <c r="L160" s="12" t="s">
        <v>541</v>
      </c>
      <c r="M160" s="12" t="s">
        <v>55</v>
      </c>
      <c r="N160" s="12">
        <v>48</v>
      </c>
      <c r="O160" s="12" t="s">
        <v>92</v>
      </c>
      <c r="R160" s="12" t="s">
        <v>103</v>
      </c>
      <c r="S160" s="12" t="s">
        <v>26</v>
      </c>
      <c r="T160" s="18">
        <v>45392</v>
      </c>
      <c r="U160" s="17">
        <v>0.48125000000000001</v>
      </c>
      <c r="V160" s="12" t="str">
        <f t="shared" si="10"/>
        <v>0 г. 0 мес. 4 дн.</v>
      </c>
      <c r="W160" s="22"/>
      <c r="X160" s="72"/>
    </row>
    <row r="161" spans="1:24" ht="35.1" customHeight="1" x14ac:dyDescent="0.25">
      <c r="A161" s="12">
        <f t="shared" si="8"/>
        <v>160</v>
      </c>
      <c r="B161" s="12">
        <v>328</v>
      </c>
      <c r="C161" s="20" t="s">
        <v>26</v>
      </c>
      <c r="D161" s="18">
        <v>45393</v>
      </c>
      <c r="E161" s="17">
        <v>0.3215277777777778</v>
      </c>
      <c r="F161" s="12" t="s">
        <v>542</v>
      </c>
      <c r="G161" s="18">
        <v>39531</v>
      </c>
      <c r="H161" s="12" t="str">
        <f t="shared" si="9"/>
        <v>16 г. 0 мес. 18 дн.</v>
      </c>
      <c r="I161" s="12" t="s">
        <v>118</v>
      </c>
      <c r="K161" s="12" t="s">
        <v>543</v>
      </c>
      <c r="L161" s="12" t="s">
        <v>544</v>
      </c>
      <c r="M161" s="12" t="s">
        <v>55</v>
      </c>
      <c r="O161" s="12" t="s">
        <v>87</v>
      </c>
      <c r="S161" s="12" t="s">
        <v>26</v>
      </c>
      <c r="T161" s="18">
        <v>45394</v>
      </c>
      <c r="U161" s="17">
        <v>0.46388888888888885</v>
      </c>
      <c r="V161" s="12" t="str">
        <f t="shared" si="10"/>
        <v>0 г. 0 мес. 1 дн.</v>
      </c>
      <c r="W161" s="22"/>
      <c r="X161" s="72"/>
    </row>
    <row r="162" spans="1:24" ht="35.1" customHeight="1" x14ac:dyDescent="0.25">
      <c r="A162" s="12">
        <f t="shared" si="8"/>
        <v>161</v>
      </c>
      <c r="B162" s="12">
        <v>305</v>
      </c>
      <c r="C162" s="20" t="s">
        <v>26</v>
      </c>
      <c r="D162" s="18">
        <v>45385</v>
      </c>
      <c r="E162" s="17">
        <v>0.54652777777777783</v>
      </c>
      <c r="F162" s="12" t="s">
        <v>548</v>
      </c>
      <c r="G162" s="18">
        <v>40406</v>
      </c>
      <c r="H162" s="12" t="str">
        <f t="shared" ref="H162:H193" si="11">DATEDIF(G162,D162,"y") &amp; " г. " &amp; DATEDIF(G162,D162,"ym") &amp; " мес. " &amp; DATEDIF(G162,D162,"md") &amp; " дн."</f>
        <v>13 г. 7 мес. 18 дн.</v>
      </c>
      <c r="I162" s="12" t="s">
        <v>118</v>
      </c>
      <c r="K162" s="12" t="s">
        <v>549</v>
      </c>
      <c r="L162" s="12" t="s">
        <v>510</v>
      </c>
      <c r="M162" s="12" t="s">
        <v>43</v>
      </c>
      <c r="O162" s="12" t="s">
        <v>87</v>
      </c>
      <c r="S162" s="12" t="s">
        <v>29</v>
      </c>
      <c r="T162" s="18">
        <v>45386</v>
      </c>
      <c r="U162" s="17">
        <v>0.52083333333333337</v>
      </c>
      <c r="V162" s="12" t="str">
        <f t="shared" si="10"/>
        <v>0 г. 0 мес. 1 дн.</v>
      </c>
      <c r="W162" s="22"/>
      <c r="X162" s="72"/>
    </row>
    <row r="163" spans="1:24" ht="35.1" customHeight="1" x14ac:dyDescent="0.25">
      <c r="A163" s="12">
        <f t="shared" si="8"/>
        <v>162</v>
      </c>
      <c r="B163" s="12">
        <v>800</v>
      </c>
      <c r="C163" s="20" t="s">
        <v>77</v>
      </c>
      <c r="D163" s="18">
        <v>45390</v>
      </c>
      <c r="E163" s="17">
        <v>1.0416666666666666E-2</v>
      </c>
      <c r="F163" s="12" t="s">
        <v>550</v>
      </c>
      <c r="G163" s="18">
        <v>42394</v>
      </c>
      <c r="H163" s="12" t="str">
        <f t="shared" si="11"/>
        <v>8 г. 2 мес. 14 дн.</v>
      </c>
      <c r="I163" s="12" t="s">
        <v>119</v>
      </c>
      <c r="J163" s="12" t="s">
        <v>77</v>
      </c>
      <c r="K163" s="12" t="s">
        <v>552</v>
      </c>
      <c r="L163" s="12" t="s">
        <v>551</v>
      </c>
      <c r="M163" s="12" t="s">
        <v>49</v>
      </c>
      <c r="O163" s="12" t="s">
        <v>73</v>
      </c>
      <c r="P163" s="12" t="s">
        <v>94</v>
      </c>
      <c r="S163" s="12" t="s">
        <v>77</v>
      </c>
      <c r="T163" s="18">
        <v>45392</v>
      </c>
      <c r="U163" s="17">
        <v>0.45833333333333331</v>
      </c>
      <c r="V163" s="12" t="str">
        <f t="shared" si="10"/>
        <v>0 г. 0 мес. 2 дн.</v>
      </c>
      <c r="W163" s="22"/>
      <c r="X163" s="72"/>
    </row>
    <row r="164" spans="1:24" ht="35.1" customHeight="1" x14ac:dyDescent="0.25">
      <c r="A164" s="12">
        <f t="shared" si="8"/>
        <v>163</v>
      </c>
      <c r="B164" s="12">
        <v>167</v>
      </c>
      <c r="C164" s="20" t="s">
        <v>24</v>
      </c>
      <c r="D164" s="18">
        <v>45388</v>
      </c>
      <c r="E164" s="17">
        <v>0.90625</v>
      </c>
      <c r="F164" s="12" t="s">
        <v>553</v>
      </c>
      <c r="G164" s="18">
        <v>42385</v>
      </c>
      <c r="H164" s="12" t="str">
        <f t="shared" si="11"/>
        <v>8 г. 2 мес. 21 дн.</v>
      </c>
      <c r="I164" s="12" t="s">
        <v>118</v>
      </c>
      <c r="K164" s="12" t="s">
        <v>554</v>
      </c>
      <c r="L164" s="12" t="s">
        <v>555</v>
      </c>
      <c r="M164" s="12" t="s">
        <v>50</v>
      </c>
      <c r="O164" s="12" t="s">
        <v>87</v>
      </c>
      <c r="S164" s="12" t="s">
        <v>24</v>
      </c>
      <c r="T164" s="18">
        <v>45390</v>
      </c>
      <c r="U164" s="17">
        <v>0.45833333333333331</v>
      </c>
      <c r="V164" s="12" t="str">
        <f t="shared" si="10"/>
        <v>0 г. 0 мес. 2 дн.</v>
      </c>
      <c r="W164" s="22"/>
      <c r="X164" s="72"/>
    </row>
    <row r="165" spans="1:24" ht="35.1" customHeight="1" x14ac:dyDescent="0.25">
      <c r="A165" s="12">
        <f t="shared" si="8"/>
        <v>164</v>
      </c>
      <c r="B165" s="12">
        <v>167</v>
      </c>
      <c r="C165" s="20" t="s">
        <v>24</v>
      </c>
      <c r="D165" s="18">
        <v>45391</v>
      </c>
      <c r="E165" s="17">
        <v>0.91666666666666663</v>
      </c>
      <c r="F165" s="12" t="s">
        <v>553</v>
      </c>
      <c r="G165" s="18">
        <v>42385</v>
      </c>
      <c r="H165" s="12" t="str">
        <f t="shared" si="11"/>
        <v>8 г. 2 мес. 24 дн.</v>
      </c>
      <c r="I165" s="12" t="s">
        <v>123</v>
      </c>
      <c r="J165" s="12" t="s">
        <v>24</v>
      </c>
      <c r="K165" s="12" t="s">
        <v>554</v>
      </c>
      <c r="L165" s="12" t="s">
        <v>555</v>
      </c>
      <c r="M165" s="12" t="s">
        <v>50</v>
      </c>
      <c r="O165" s="12" t="s">
        <v>87</v>
      </c>
      <c r="S165" s="12" t="s">
        <v>24</v>
      </c>
      <c r="T165" s="18">
        <v>45393</v>
      </c>
      <c r="U165" s="17">
        <v>0.45833333333333331</v>
      </c>
      <c r="V165" s="12" t="str">
        <f t="shared" si="10"/>
        <v>0 г. 0 мес. 2 дн.</v>
      </c>
      <c r="W165" s="22"/>
      <c r="X165" s="72"/>
    </row>
    <row r="166" spans="1:24" ht="35.1" customHeight="1" x14ac:dyDescent="0.25">
      <c r="A166" s="12">
        <f t="shared" si="8"/>
        <v>165</v>
      </c>
      <c r="B166" s="12">
        <v>327</v>
      </c>
      <c r="C166" s="20" t="s">
        <v>26</v>
      </c>
      <c r="D166" s="18">
        <v>45393</v>
      </c>
      <c r="E166" s="17">
        <v>0.2986111111111111</v>
      </c>
      <c r="F166" s="12" t="s">
        <v>556</v>
      </c>
      <c r="G166" s="18">
        <v>39897</v>
      </c>
      <c r="H166" s="12" t="str">
        <f t="shared" si="11"/>
        <v>15 г. 0 мес. 17 дн.</v>
      </c>
      <c r="I166" s="12" t="s">
        <v>118</v>
      </c>
      <c r="K166" s="12" t="s">
        <v>558</v>
      </c>
      <c r="L166" s="12" t="s">
        <v>557</v>
      </c>
      <c r="M166" s="12" t="s">
        <v>55</v>
      </c>
      <c r="O166" s="12" t="s">
        <v>87</v>
      </c>
      <c r="S166" s="12" t="s">
        <v>26</v>
      </c>
      <c r="T166" s="18">
        <v>45394</v>
      </c>
      <c r="U166" s="17">
        <v>0.44236111111111115</v>
      </c>
      <c r="V166" s="12" t="str">
        <f t="shared" si="10"/>
        <v>0 г. 0 мес. 1 дн.</v>
      </c>
      <c r="W166" s="22"/>
      <c r="X166" s="72"/>
    </row>
    <row r="167" spans="1:24" ht="35.1" customHeight="1" x14ac:dyDescent="0.25">
      <c r="A167" s="12">
        <f t="shared" si="8"/>
        <v>166</v>
      </c>
      <c r="B167" s="12">
        <v>466</v>
      </c>
      <c r="C167" s="20" t="s">
        <v>23</v>
      </c>
      <c r="D167" s="18">
        <v>45391</v>
      </c>
      <c r="E167" s="17">
        <v>0.59722222222222221</v>
      </c>
      <c r="F167" s="12" t="s">
        <v>559</v>
      </c>
      <c r="G167" s="18">
        <v>41530</v>
      </c>
      <c r="H167" s="12" t="str">
        <f t="shared" si="11"/>
        <v>10 г. 6 мес. 27 дн.</v>
      </c>
      <c r="I167" s="12" t="s">
        <v>118</v>
      </c>
      <c r="K167" s="12" t="s">
        <v>560</v>
      </c>
      <c r="L167" s="12" t="s">
        <v>561</v>
      </c>
      <c r="M167" s="12" t="s">
        <v>52</v>
      </c>
      <c r="O167" s="12" t="s">
        <v>87</v>
      </c>
      <c r="S167" s="12" t="s">
        <v>23</v>
      </c>
      <c r="T167" s="18">
        <v>45392</v>
      </c>
      <c r="U167" s="17">
        <v>0.44097222222222227</v>
      </c>
      <c r="V167" s="12" t="str">
        <f t="shared" si="10"/>
        <v>0 г. 0 мес. 1 дн.</v>
      </c>
      <c r="W167" s="22"/>
      <c r="X167" s="72"/>
    </row>
    <row r="168" spans="1:24" ht="35.1" customHeight="1" x14ac:dyDescent="0.25">
      <c r="A168" s="12">
        <f t="shared" si="8"/>
        <v>167</v>
      </c>
      <c r="B168" s="12">
        <v>326</v>
      </c>
      <c r="C168" s="20" t="s">
        <v>26</v>
      </c>
      <c r="D168" s="18">
        <v>45393</v>
      </c>
      <c r="E168" s="17">
        <v>0.28888888888888892</v>
      </c>
      <c r="F168" s="12" t="s">
        <v>566</v>
      </c>
      <c r="G168" s="18">
        <v>38831</v>
      </c>
      <c r="H168" s="12" t="str">
        <f t="shared" si="11"/>
        <v>17 г. 11 мес. 18 дн.</v>
      </c>
      <c r="I168" s="12" t="s">
        <v>118</v>
      </c>
      <c r="K168" s="12" t="s">
        <v>567</v>
      </c>
      <c r="L168" s="12" t="s">
        <v>557</v>
      </c>
      <c r="M168" s="12" t="s">
        <v>55</v>
      </c>
      <c r="O168" s="12" t="s">
        <v>87</v>
      </c>
      <c r="S168" s="12" t="s">
        <v>29</v>
      </c>
      <c r="T168" s="18">
        <v>45393</v>
      </c>
      <c r="U168" s="17">
        <v>0.50763888888888886</v>
      </c>
      <c r="V168" s="12" t="str">
        <f t="shared" si="10"/>
        <v>0 г. 0 мес. 0 дн.</v>
      </c>
      <c r="W168" s="22"/>
      <c r="X168" s="72"/>
    </row>
    <row r="169" spans="1:24" ht="35.1" customHeight="1" x14ac:dyDescent="0.25">
      <c r="A169" s="51">
        <f t="shared" si="8"/>
        <v>168</v>
      </c>
      <c r="B169" s="51">
        <v>331</v>
      </c>
      <c r="C169" s="52" t="s">
        <v>26</v>
      </c>
      <c r="D169" s="53">
        <v>45394</v>
      </c>
      <c r="E169" s="54">
        <v>8.3333333333333329E-2</v>
      </c>
      <c r="F169" s="51" t="s">
        <v>568</v>
      </c>
      <c r="G169" s="53">
        <v>42803</v>
      </c>
      <c r="H169" s="51" t="str">
        <f t="shared" si="11"/>
        <v>7 г. 1 мес. 3 дн.</v>
      </c>
      <c r="I169" s="51" t="s">
        <v>121</v>
      </c>
      <c r="J169" s="51"/>
      <c r="K169" s="51" t="s">
        <v>569</v>
      </c>
      <c r="L169" s="51" t="s">
        <v>570</v>
      </c>
      <c r="M169" s="51" t="s">
        <v>41</v>
      </c>
      <c r="N169" s="51">
        <v>1</v>
      </c>
      <c r="O169" s="51" t="s">
        <v>87</v>
      </c>
      <c r="P169" s="51"/>
      <c r="Q169" s="51"/>
      <c r="R169" s="51"/>
      <c r="S169" s="51" t="s">
        <v>30</v>
      </c>
      <c r="T169" s="53">
        <v>45394</v>
      </c>
      <c r="U169" s="54">
        <v>0.23958333333333334</v>
      </c>
      <c r="V169" s="51" t="str">
        <f t="shared" si="10"/>
        <v>0 г. 0 мес. 0 дн.</v>
      </c>
      <c r="W169" s="55"/>
      <c r="X169" s="72"/>
    </row>
    <row r="170" spans="1:24" ht="35.1" customHeight="1" x14ac:dyDescent="0.25">
      <c r="A170" s="12">
        <f t="shared" si="8"/>
        <v>169</v>
      </c>
      <c r="B170" s="12">
        <v>878</v>
      </c>
      <c r="C170" s="20" t="s">
        <v>77</v>
      </c>
      <c r="D170" s="18">
        <v>45399</v>
      </c>
      <c r="E170" s="17">
        <v>0.72916666666666663</v>
      </c>
      <c r="F170" s="12" t="s">
        <v>571</v>
      </c>
      <c r="G170" s="18">
        <v>42019</v>
      </c>
      <c r="H170" s="12" t="str">
        <f t="shared" si="11"/>
        <v>9 г. 3 мес. 2 дн.</v>
      </c>
      <c r="I170" s="12" t="s">
        <v>119</v>
      </c>
      <c r="J170" s="12" t="s">
        <v>77</v>
      </c>
      <c r="K170" s="12" t="s">
        <v>572</v>
      </c>
      <c r="L170" s="12" t="s">
        <v>573</v>
      </c>
      <c r="M170" s="12" t="s">
        <v>49</v>
      </c>
      <c r="O170" s="12" t="s">
        <v>73</v>
      </c>
      <c r="P170" s="12" t="s">
        <v>94</v>
      </c>
      <c r="S170" s="12" t="s">
        <v>77</v>
      </c>
      <c r="T170" s="18">
        <v>45399</v>
      </c>
      <c r="U170" s="17">
        <v>0.5</v>
      </c>
      <c r="V170" s="12" t="str">
        <f t="shared" si="10"/>
        <v>0 г. 0 мес. 0 дн.</v>
      </c>
      <c r="W170" s="22"/>
      <c r="X170" s="72"/>
    </row>
    <row r="171" spans="1:24" ht="35.1" customHeight="1" x14ac:dyDescent="0.25">
      <c r="A171" s="51">
        <f t="shared" si="8"/>
        <v>170</v>
      </c>
      <c r="B171" s="51"/>
      <c r="C171" s="52" t="s">
        <v>77</v>
      </c>
      <c r="D171" s="53">
        <v>45400</v>
      </c>
      <c r="E171" s="54">
        <v>0.61111111111111105</v>
      </c>
      <c r="F171" s="51" t="s">
        <v>574</v>
      </c>
      <c r="G171" s="53">
        <v>45375</v>
      </c>
      <c r="H171" s="51" t="str">
        <f t="shared" si="11"/>
        <v>0 г. 0 мес. 25 дн.</v>
      </c>
      <c r="I171" s="51" t="s">
        <v>121</v>
      </c>
      <c r="J171" s="51"/>
      <c r="K171" s="51" t="s">
        <v>575</v>
      </c>
      <c r="L171" s="51" t="s">
        <v>576</v>
      </c>
      <c r="M171" s="51" t="s">
        <v>49</v>
      </c>
      <c r="N171" s="51"/>
      <c r="O171" s="51" t="s">
        <v>73</v>
      </c>
      <c r="P171" s="51"/>
      <c r="Q171" s="51"/>
      <c r="R171" s="51"/>
      <c r="S171" s="51" t="s">
        <v>30</v>
      </c>
      <c r="T171" s="53">
        <v>45408</v>
      </c>
      <c r="U171" s="54"/>
      <c r="V171" s="51" t="str">
        <f t="shared" si="10"/>
        <v>0 г. 0 мес. 8 дн.</v>
      </c>
      <c r="W171" s="55"/>
      <c r="X171" s="72"/>
    </row>
    <row r="172" spans="1:24" ht="35.1" customHeight="1" x14ac:dyDescent="0.25">
      <c r="A172" s="12">
        <f t="shared" si="8"/>
        <v>171</v>
      </c>
      <c r="B172" s="12">
        <v>525</v>
      </c>
      <c r="C172" s="20" t="s">
        <v>23</v>
      </c>
      <c r="D172" s="18">
        <v>45401</v>
      </c>
      <c r="E172" s="17">
        <v>0.58680555555555558</v>
      </c>
      <c r="F172" s="12" t="s">
        <v>577</v>
      </c>
      <c r="G172" s="18">
        <v>41199</v>
      </c>
      <c r="H172" s="12" t="str">
        <f t="shared" si="11"/>
        <v>11 г. 6 мес. 2 дн.</v>
      </c>
      <c r="I172" s="12" t="s">
        <v>118</v>
      </c>
      <c r="K172" s="12" t="s">
        <v>578</v>
      </c>
      <c r="L172" s="12" t="s">
        <v>404</v>
      </c>
      <c r="M172" s="12" t="s">
        <v>52</v>
      </c>
      <c r="O172" s="12" t="s">
        <v>87</v>
      </c>
      <c r="S172" s="12" t="s">
        <v>23</v>
      </c>
      <c r="T172" s="18">
        <v>45403</v>
      </c>
      <c r="U172" s="17">
        <v>0.5</v>
      </c>
      <c r="V172" s="12" t="str">
        <f t="shared" si="10"/>
        <v>0 г. 0 мес. 2 дн.</v>
      </c>
      <c r="W172" s="22"/>
      <c r="X172" s="72"/>
    </row>
    <row r="173" spans="1:24" ht="35.1" customHeight="1" x14ac:dyDescent="0.25">
      <c r="A173" s="12">
        <f t="shared" si="8"/>
        <v>172</v>
      </c>
      <c r="B173" s="12">
        <v>354</v>
      </c>
      <c r="C173" s="20" t="s">
        <v>26</v>
      </c>
      <c r="D173" s="18">
        <v>45402</v>
      </c>
      <c r="E173" s="17">
        <v>0.81944444444444453</v>
      </c>
      <c r="F173" s="12" t="s">
        <v>579</v>
      </c>
      <c r="G173" s="18">
        <v>40344</v>
      </c>
      <c r="H173" s="12" t="str">
        <f t="shared" si="11"/>
        <v>13 г. 10 мес. 5 дн.</v>
      </c>
      <c r="I173" s="12" t="s">
        <v>118</v>
      </c>
      <c r="K173" s="12" t="s">
        <v>580</v>
      </c>
      <c r="L173" s="12" t="s">
        <v>148</v>
      </c>
      <c r="M173" s="12" t="s">
        <v>55</v>
      </c>
      <c r="O173" s="12" t="s">
        <v>87</v>
      </c>
      <c r="S173" s="12" t="s">
        <v>26</v>
      </c>
      <c r="T173" s="18">
        <v>45403</v>
      </c>
      <c r="U173" s="17">
        <v>0.41666666666666669</v>
      </c>
      <c r="V173" s="12" t="str">
        <f t="shared" si="10"/>
        <v>0 г. 0 мес. 1 дн.</v>
      </c>
      <c r="W173" s="22"/>
      <c r="X173" s="72"/>
    </row>
    <row r="174" spans="1:24" ht="35.1" customHeight="1" x14ac:dyDescent="0.25">
      <c r="A174" s="12">
        <f t="shared" si="8"/>
        <v>173</v>
      </c>
      <c r="B174" s="12">
        <v>355</v>
      </c>
      <c r="C174" s="20" t="s">
        <v>26</v>
      </c>
      <c r="D174" s="18">
        <v>45402</v>
      </c>
      <c r="E174" s="17">
        <v>0.83333333333333337</v>
      </c>
      <c r="F174" s="12" t="s">
        <v>581</v>
      </c>
      <c r="G174" s="18">
        <v>40334</v>
      </c>
      <c r="H174" s="12" t="str">
        <f t="shared" si="11"/>
        <v>13 г. 10 мес. 15 дн.</v>
      </c>
      <c r="I174" s="12" t="s">
        <v>118</v>
      </c>
      <c r="K174" s="12" t="s">
        <v>582</v>
      </c>
      <c r="L174" s="12" t="s">
        <v>148</v>
      </c>
      <c r="M174" s="12" t="s">
        <v>55</v>
      </c>
      <c r="O174" s="12" t="s">
        <v>87</v>
      </c>
      <c r="S174" s="12" t="s">
        <v>26</v>
      </c>
      <c r="T174" s="18">
        <v>45403</v>
      </c>
      <c r="U174" s="17">
        <v>0.45833333333333331</v>
      </c>
      <c r="V174" s="12" t="str">
        <f t="shared" si="10"/>
        <v>0 г. 0 мес. 1 дн.</v>
      </c>
      <c r="W174" s="22"/>
      <c r="X174" s="72"/>
    </row>
    <row r="175" spans="1:24" ht="35.1" customHeight="1" x14ac:dyDescent="0.25">
      <c r="A175" s="12">
        <f t="shared" si="8"/>
        <v>174</v>
      </c>
      <c r="B175" s="12">
        <v>922</v>
      </c>
      <c r="C175" s="20" t="s">
        <v>77</v>
      </c>
      <c r="D175" s="18">
        <v>45403</v>
      </c>
      <c r="E175" s="17">
        <v>0.57638888888888895</v>
      </c>
      <c r="F175" s="12" t="s">
        <v>583</v>
      </c>
      <c r="G175" s="18">
        <v>43899</v>
      </c>
      <c r="H175" s="12" t="str">
        <f t="shared" si="11"/>
        <v>4 г. 1 мес. 12 дн.</v>
      </c>
      <c r="I175" s="12" t="s">
        <v>118</v>
      </c>
      <c r="K175" s="12" t="s">
        <v>584</v>
      </c>
      <c r="L175" s="12" t="s">
        <v>585</v>
      </c>
      <c r="M175" s="12" t="s">
        <v>52</v>
      </c>
      <c r="O175" s="12" t="s">
        <v>87</v>
      </c>
      <c r="S175" s="12" t="s">
        <v>77</v>
      </c>
      <c r="T175" s="18">
        <v>45403</v>
      </c>
      <c r="U175" s="17">
        <v>0.79166666666666663</v>
      </c>
      <c r="V175" s="12" t="str">
        <f t="shared" si="10"/>
        <v>0 г. 0 мес. 0 дн.</v>
      </c>
      <c r="W175" s="22"/>
      <c r="X175" s="72"/>
    </row>
    <row r="176" spans="1:24" ht="35.1" customHeight="1" x14ac:dyDescent="0.25">
      <c r="A176" s="12">
        <f t="shared" si="8"/>
        <v>175</v>
      </c>
      <c r="B176" s="12">
        <v>359</v>
      </c>
      <c r="C176" s="20" t="s">
        <v>80</v>
      </c>
      <c r="D176" s="18">
        <v>45404</v>
      </c>
      <c r="E176" s="17">
        <v>0.47916666666666669</v>
      </c>
      <c r="F176" s="12" t="s">
        <v>138</v>
      </c>
      <c r="G176" s="18">
        <v>45024</v>
      </c>
      <c r="H176" s="12" t="str">
        <f t="shared" si="11"/>
        <v>1 г. 0 мес. 14 дн.</v>
      </c>
      <c r="I176" s="12" t="s">
        <v>118</v>
      </c>
      <c r="K176" s="12" t="s">
        <v>587</v>
      </c>
      <c r="L176" s="12" t="s">
        <v>586</v>
      </c>
      <c r="M176" s="12" t="s">
        <v>48</v>
      </c>
      <c r="O176" s="12" t="s">
        <v>87</v>
      </c>
      <c r="S176" s="12" t="s">
        <v>80</v>
      </c>
      <c r="T176" s="18">
        <v>45405</v>
      </c>
      <c r="U176" s="17">
        <v>0.5</v>
      </c>
      <c r="V176" s="12" t="str">
        <f t="shared" si="10"/>
        <v>0 г. 0 мес. 1 дн.</v>
      </c>
      <c r="W176" s="22"/>
      <c r="X176" s="72"/>
    </row>
    <row r="177" spans="1:24" ht="35.1" customHeight="1" x14ac:dyDescent="0.25">
      <c r="A177" s="12">
        <f t="shared" si="8"/>
        <v>176</v>
      </c>
      <c r="B177" s="12">
        <v>966</v>
      </c>
      <c r="C177" s="20" t="s">
        <v>26</v>
      </c>
      <c r="D177" s="18">
        <v>45405</v>
      </c>
      <c r="E177" s="17">
        <v>0.66666666666666663</v>
      </c>
      <c r="F177" s="12" t="s">
        <v>599</v>
      </c>
      <c r="G177" s="18">
        <v>44630</v>
      </c>
      <c r="H177" s="12" t="str">
        <f t="shared" si="11"/>
        <v>2 г. 1 мес. 13 дн.</v>
      </c>
      <c r="I177" s="12" t="s">
        <v>120</v>
      </c>
      <c r="J177" s="12" t="s">
        <v>26</v>
      </c>
      <c r="K177" s="12" t="s">
        <v>588</v>
      </c>
      <c r="L177" s="12" t="s">
        <v>589</v>
      </c>
      <c r="M177" s="12" t="s">
        <v>48</v>
      </c>
      <c r="O177" s="12" t="s">
        <v>87</v>
      </c>
      <c r="S177" s="12" t="s">
        <v>77</v>
      </c>
      <c r="T177" s="18">
        <v>45406</v>
      </c>
      <c r="U177" s="17">
        <v>0.5</v>
      </c>
      <c r="V177" s="12" t="str">
        <f t="shared" si="10"/>
        <v>0 г. 0 мес. 1 дн.</v>
      </c>
      <c r="W177" s="22"/>
      <c r="X177" s="72"/>
    </row>
    <row r="178" spans="1:24" ht="35.1" customHeight="1" x14ac:dyDescent="0.25">
      <c r="A178" s="12">
        <f t="shared" si="8"/>
        <v>177</v>
      </c>
      <c r="B178" s="12">
        <v>939</v>
      </c>
      <c r="C178" s="20" t="s">
        <v>77</v>
      </c>
      <c r="D178" s="18">
        <v>45404</v>
      </c>
      <c r="E178" s="17">
        <v>0.80555555555555547</v>
      </c>
      <c r="F178" s="12" t="s">
        <v>590</v>
      </c>
      <c r="G178" s="18">
        <v>45364</v>
      </c>
      <c r="H178" s="12" t="str">
        <f t="shared" si="11"/>
        <v>0 г. 1 мес. 9 дн.</v>
      </c>
      <c r="I178" s="12" t="s">
        <v>118</v>
      </c>
      <c r="K178" s="12" t="s">
        <v>591</v>
      </c>
      <c r="L178" s="12" t="s">
        <v>592</v>
      </c>
      <c r="M178" s="12" t="s">
        <v>49</v>
      </c>
      <c r="O178" s="12" t="s">
        <v>87</v>
      </c>
      <c r="S178" s="12" t="s">
        <v>77</v>
      </c>
      <c r="T178" s="18">
        <v>45407</v>
      </c>
      <c r="U178" s="17">
        <v>0.5</v>
      </c>
      <c r="V178" s="12" t="str">
        <f t="shared" si="10"/>
        <v>0 г. 0 мес. 3 дн.</v>
      </c>
      <c r="W178" s="22"/>
      <c r="X178" s="72"/>
    </row>
    <row r="179" spans="1:24" ht="35.1" customHeight="1" x14ac:dyDescent="0.25">
      <c r="A179" s="12">
        <f t="shared" si="8"/>
        <v>178</v>
      </c>
      <c r="B179" s="12">
        <v>995</v>
      </c>
      <c r="C179" s="20" t="s">
        <v>77</v>
      </c>
      <c r="D179" s="18">
        <v>45407</v>
      </c>
      <c r="E179" s="17">
        <v>0.45833333333333331</v>
      </c>
      <c r="F179" s="12" t="s">
        <v>597</v>
      </c>
      <c r="G179" s="18">
        <v>40850</v>
      </c>
      <c r="H179" s="12" t="str">
        <f t="shared" si="11"/>
        <v>12 г. 5 мес. 22 дн.</v>
      </c>
      <c r="I179" s="12" t="s">
        <v>119</v>
      </c>
      <c r="J179" s="12" t="s">
        <v>77</v>
      </c>
      <c r="K179" s="12" t="s">
        <v>598</v>
      </c>
      <c r="L179" s="12" t="s">
        <v>251</v>
      </c>
      <c r="M179" s="12" t="s">
        <v>49</v>
      </c>
      <c r="O179" s="12" t="s">
        <v>87</v>
      </c>
      <c r="S179" s="12" t="s">
        <v>77</v>
      </c>
      <c r="T179" s="18">
        <v>45408</v>
      </c>
      <c r="U179" s="17">
        <v>0.4375</v>
      </c>
      <c r="V179" s="12" t="str">
        <f t="shared" si="10"/>
        <v>0 г. 0 мес. 1 дн.</v>
      </c>
      <c r="W179" s="22"/>
      <c r="X179" s="72"/>
    </row>
    <row r="180" spans="1:24" ht="35.1" customHeight="1" x14ac:dyDescent="0.25">
      <c r="A180" s="12">
        <f t="shared" si="8"/>
        <v>179</v>
      </c>
      <c r="B180" s="12">
        <v>245</v>
      </c>
      <c r="C180" s="20" t="s">
        <v>28</v>
      </c>
      <c r="D180" s="18">
        <v>45407</v>
      </c>
      <c r="E180" s="17">
        <v>0.52777777777777779</v>
      </c>
      <c r="F180" s="12" t="s">
        <v>600</v>
      </c>
      <c r="G180" s="18">
        <v>45375</v>
      </c>
      <c r="H180" s="12" t="str">
        <f t="shared" si="11"/>
        <v>0 г. 1 мес. 1 дн.</v>
      </c>
      <c r="I180" s="12" t="s">
        <v>122</v>
      </c>
      <c r="K180" s="12" t="s">
        <v>601</v>
      </c>
      <c r="L180" s="12" t="s">
        <v>593</v>
      </c>
      <c r="M180" s="12" t="s">
        <v>46</v>
      </c>
      <c r="N180" s="12">
        <v>4300</v>
      </c>
      <c r="O180" s="12" t="s">
        <v>93</v>
      </c>
      <c r="Q180" s="12" t="s">
        <v>127</v>
      </c>
      <c r="R180" s="12" t="s">
        <v>106</v>
      </c>
      <c r="S180" s="12" t="s">
        <v>27</v>
      </c>
      <c r="T180" s="18">
        <v>45555</v>
      </c>
      <c r="U180" s="17">
        <v>0.99652777777777779</v>
      </c>
      <c r="V180" s="12" t="str">
        <f t="shared" si="10"/>
        <v>0 г. 4 мес. 26 дн.</v>
      </c>
      <c r="W180" s="22"/>
      <c r="X180" s="72"/>
    </row>
    <row r="181" spans="1:24" ht="35.1" customHeight="1" x14ac:dyDescent="0.25">
      <c r="A181" s="12">
        <f t="shared" si="8"/>
        <v>180</v>
      </c>
      <c r="B181" s="21">
        <v>984</v>
      </c>
      <c r="C181" s="20" t="s">
        <v>77</v>
      </c>
      <c r="D181" s="18">
        <v>45408</v>
      </c>
      <c r="E181" s="17">
        <v>0.52777777777777779</v>
      </c>
      <c r="F181" s="12" t="s">
        <v>594</v>
      </c>
      <c r="G181" s="18">
        <v>44976</v>
      </c>
      <c r="H181" s="12" t="str">
        <f t="shared" si="11"/>
        <v>1 г. 2 мес. 7 дн.</v>
      </c>
      <c r="I181" s="12" t="s">
        <v>118</v>
      </c>
      <c r="K181" s="12" t="s">
        <v>595</v>
      </c>
      <c r="L181" s="12" t="s">
        <v>596</v>
      </c>
      <c r="M181" s="12" t="s">
        <v>54</v>
      </c>
      <c r="N181" s="21"/>
      <c r="O181" s="12" t="s">
        <v>73</v>
      </c>
      <c r="P181" s="21"/>
      <c r="Q181" s="21"/>
      <c r="R181" s="21"/>
      <c r="S181" s="12" t="s">
        <v>77</v>
      </c>
      <c r="T181" s="18">
        <v>45410</v>
      </c>
      <c r="U181" s="17">
        <v>0.4375</v>
      </c>
      <c r="V181" s="12" t="str">
        <f t="shared" si="10"/>
        <v>0 г. 0 мес. 2 дн.</v>
      </c>
      <c r="W181" s="22"/>
      <c r="X181" s="72"/>
    </row>
    <row r="182" spans="1:24" ht="35.1" customHeight="1" x14ac:dyDescent="0.25">
      <c r="A182" s="12">
        <f t="shared" si="8"/>
        <v>181</v>
      </c>
      <c r="B182" s="12">
        <v>369</v>
      </c>
      <c r="C182" s="20" t="s">
        <v>26</v>
      </c>
      <c r="D182" s="18">
        <v>45410</v>
      </c>
      <c r="E182" s="17">
        <v>0.72222222222222221</v>
      </c>
      <c r="F182" s="12" t="s">
        <v>602</v>
      </c>
      <c r="G182" s="18">
        <v>43870</v>
      </c>
      <c r="H182" s="12" t="str">
        <f t="shared" si="11"/>
        <v>4 г. 2 мес. 19 дн.</v>
      </c>
      <c r="I182" s="12" t="s">
        <v>121</v>
      </c>
      <c r="K182" s="12" t="s">
        <v>603</v>
      </c>
      <c r="L182" s="12" t="s">
        <v>604</v>
      </c>
      <c r="M182" s="12" t="s">
        <v>43</v>
      </c>
      <c r="O182" s="12" t="s">
        <v>87</v>
      </c>
      <c r="S182" s="12" t="s">
        <v>26</v>
      </c>
      <c r="T182" s="18">
        <v>45411</v>
      </c>
      <c r="U182" s="17">
        <v>0.5</v>
      </c>
      <c r="V182" s="12" t="str">
        <f t="shared" si="10"/>
        <v>0 г. 0 мес. 1 дн.</v>
      </c>
      <c r="W182" s="22"/>
      <c r="X182" s="72"/>
    </row>
    <row r="183" spans="1:24" ht="35.1" customHeight="1" x14ac:dyDescent="0.25">
      <c r="A183" s="12">
        <f t="shared" si="8"/>
        <v>182</v>
      </c>
      <c r="B183" s="12">
        <v>569</v>
      </c>
      <c r="C183" s="20" t="s">
        <v>23</v>
      </c>
      <c r="D183" s="18">
        <v>45411</v>
      </c>
      <c r="E183" s="17">
        <v>0.88541666666666663</v>
      </c>
      <c r="F183" s="12" t="s">
        <v>605</v>
      </c>
      <c r="G183" s="18">
        <v>44749</v>
      </c>
      <c r="H183" s="12" t="str">
        <f t="shared" si="11"/>
        <v>1 г. 9 мес. 22 дн.</v>
      </c>
      <c r="I183" s="12" t="s">
        <v>118</v>
      </c>
      <c r="K183" s="12" t="s">
        <v>606</v>
      </c>
      <c r="L183" s="12" t="s">
        <v>607</v>
      </c>
      <c r="M183" s="12" t="s">
        <v>52</v>
      </c>
      <c r="O183" s="12" t="s">
        <v>87</v>
      </c>
      <c r="S183" s="12" t="s">
        <v>23</v>
      </c>
      <c r="T183" s="18">
        <v>45412</v>
      </c>
      <c r="U183" s="17">
        <v>0.41666666666666669</v>
      </c>
      <c r="V183" s="12" t="str">
        <f t="shared" si="10"/>
        <v>0 г. 0 мес. 1 дн.</v>
      </c>
      <c r="W183" s="22"/>
      <c r="X183" s="72"/>
    </row>
    <row r="184" spans="1:24" ht="35.1" customHeight="1" x14ac:dyDescent="0.25">
      <c r="A184" s="12">
        <f t="shared" si="8"/>
        <v>183</v>
      </c>
      <c r="B184" s="12">
        <v>372</v>
      </c>
      <c r="C184" s="20" t="s">
        <v>26</v>
      </c>
      <c r="D184" s="18">
        <v>45412</v>
      </c>
      <c r="E184" s="17">
        <v>0.70833333333333337</v>
      </c>
      <c r="F184" s="12" t="s">
        <v>608</v>
      </c>
      <c r="G184" s="18">
        <v>45176</v>
      </c>
      <c r="H184" s="12" t="str">
        <f t="shared" si="11"/>
        <v>0 г. 7 мес. 23 дн.</v>
      </c>
      <c r="I184" s="12" t="s">
        <v>118</v>
      </c>
      <c r="K184" s="12" t="s">
        <v>609</v>
      </c>
      <c r="L184" s="12" t="s">
        <v>610</v>
      </c>
      <c r="M184" s="12" t="s">
        <v>42</v>
      </c>
      <c r="O184" s="12" t="s">
        <v>87</v>
      </c>
      <c r="S184" s="12" t="s">
        <v>26</v>
      </c>
      <c r="T184" s="18">
        <v>45413</v>
      </c>
      <c r="U184" s="17">
        <v>0.45833333333333331</v>
      </c>
      <c r="V184" s="12" t="str">
        <f t="shared" si="10"/>
        <v>0 г. 0 мес. 1 дн.</v>
      </c>
      <c r="W184" s="22"/>
      <c r="X184" s="72"/>
    </row>
    <row r="185" spans="1:24" ht="35.1" customHeight="1" x14ac:dyDescent="0.25">
      <c r="A185" s="12">
        <f t="shared" si="8"/>
        <v>184</v>
      </c>
      <c r="B185" s="12">
        <v>1004</v>
      </c>
      <c r="C185" s="20" t="s">
        <v>77</v>
      </c>
      <c r="D185" s="18">
        <v>45412</v>
      </c>
      <c r="E185" s="17">
        <v>0.79166666666666663</v>
      </c>
      <c r="F185" s="12" t="s">
        <v>611</v>
      </c>
      <c r="G185" s="18">
        <v>44061</v>
      </c>
      <c r="H185" s="12" t="str">
        <f t="shared" si="11"/>
        <v>3 г. 8 мес. 12 дн.</v>
      </c>
      <c r="I185" s="12" t="s">
        <v>118</v>
      </c>
      <c r="K185" s="12" t="s">
        <v>612</v>
      </c>
      <c r="L185" s="12" t="s">
        <v>613</v>
      </c>
      <c r="M185" s="12" t="s">
        <v>52</v>
      </c>
      <c r="O185" s="12" t="s">
        <v>87</v>
      </c>
      <c r="S185" s="12" t="s">
        <v>77</v>
      </c>
      <c r="T185" s="18">
        <v>45413</v>
      </c>
      <c r="U185" s="17">
        <v>0.45833333333333331</v>
      </c>
      <c r="V185" s="12" t="str">
        <f t="shared" si="10"/>
        <v>0 г. 0 мес. 1 дн.</v>
      </c>
      <c r="W185" s="22"/>
      <c r="X185" s="72"/>
    </row>
    <row r="186" spans="1:24" ht="35.1" customHeight="1" x14ac:dyDescent="0.25">
      <c r="A186" s="12">
        <f t="shared" si="8"/>
        <v>185</v>
      </c>
      <c r="B186" s="12">
        <v>1008</v>
      </c>
      <c r="C186" s="20" t="s">
        <v>77</v>
      </c>
      <c r="D186" s="18">
        <v>45413</v>
      </c>
      <c r="E186" s="17">
        <v>0.76041666666666663</v>
      </c>
      <c r="F186" s="12" t="s">
        <v>614</v>
      </c>
      <c r="G186" s="18">
        <v>44828</v>
      </c>
      <c r="H186" s="12" t="str">
        <f t="shared" si="11"/>
        <v>1 г. 7 мес. 7 дн.</v>
      </c>
      <c r="I186" s="12" t="s">
        <v>118</v>
      </c>
      <c r="K186" s="12" t="s">
        <v>615</v>
      </c>
      <c r="L186" s="12" t="s">
        <v>616</v>
      </c>
      <c r="M186" s="12" t="s">
        <v>54</v>
      </c>
      <c r="O186" s="12" t="s">
        <v>87</v>
      </c>
      <c r="S186" s="12" t="s">
        <v>77</v>
      </c>
      <c r="T186" s="18">
        <v>45415</v>
      </c>
      <c r="U186" s="17">
        <v>0.45833333333333331</v>
      </c>
      <c r="V186" s="12" t="str">
        <f t="shared" si="10"/>
        <v>0 г. 0 мес. 2 дн.</v>
      </c>
      <c r="W186" s="22"/>
      <c r="X186" s="72"/>
    </row>
    <row r="187" spans="1:24" ht="35.1" customHeight="1" x14ac:dyDescent="0.25">
      <c r="A187" s="12">
        <f t="shared" si="8"/>
        <v>186</v>
      </c>
      <c r="B187" s="12">
        <v>374</v>
      </c>
      <c r="C187" s="20" t="s">
        <v>26</v>
      </c>
      <c r="D187" s="18">
        <v>45414</v>
      </c>
      <c r="E187" s="17">
        <v>2.0833333333333332E-2</v>
      </c>
      <c r="F187" s="12" t="s">
        <v>617</v>
      </c>
      <c r="G187" s="18">
        <v>40815</v>
      </c>
      <c r="H187" s="12" t="str">
        <f t="shared" si="11"/>
        <v>12 г. 7 мес. 3 дн.</v>
      </c>
      <c r="I187" s="12" t="s">
        <v>118</v>
      </c>
      <c r="K187" s="12" t="s">
        <v>618</v>
      </c>
      <c r="L187" s="12" t="s">
        <v>619</v>
      </c>
      <c r="M187" s="12" t="s">
        <v>43</v>
      </c>
      <c r="O187" s="12" t="s">
        <v>87</v>
      </c>
      <c r="S187" s="12" t="s">
        <v>26</v>
      </c>
      <c r="T187" s="18">
        <v>45414</v>
      </c>
      <c r="U187" s="17">
        <v>0.5</v>
      </c>
      <c r="V187" s="12" t="str">
        <f t="shared" si="10"/>
        <v>0 г. 0 мес. 0 дн.</v>
      </c>
      <c r="W187" s="22"/>
      <c r="X187" s="72"/>
    </row>
    <row r="188" spans="1:24" ht="35.1" customHeight="1" x14ac:dyDescent="0.25">
      <c r="A188" s="12">
        <f t="shared" si="8"/>
        <v>187</v>
      </c>
      <c r="B188" s="12">
        <v>1023</v>
      </c>
      <c r="C188" s="20" t="s">
        <v>77</v>
      </c>
      <c r="D188" s="18">
        <v>45414</v>
      </c>
      <c r="E188" s="17">
        <v>0.94791666666666663</v>
      </c>
      <c r="F188" s="12" t="s">
        <v>620</v>
      </c>
      <c r="G188" s="18">
        <v>42875</v>
      </c>
      <c r="H188" s="12" t="str">
        <f t="shared" si="11"/>
        <v>6 г. 11 мес. 12 дн.</v>
      </c>
      <c r="I188" s="12" t="s">
        <v>119</v>
      </c>
      <c r="J188" s="12" t="s">
        <v>23</v>
      </c>
      <c r="K188" s="12" t="s">
        <v>621</v>
      </c>
      <c r="L188" s="12" t="s">
        <v>622</v>
      </c>
      <c r="M188" s="12" t="s">
        <v>52</v>
      </c>
      <c r="O188" s="12" t="s">
        <v>87</v>
      </c>
      <c r="S188" s="12" t="s">
        <v>77</v>
      </c>
      <c r="T188" s="18">
        <v>45418</v>
      </c>
      <c r="U188" s="17">
        <v>0.47916666666666669</v>
      </c>
      <c r="V188" s="12" t="str">
        <f t="shared" si="10"/>
        <v>0 г. 0 мес. 4 дн.</v>
      </c>
      <c r="W188" s="22"/>
      <c r="X188" s="72"/>
    </row>
    <row r="189" spans="1:24" ht="35.1" customHeight="1" x14ac:dyDescent="0.25">
      <c r="A189" s="12">
        <f t="shared" si="8"/>
        <v>188</v>
      </c>
      <c r="B189" s="12">
        <v>1022</v>
      </c>
      <c r="C189" s="20" t="s">
        <v>77</v>
      </c>
      <c r="D189" s="18">
        <v>45415</v>
      </c>
      <c r="E189" s="17">
        <v>7.2916666666666671E-2</v>
      </c>
      <c r="F189" s="12" t="s">
        <v>623</v>
      </c>
      <c r="G189" s="18">
        <v>42432</v>
      </c>
      <c r="H189" s="12" t="str">
        <f t="shared" si="11"/>
        <v>8 г. 2 мес. 0 дн.</v>
      </c>
      <c r="I189" s="12" t="s">
        <v>119</v>
      </c>
      <c r="J189" s="12" t="s">
        <v>77</v>
      </c>
      <c r="K189" s="12" t="s">
        <v>624</v>
      </c>
      <c r="L189" s="12" t="s">
        <v>625</v>
      </c>
      <c r="M189" s="12" t="s">
        <v>49</v>
      </c>
      <c r="O189" s="12" t="s">
        <v>87</v>
      </c>
      <c r="P189" s="12" t="s">
        <v>94</v>
      </c>
      <c r="S189" s="12" t="s">
        <v>77</v>
      </c>
      <c r="T189" s="18">
        <v>45417</v>
      </c>
      <c r="U189" s="17">
        <v>0.54166666666666663</v>
      </c>
      <c r="V189" s="12" t="str">
        <f t="shared" si="10"/>
        <v>0 г. 0 мес. 2 дн.</v>
      </c>
      <c r="W189" s="22"/>
      <c r="X189" s="72"/>
    </row>
    <row r="190" spans="1:24" ht="35.1" customHeight="1" x14ac:dyDescent="0.25">
      <c r="A190" s="12">
        <f t="shared" si="8"/>
        <v>189</v>
      </c>
      <c r="B190" s="12">
        <v>582</v>
      </c>
      <c r="C190" s="20" t="s">
        <v>23</v>
      </c>
      <c r="D190" s="18">
        <v>45415</v>
      </c>
      <c r="E190" s="17">
        <v>0.70138888888888884</v>
      </c>
      <c r="F190" s="12" t="s">
        <v>626</v>
      </c>
      <c r="G190" s="18">
        <v>40931</v>
      </c>
      <c r="H190" s="12" t="str">
        <f t="shared" si="11"/>
        <v>12 г. 3 мес. 10 дн.</v>
      </c>
      <c r="I190" s="12" t="s">
        <v>118</v>
      </c>
      <c r="K190" s="12" t="s">
        <v>627</v>
      </c>
      <c r="L190" s="12" t="s">
        <v>628</v>
      </c>
      <c r="M190" s="12" t="s">
        <v>52</v>
      </c>
      <c r="O190" s="12" t="s">
        <v>87</v>
      </c>
      <c r="S190" s="12" t="s">
        <v>29</v>
      </c>
      <c r="T190" s="18">
        <v>45416</v>
      </c>
      <c r="U190" s="17">
        <v>0.16666666666666666</v>
      </c>
      <c r="V190" s="12" t="str">
        <f t="shared" si="10"/>
        <v>0 г. 0 мес. 1 дн.</v>
      </c>
      <c r="W190" s="22"/>
      <c r="X190" s="72"/>
    </row>
    <row r="191" spans="1:24" ht="35.1" customHeight="1" x14ac:dyDescent="0.25">
      <c r="A191" s="12">
        <f t="shared" si="8"/>
        <v>190</v>
      </c>
      <c r="B191" s="12">
        <v>585</v>
      </c>
      <c r="C191" s="20" t="s">
        <v>23</v>
      </c>
      <c r="D191" s="18">
        <v>45416</v>
      </c>
      <c r="E191" s="17">
        <v>0.25</v>
      </c>
      <c r="F191" s="12" t="s">
        <v>629</v>
      </c>
      <c r="G191" s="18">
        <v>39764</v>
      </c>
      <c r="H191" s="12" t="str">
        <f t="shared" si="11"/>
        <v>15 г. 5 мес. 22 дн.</v>
      </c>
      <c r="I191" s="12" t="s">
        <v>121</v>
      </c>
      <c r="K191" s="12" t="s">
        <v>630</v>
      </c>
      <c r="L191" s="12" t="s">
        <v>628</v>
      </c>
      <c r="M191" s="12" t="s">
        <v>52</v>
      </c>
      <c r="N191" s="12">
        <v>120</v>
      </c>
      <c r="O191" s="12" t="s">
        <v>73</v>
      </c>
      <c r="S191" s="12" t="s">
        <v>29</v>
      </c>
      <c r="T191" s="18">
        <v>45420</v>
      </c>
      <c r="U191" s="17">
        <v>0.625</v>
      </c>
      <c r="V191" s="12" t="str">
        <f t="shared" si="10"/>
        <v>0 г. 0 мес. 4 дн.</v>
      </c>
      <c r="W191" s="22"/>
      <c r="X191" s="72"/>
    </row>
    <row r="192" spans="1:24" ht="35.1" customHeight="1" x14ac:dyDescent="0.25">
      <c r="A192" s="30">
        <f t="shared" ref="A192:A256" si="12">ROW(A191)</f>
        <v>191</v>
      </c>
      <c r="B192" s="30">
        <v>382</v>
      </c>
      <c r="C192" s="31" t="s">
        <v>26</v>
      </c>
      <c r="D192" s="32">
        <v>45416</v>
      </c>
      <c r="E192" s="33">
        <v>0.49652777777777773</v>
      </c>
      <c r="F192" s="30" t="s">
        <v>631</v>
      </c>
      <c r="G192" s="32">
        <v>41489</v>
      </c>
      <c r="H192" s="30" t="str">
        <f t="shared" si="11"/>
        <v>10 г. 9 мес. 1 дн.</v>
      </c>
      <c r="I192" s="30" t="s">
        <v>118</v>
      </c>
      <c r="J192" s="30"/>
      <c r="K192" s="30" t="s">
        <v>632</v>
      </c>
      <c r="L192" s="30" t="s">
        <v>619</v>
      </c>
      <c r="M192" s="30" t="s">
        <v>43</v>
      </c>
      <c r="N192" s="30"/>
      <c r="O192" s="30" t="s">
        <v>87</v>
      </c>
      <c r="P192" s="30"/>
      <c r="Q192" s="30"/>
      <c r="R192" s="30"/>
      <c r="S192" s="30" t="s">
        <v>29</v>
      </c>
      <c r="T192" s="32">
        <v>45418</v>
      </c>
      <c r="U192" s="33">
        <v>0.45833333333333331</v>
      </c>
      <c r="V192" s="30" t="str">
        <f t="shared" si="10"/>
        <v>0 г. 0 мес. 2 дн.</v>
      </c>
      <c r="W192" s="34"/>
      <c r="X192" s="72"/>
    </row>
    <row r="193" spans="1:24" s="30" customFormat="1" ht="35.1" customHeight="1" x14ac:dyDescent="0.25">
      <c r="A193" s="12">
        <f t="shared" si="12"/>
        <v>192</v>
      </c>
      <c r="B193" s="12">
        <v>608</v>
      </c>
      <c r="C193" s="20" t="s">
        <v>23</v>
      </c>
      <c r="D193" s="18">
        <v>45419</v>
      </c>
      <c r="E193" s="17">
        <v>0.59722222222222221</v>
      </c>
      <c r="F193" s="12" t="s">
        <v>633</v>
      </c>
      <c r="G193" s="18">
        <v>40312</v>
      </c>
      <c r="H193" s="12" t="str">
        <f t="shared" si="11"/>
        <v>13 г. 11 мес. 23 дн.</v>
      </c>
      <c r="I193" s="12" t="s">
        <v>118</v>
      </c>
      <c r="J193" s="12"/>
      <c r="K193" s="12" t="s">
        <v>634</v>
      </c>
      <c r="L193" s="12" t="s">
        <v>404</v>
      </c>
      <c r="M193" s="12" t="s">
        <v>52</v>
      </c>
      <c r="N193" s="12"/>
      <c r="O193" s="12" t="s">
        <v>87</v>
      </c>
      <c r="P193" s="12"/>
      <c r="Q193" s="12"/>
      <c r="R193" s="12"/>
      <c r="S193" s="12" t="s">
        <v>23</v>
      </c>
      <c r="T193" s="18">
        <v>45420</v>
      </c>
      <c r="U193" s="17">
        <v>0.46875</v>
      </c>
      <c r="V193" s="12" t="str">
        <f t="shared" si="10"/>
        <v>0 г. 0 мес. 1 дн.</v>
      </c>
      <c r="W193" s="22"/>
      <c r="X193" s="74"/>
    </row>
    <row r="194" spans="1:24" ht="35.1" customHeight="1" x14ac:dyDescent="0.25">
      <c r="A194" s="30">
        <f t="shared" si="12"/>
        <v>193</v>
      </c>
      <c r="B194" s="30">
        <v>389</v>
      </c>
      <c r="C194" s="31" t="s">
        <v>26</v>
      </c>
      <c r="D194" s="32">
        <v>45419</v>
      </c>
      <c r="E194" s="33">
        <v>0.68055555555555547</v>
      </c>
      <c r="F194" s="30" t="s">
        <v>635</v>
      </c>
      <c r="G194" s="32">
        <v>40323</v>
      </c>
      <c r="H194" s="30" t="str">
        <f t="shared" ref="H194:H197" si="13">DATEDIF(G194,D194,"y") &amp; " г. " &amp; DATEDIF(G194,D194,"ym") &amp; " мес. " &amp; DATEDIF(G194,D194,"md") &amp; " дн."</f>
        <v>13 г. 11 мес. 12 дн.</v>
      </c>
      <c r="I194" s="30" t="s">
        <v>118</v>
      </c>
      <c r="J194" s="30"/>
      <c r="K194" s="30" t="s">
        <v>636</v>
      </c>
      <c r="L194" s="30" t="s">
        <v>637</v>
      </c>
      <c r="M194" s="30" t="s">
        <v>55</v>
      </c>
      <c r="N194" s="30"/>
      <c r="O194" s="30" t="s">
        <v>87</v>
      </c>
      <c r="P194" s="30"/>
      <c r="Q194" s="30"/>
      <c r="R194" s="30"/>
      <c r="S194" s="30" t="s">
        <v>26</v>
      </c>
      <c r="T194" s="32">
        <v>45420</v>
      </c>
      <c r="U194" s="33">
        <v>0.5</v>
      </c>
      <c r="V194" s="30" t="str">
        <f t="shared" ref="V194:V257" si="14">DATEDIF(D194,T194,"y") &amp; " г. " &amp; DATEDIF(D194,T194,"ym") &amp; " мес. " &amp; DATEDIF(D194,T194,"md") &amp; " дн."</f>
        <v>0 г. 0 мес. 1 дн.</v>
      </c>
      <c r="W194" s="34"/>
      <c r="X194" s="72"/>
    </row>
    <row r="195" spans="1:24" s="30" customFormat="1" ht="35.1" customHeight="1" x14ac:dyDescent="0.25">
      <c r="A195" s="12">
        <f t="shared" si="12"/>
        <v>194</v>
      </c>
      <c r="B195" s="12">
        <v>1075</v>
      </c>
      <c r="C195" s="20" t="s">
        <v>77</v>
      </c>
      <c r="D195" s="18">
        <v>45423</v>
      </c>
      <c r="E195" s="17">
        <v>0.69097222222222221</v>
      </c>
      <c r="F195" s="12" t="s">
        <v>638</v>
      </c>
      <c r="G195" s="18">
        <v>43143</v>
      </c>
      <c r="H195" s="12" t="str">
        <f t="shared" si="13"/>
        <v>6 г. 2 мес. 29 дн.</v>
      </c>
      <c r="I195" s="12" t="s">
        <v>118</v>
      </c>
      <c r="J195" s="12"/>
      <c r="K195" s="12" t="s">
        <v>639</v>
      </c>
      <c r="L195" s="12" t="s">
        <v>640</v>
      </c>
      <c r="M195" s="12" t="s">
        <v>54</v>
      </c>
      <c r="N195" s="12"/>
      <c r="O195" s="12" t="s">
        <v>87</v>
      </c>
      <c r="P195" s="12"/>
      <c r="Q195" s="12"/>
      <c r="R195" s="12"/>
      <c r="S195" s="12" t="s">
        <v>77</v>
      </c>
      <c r="T195" s="18">
        <v>45432</v>
      </c>
      <c r="U195" s="17">
        <v>0.5</v>
      </c>
      <c r="V195" s="12" t="str">
        <f t="shared" si="14"/>
        <v>0 г. 0 мес. 9 дн.</v>
      </c>
      <c r="W195" s="22"/>
      <c r="X195" s="74"/>
    </row>
    <row r="196" spans="1:24" ht="35.1" customHeight="1" x14ac:dyDescent="0.25">
      <c r="A196" s="12">
        <f t="shared" si="12"/>
        <v>195</v>
      </c>
      <c r="B196" s="12">
        <v>586</v>
      </c>
      <c r="C196" s="20" t="s">
        <v>23</v>
      </c>
      <c r="D196" s="18">
        <v>45416</v>
      </c>
      <c r="E196" s="17">
        <v>0.77083333333333337</v>
      </c>
      <c r="F196" s="12" t="s">
        <v>641</v>
      </c>
      <c r="G196" s="18">
        <v>40661</v>
      </c>
      <c r="H196" s="12" t="str">
        <f t="shared" si="13"/>
        <v>13 г. 0 мес. 6 дн.</v>
      </c>
      <c r="I196" s="12" t="s">
        <v>118</v>
      </c>
      <c r="K196" s="12" t="s">
        <v>642</v>
      </c>
      <c r="L196" s="12" t="s">
        <v>668</v>
      </c>
      <c r="M196" s="12" t="s">
        <v>53</v>
      </c>
      <c r="O196" s="12" t="s">
        <v>87</v>
      </c>
      <c r="S196" s="12" t="s">
        <v>23</v>
      </c>
      <c r="T196" s="18">
        <v>45425</v>
      </c>
      <c r="U196" s="17">
        <v>0.5</v>
      </c>
      <c r="V196" s="12" t="str">
        <f t="shared" si="14"/>
        <v>0 г. 0 мес. 9 дн.</v>
      </c>
      <c r="W196" s="22"/>
      <c r="X196" s="72"/>
    </row>
    <row r="197" spans="1:24" ht="35.1" customHeight="1" x14ac:dyDescent="0.25">
      <c r="A197" s="12">
        <f t="shared" si="12"/>
        <v>196</v>
      </c>
      <c r="B197" s="12">
        <v>635</v>
      </c>
      <c r="C197" s="20" t="s">
        <v>23</v>
      </c>
      <c r="D197" s="18">
        <v>45425</v>
      </c>
      <c r="E197" s="17">
        <v>0.55555555555555558</v>
      </c>
      <c r="F197" s="12" t="s">
        <v>643</v>
      </c>
      <c r="G197" s="18">
        <v>44329</v>
      </c>
      <c r="H197" s="12" t="str">
        <f t="shared" si="13"/>
        <v>3 г. 0 мес. 0 дн.</v>
      </c>
      <c r="I197" s="12" t="s">
        <v>118</v>
      </c>
      <c r="K197" s="12" t="s">
        <v>646</v>
      </c>
      <c r="L197" s="12" t="s">
        <v>644</v>
      </c>
      <c r="M197" s="12" t="s">
        <v>52</v>
      </c>
      <c r="N197" s="12">
        <v>24</v>
      </c>
      <c r="O197" s="12" t="s">
        <v>73</v>
      </c>
      <c r="S197" s="12" t="s">
        <v>23</v>
      </c>
      <c r="T197" s="18">
        <v>45427</v>
      </c>
      <c r="U197" s="17">
        <v>0.54166666666666663</v>
      </c>
      <c r="V197" s="12" t="str">
        <f t="shared" si="14"/>
        <v>0 г. 0 мес. 2 дн.</v>
      </c>
      <c r="W197" s="22"/>
      <c r="X197" s="72"/>
    </row>
    <row r="198" spans="1:24" ht="35.1" customHeight="1" x14ac:dyDescent="0.25">
      <c r="A198" s="12">
        <f t="shared" si="12"/>
        <v>197</v>
      </c>
      <c r="B198" s="12">
        <v>1092</v>
      </c>
      <c r="C198" s="20" t="s">
        <v>77</v>
      </c>
      <c r="D198" s="18">
        <v>45425</v>
      </c>
      <c r="E198" s="17">
        <v>0.78888888888888886</v>
      </c>
      <c r="F198" s="12" t="s">
        <v>645</v>
      </c>
      <c r="G198" s="18">
        <v>41621</v>
      </c>
      <c r="H198" s="12" t="str">
        <f t="shared" ref="H198:H261" si="15">DATEDIF(G198,D198,"y") &amp; " г. " &amp; DATEDIF(G198,D198,"ym") &amp; " мес. " &amp; DATEDIF(G198,D198,"md") &amp; " дн."</f>
        <v>10 г. 5 мес. 0 дн.</v>
      </c>
      <c r="I198" s="12" t="s">
        <v>118</v>
      </c>
      <c r="K198" s="12" t="s">
        <v>647</v>
      </c>
      <c r="L198" s="12" t="s">
        <v>648</v>
      </c>
      <c r="M198" s="12" t="s">
        <v>49</v>
      </c>
      <c r="O198" s="12" t="s">
        <v>87</v>
      </c>
      <c r="S198" s="12" t="s">
        <v>77</v>
      </c>
      <c r="T198" s="18">
        <v>45427</v>
      </c>
      <c r="U198" s="17">
        <v>0.5625</v>
      </c>
      <c r="V198" s="12" t="str">
        <f t="shared" si="14"/>
        <v>0 г. 0 мес. 2 дн.</v>
      </c>
      <c r="W198" s="22"/>
      <c r="X198" s="72"/>
    </row>
    <row r="199" spans="1:24" ht="35.1" customHeight="1" x14ac:dyDescent="0.25">
      <c r="A199" s="12">
        <f t="shared" si="12"/>
        <v>198</v>
      </c>
      <c r="B199" s="12">
        <v>259</v>
      </c>
      <c r="C199" s="20" t="s">
        <v>28</v>
      </c>
      <c r="D199" s="18">
        <v>45426</v>
      </c>
      <c r="E199" s="17">
        <v>6.9444444444444441E-3</v>
      </c>
      <c r="F199" s="12" t="s">
        <v>649</v>
      </c>
      <c r="G199" s="18">
        <v>39732</v>
      </c>
      <c r="H199" s="12" t="str">
        <f t="shared" si="15"/>
        <v>15 г. 7 мес. 3 дн.</v>
      </c>
      <c r="I199" s="12" t="s">
        <v>120</v>
      </c>
      <c r="J199" s="12" t="s">
        <v>28</v>
      </c>
      <c r="K199" s="12" t="s">
        <v>650</v>
      </c>
      <c r="L199" s="12" t="s">
        <v>651</v>
      </c>
      <c r="M199" s="12" t="s">
        <v>46</v>
      </c>
      <c r="O199" s="12" t="s">
        <v>87</v>
      </c>
      <c r="S199" s="12" t="s">
        <v>26</v>
      </c>
      <c r="T199" s="18">
        <v>45427</v>
      </c>
      <c r="U199" s="17">
        <v>0.47916666666666669</v>
      </c>
      <c r="V199" s="12" t="str">
        <f t="shared" si="14"/>
        <v>0 г. 0 мес. 1 дн.</v>
      </c>
      <c r="W199" s="22"/>
      <c r="X199" s="72"/>
    </row>
    <row r="200" spans="1:24" ht="35.1" customHeight="1" x14ac:dyDescent="0.25">
      <c r="A200" s="12">
        <f t="shared" si="12"/>
        <v>199</v>
      </c>
      <c r="B200" s="12">
        <v>406</v>
      </c>
      <c r="C200" s="20" t="s">
        <v>26</v>
      </c>
      <c r="D200" s="18">
        <v>45426</v>
      </c>
      <c r="E200" s="17">
        <v>0.64236111111111105</v>
      </c>
      <c r="F200" s="12" t="s">
        <v>652</v>
      </c>
      <c r="G200" s="18">
        <v>42774</v>
      </c>
      <c r="H200" s="12" t="str">
        <f t="shared" si="15"/>
        <v>7 г. 3 мес. 6 дн.</v>
      </c>
      <c r="I200" s="12" t="s">
        <v>121</v>
      </c>
      <c r="K200" s="12" t="s">
        <v>653</v>
      </c>
      <c r="L200" s="12" t="s">
        <v>619</v>
      </c>
      <c r="M200" s="12" t="s">
        <v>43</v>
      </c>
      <c r="O200" s="12" t="s">
        <v>87</v>
      </c>
      <c r="S200" s="12" t="s">
        <v>29</v>
      </c>
      <c r="T200" s="18">
        <v>45427</v>
      </c>
      <c r="U200" s="17">
        <v>0.56944444444444442</v>
      </c>
      <c r="V200" s="12" t="str">
        <f t="shared" si="14"/>
        <v>0 г. 0 мес. 1 дн.</v>
      </c>
      <c r="W200" s="22"/>
      <c r="X200" s="72"/>
    </row>
    <row r="201" spans="1:24" ht="35.1" customHeight="1" x14ac:dyDescent="0.25">
      <c r="A201" s="12">
        <f t="shared" si="12"/>
        <v>200</v>
      </c>
      <c r="B201" s="12">
        <v>409</v>
      </c>
      <c r="C201" s="20" t="s">
        <v>26</v>
      </c>
      <c r="D201" s="18">
        <v>45427</v>
      </c>
      <c r="E201" s="17">
        <v>0.30555555555555552</v>
      </c>
      <c r="F201" s="12" t="s">
        <v>654</v>
      </c>
      <c r="G201" s="18">
        <v>44478</v>
      </c>
      <c r="H201" s="12" t="str">
        <f t="shared" si="15"/>
        <v>2 г. 7 мес. 6 дн.</v>
      </c>
      <c r="I201" s="12" t="s">
        <v>118</v>
      </c>
      <c r="K201" s="12" t="s">
        <v>655</v>
      </c>
      <c r="L201" s="12" t="s">
        <v>619</v>
      </c>
      <c r="M201" s="12" t="s">
        <v>43</v>
      </c>
      <c r="O201" s="12" t="s">
        <v>87</v>
      </c>
      <c r="S201" s="12" t="s">
        <v>31</v>
      </c>
      <c r="T201" s="18">
        <v>45427</v>
      </c>
      <c r="U201" s="17">
        <v>0.43402777777777773</v>
      </c>
      <c r="V201" s="12" t="str">
        <f t="shared" si="14"/>
        <v>0 г. 0 мес. 0 дн.</v>
      </c>
      <c r="W201" s="22"/>
      <c r="X201" s="72"/>
    </row>
    <row r="202" spans="1:24" ht="35.1" customHeight="1" x14ac:dyDescent="0.25">
      <c r="A202" s="12">
        <f t="shared" si="12"/>
        <v>201</v>
      </c>
      <c r="B202" s="12">
        <v>1081</v>
      </c>
      <c r="C202" s="20" t="s">
        <v>77</v>
      </c>
      <c r="D202" s="18">
        <v>45428</v>
      </c>
      <c r="E202" s="17">
        <v>0.625</v>
      </c>
      <c r="F202" s="12" t="s">
        <v>656</v>
      </c>
      <c r="G202" s="18">
        <v>41253</v>
      </c>
      <c r="H202" s="12" t="str">
        <f t="shared" si="15"/>
        <v>11 г. 5 мес. 6 дн.</v>
      </c>
      <c r="I202" s="12" t="s">
        <v>120</v>
      </c>
      <c r="J202" s="12" t="s">
        <v>77</v>
      </c>
      <c r="K202" s="12" t="s">
        <v>657</v>
      </c>
      <c r="L202" s="12" t="s">
        <v>658</v>
      </c>
      <c r="M202" s="12" t="s">
        <v>49</v>
      </c>
      <c r="O202" s="12" t="s">
        <v>73</v>
      </c>
      <c r="S202" s="12" t="s">
        <v>29</v>
      </c>
      <c r="T202" s="18">
        <v>45432</v>
      </c>
      <c r="U202" s="17">
        <v>0.15277777777777776</v>
      </c>
      <c r="V202" s="12" t="str">
        <f t="shared" si="14"/>
        <v>0 г. 0 мес. 4 дн.</v>
      </c>
      <c r="W202" s="22" t="s">
        <v>132</v>
      </c>
      <c r="X202" s="72"/>
    </row>
    <row r="203" spans="1:24" ht="35.1" customHeight="1" x14ac:dyDescent="0.25">
      <c r="A203" s="12">
        <f t="shared" si="12"/>
        <v>202</v>
      </c>
      <c r="B203" s="12">
        <v>410</v>
      </c>
      <c r="C203" s="20" t="s">
        <v>26</v>
      </c>
      <c r="D203" s="18">
        <v>45428</v>
      </c>
      <c r="E203" s="17">
        <v>0.70833333333333337</v>
      </c>
      <c r="F203" s="12" t="s">
        <v>659</v>
      </c>
      <c r="G203" s="18">
        <v>43385</v>
      </c>
      <c r="H203" s="12" t="str">
        <f t="shared" si="15"/>
        <v>5 г. 7 мес. 4 дн.</v>
      </c>
      <c r="I203" s="12" t="s">
        <v>120</v>
      </c>
      <c r="J203" s="12" t="s">
        <v>26</v>
      </c>
      <c r="K203" s="12" t="s">
        <v>660</v>
      </c>
      <c r="L203" s="12" t="s">
        <v>661</v>
      </c>
      <c r="M203" s="12" t="s">
        <v>47</v>
      </c>
      <c r="O203" s="12" t="s">
        <v>87</v>
      </c>
      <c r="S203" s="12" t="s">
        <v>26</v>
      </c>
      <c r="T203" s="18">
        <v>45430</v>
      </c>
      <c r="U203" s="17">
        <v>0.4375</v>
      </c>
      <c r="V203" s="12" t="str">
        <f t="shared" si="14"/>
        <v>0 г. 0 мес. 2 дн.</v>
      </c>
      <c r="W203" s="22"/>
      <c r="X203" s="72"/>
    </row>
    <row r="204" spans="1:24" ht="35.1" customHeight="1" x14ac:dyDescent="0.25">
      <c r="A204" s="12">
        <f t="shared" si="12"/>
        <v>203</v>
      </c>
      <c r="B204" s="12">
        <v>423</v>
      </c>
      <c r="C204" s="20" t="s">
        <v>26</v>
      </c>
      <c r="D204" s="18">
        <v>45430</v>
      </c>
      <c r="E204" s="17">
        <v>0.20138888888888887</v>
      </c>
      <c r="F204" s="12" t="s">
        <v>667</v>
      </c>
      <c r="G204" s="18">
        <v>38868</v>
      </c>
      <c r="H204" s="12" t="str">
        <f t="shared" si="15"/>
        <v>17 г. 11 мес. 17 дн.</v>
      </c>
      <c r="I204" s="12" t="s">
        <v>118</v>
      </c>
      <c r="K204" s="12" t="s">
        <v>666</v>
      </c>
      <c r="L204" s="12" t="s">
        <v>662</v>
      </c>
      <c r="M204" s="12" t="s">
        <v>55</v>
      </c>
      <c r="O204" s="12" t="s">
        <v>87</v>
      </c>
      <c r="S204" s="12" t="s">
        <v>26</v>
      </c>
      <c r="T204" s="18">
        <v>45430</v>
      </c>
      <c r="U204" s="17">
        <v>0.4375</v>
      </c>
      <c r="V204" s="12" t="str">
        <f t="shared" si="14"/>
        <v>0 г. 0 мес. 0 дн.</v>
      </c>
      <c r="W204" s="22"/>
      <c r="X204" s="72"/>
    </row>
    <row r="205" spans="1:24" ht="35.1" customHeight="1" x14ac:dyDescent="0.25">
      <c r="A205" s="12">
        <f t="shared" si="12"/>
        <v>204</v>
      </c>
      <c r="B205" s="12">
        <v>1133</v>
      </c>
      <c r="C205" s="20" t="s">
        <v>77</v>
      </c>
      <c r="D205" s="18">
        <v>45430</v>
      </c>
      <c r="E205" s="17">
        <v>0.95833333333333337</v>
      </c>
      <c r="F205" s="12" t="s">
        <v>663</v>
      </c>
      <c r="G205" s="18">
        <v>44853</v>
      </c>
      <c r="H205" s="12" t="str">
        <f t="shared" si="15"/>
        <v>1 г. 6 мес. 29 дн.</v>
      </c>
      <c r="I205" s="12" t="s">
        <v>118</v>
      </c>
      <c r="K205" s="12" t="s">
        <v>664</v>
      </c>
      <c r="L205" s="12" t="s">
        <v>665</v>
      </c>
      <c r="M205" s="12" t="s">
        <v>54</v>
      </c>
      <c r="O205" s="12" t="s">
        <v>87</v>
      </c>
      <c r="S205" s="12" t="s">
        <v>77</v>
      </c>
      <c r="T205" s="18">
        <v>45432</v>
      </c>
      <c r="U205" s="17">
        <v>0.5</v>
      </c>
      <c r="V205" s="12" t="str">
        <f t="shared" si="14"/>
        <v>0 г. 0 мес. 2 дн.</v>
      </c>
      <c r="W205" s="22"/>
      <c r="X205" s="72"/>
    </row>
    <row r="206" spans="1:24" ht="35.1" customHeight="1" x14ac:dyDescent="0.25">
      <c r="A206" s="12">
        <f t="shared" si="12"/>
        <v>205</v>
      </c>
      <c r="B206" s="12">
        <v>427</v>
      </c>
      <c r="C206" s="20" t="s">
        <v>26</v>
      </c>
      <c r="D206" s="18">
        <v>45431</v>
      </c>
      <c r="E206" s="17">
        <v>0.64583333333333337</v>
      </c>
      <c r="F206" s="12" t="s">
        <v>669</v>
      </c>
      <c r="G206" s="18">
        <v>40524</v>
      </c>
      <c r="H206" s="12" t="str">
        <f t="shared" si="15"/>
        <v>13 г. 5 мес. 7 дн.</v>
      </c>
      <c r="I206" s="12" t="s">
        <v>118</v>
      </c>
      <c r="K206" s="12" t="s">
        <v>670</v>
      </c>
      <c r="L206" s="12" t="s">
        <v>501</v>
      </c>
      <c r="M206" s="12" t="s">
        <v>55</v>
      </c>
      <c r="O206" s="12" t="s">
        <v>87</v>
      </c>
      <c r="S206" s="12" t="s">
        <v>26</v>
      </c>
      <c r="T206" s="18">
        <v>45432</v>
      </c>
      <c r="U206" s="17">
        <v>0.54861111111111105</v>
      </c>
      <c r="V206" s="12" t="str">
        <f t="shared" si="14"/>
        <v>0 г. 0 мес. 1 дн.</v>
      </c>
      <c r="W206" s="22"/>
      <c r="X206" s="72"/>
    </row>
    <row r="207" spans="1:24" ht="35.1" customHeight="1" x14ac:dyDescent="0.25">
      <c r="A207" s="12">
        <f t="shared" si="12"/>
        <v>206</v>
      </c>
      <c r="B207" s="12">
        <v>1142</v>
      </c>
      <c r="C207" s="20" t="s">
        <v>77</v>
      </c>
      <c r="D207" s="18">
        <v>45431</v>
      </c>
      <c r="E207" s="17">
        <v>0.94791666666666663</v>
      </c>
      <c r="F207" s="12" t="s">
        <v>337</v>
      </c>
      <c r="G207" s="18">
        <v>42280</v>
      </c>
      <c r="H207" s="12" t="str">
        <f t="shared" si="15"/>
        <v>8 г. 7 мес. 16 дн.</v>
      </c>
      <c r="I207" s="12" t="s">
        <v>118</v>
      </c>
      <c r="K207" s="12" t="s">
        <v>671</v>
      </c>
      <c r="L207" s="12" t="s">
        <v>672</v>
      </c>
      <c r="M207" s="12" t="s">
        <v>49</v>
      </c>
      <c r="O207" s="12" t="s">
        <v>87</v>
      </c>
      <c r="S207" s="12" t="s">
        <v>26</v>
      </c>
      <c r="T207" s="18">
        <v>45432</v>
      </c>
      <c r="U207" s="17">
        <v>0.45833333333333331</v>
      </c>
      <c r="V207" s="12" t="str">
        <f t="shared" si="14"/>
        <v>0 г. 0 мес. 1 дн.</v>
      </c>
      <c r="W207" s="22"/>
      <c r="X207" s="72"/>
    </row>
    <row r="208" spans="1:24" ht="35.1" customHeight="1" x14ac:dyDescent="0.25">
      <c r="A208" s="12">
        <f t="shared" si="12"/>
        <v>207</v>
      </c>
      <c r="B208" s="12">
        <v>430</v>
      </c>
      <c r="C208" s="20" t="s">
        <v>26</v>
      </c>
      <c r="D208" s="18">
        <v>45432</v>
      </c>
      <c r="E208" s="17">
        <v>0.27083333333333331</v>
      </c>
      <c r="F208" s="12" t="s">
        <v>673</v>
      </c>
      <c r="G208" s="18">
        <v>39127</v>
      </c>
      <c r="H208" s="12" t="str">
        <f t="shared" si="15"/>
        <v>17 г. 3 мес. 6 дн.</v>
      </c>
      <c r="I208" s="12" t="s">
        <v>118</v>
      </c>
      <c r="K208" s="12" t="s">
        <v>674</v>
      </c>
      <c r="L208" s="12" t="s">
        <v>675</v>
      </c>
      <c r="M208" s="12" t="s">
        <v>55</v>
      </c>
      <c r="O208" s="12" t="s">
        <v>87</v>
      </c>
      <c r="S208" s="12" t="s">
        <v>26</v>
      </c>
      <c r="T208" s="18">
        <v>45433</v>
      </c>
      <c r="U208" s="17">
        <v>0.4861111111111111</v>
      </c>
      <c r="V208" s="12" t="str">
        <f t="shared" si="14"/>
        <v>0 г. 0 мес. 1 дн.</v>
      </c>
      <c r="W208" s="22"/>
      <c r="X208" s="72"/>
    </row>
    <row r="209" spans="1:24" ht="35.1" customHeight="1" x14ac:dyDescent="0.25">
      <c r="A209" s="12">
        <f t="shared" si="12"/>
        <v>208</v>
      </c>
      <c r="B209" s="12">
        <v>604</v>
      </c>
      <c r="C209" s="20" t="s">
        <v>27</v>
      </c>
      <c r="D209" s="18">
        <v>45432</v>
      </c>
      <c r="E209" s="17">
        <v>0.10416666666666667</v>
      </c>
      <c r="F209" s="12" t="s">
        <v>676</v>
      </c>
      <c r="G209" s="18">
        <v>38977</v>
      </c>
      <c r="H209" s="12" t="str">
        <f t="shared" si="15"/>
        <v>17 г. 8 мес. 3 дн.</v>
      </c>
      <c r="I209" s="12" t="s">
        <v>118</v>
      </c>
      <c r="K209" s="12" t="s">
        <v>677</v>
      </c>
      <c r="L209" s="12" t="s">
        <v>678</v>
      </c>
      <c r="M209" s="12" t="s">
        <v>55</v>
      </c>
      <c r="O209" s="12" t="s">
        <v>87</v>
      </c>
      <c r="S209" s="12" t="s">
        <v>27</v>
      </c>
      <c r="T209" s="18">
        <v>45432</v>
      </c>
      <c r="U209" s="17">
        <v>0.45833333333333331</v>
      </c>
      <c r="V209" s="12" t="str">
        <f t="shared" si="14"/>
        <v>0 г. 0 мес. 0 дн.</v>
      </c>
      <c r="W209" s="22"/>
      <c r="X209" s="72"/>
    </row>
    <row r="210" spans="1:24" ht="35.1" customHeight="1" x14ac:dyDescent="0.25">
      <c r="A210" s="12">
        <f t="shared" si="12"/>
        <v>209</v>
      </c>
      <c r="B210" s="12">
        <v>434</v>
      </c>
      <c r="C210" s="20" t="s">
        <v>26</v>
      </c>
      <c r="D210" s="18">
        <v>45432</v>
      </c>
      <c r="E210" s="17">
        <v>0.48819444444444443</v>
      </c>
      <c r="F210" s="12" t="s">
        <v>679</v>
      </c>
      <c r="G210" s="18">
        <v>38862</v>
      </c>
      <c r="H210" s="12" t="str">
        <f t="shared" si="15"/>
        <v>17 г. 11 мес. 25 дн.</v>
      </c>
      <c r="I210" s="12" t="s">
        <v>118</v>
      </c>
      <c r="K210" s="12" t="s">
        <v>680</v>
      </c>
      <c r="L210" s="12" t="s">
        <v>681</v>
      </c>
      <c r="M210" s="12" t="s">
        <v>55</v>
      </c>
      <c r="O210" s="12" t="s">
        <v>87</v>
      </c>
      <c r="S210" s="12" t="s">
        <v>26</v>
      </c>
      <c r="T210" s="18">
        <v>45432</v>
      </c>
      <c r="U210" s="17">
        <v>0.72916666666666663</v>
      </c>
      <c r="V210" s="12" t="str">
        <f t="shared" si="14"/>
        <v>0 г. 0 мес. 0 дн.</v>
      </c>
      <c r="W210" s="22"/>
      <c r="X210" s="72"/>
    </row>
    <row r="211" spans="1:24" ht="35.1" customHeight="1" x14ac:dyDescent="0.25">
      <c r="A211" s="12">
        <f t="shared" si="12"/>
        <v>210</v>
      </c>
      <c r="B211" s="12">
        <v>1156</v>
      </c>
      <c r="C211" s="20" t="s">
        <v>77</v>
      </c>
      <c r="D211" s="18">
        <v>45432</v>
      </c>
      <c r="E211" s="17">
        <v>0.79166666666666663</v>
      </c>
      <c r="F211" s="12" t="s">
        <v>682</v>
      </c>
      <c r="G211" s="18">
        <v>40694</v>
      </c>
      <c r="H211" s="12" t="str">
        <f t="shared" si="15"/>
        <v>12 г. 11 мес. 19 дн.</v>
      </c>
      <c r="I211" s="12" t="s">
        <v>118</v>
      </c>
      <c r="K211" s="12" t="s">
        <v>683</v>
      </c>
      <c r="L211" s="12" t="s">
        <v>684</v>
      </c>
      <c r="M211" s="12" t="s">
        <v>54</v>
      </c>
      <c r="O211" s="12" t="s">
        <v>87</v>
      </c>
      <c r="S211" s="12" t="s">
        <v>77</v>
      </c>
      <c r="T211" s="18">
        <v>45433</v>
      </c>
      <c r="U211" s="17">
        <v>0.47916666666666669</v>
      </c>
      <c r="V211" s="12" t="str">
        <f t="shared" si="14"/>
        <v>0 г. 0 мес. 1 дн.</v>
      </c>
      <c r="W211" s="22"/>
      <c r="X211" s="72"/>
    </row>
    <row r="212" spans="1:24" ht="35.1" customHeight="1" x14ac:dyDescent="0.25">
      <c r="A212" s="12">
        <f t="shared" si="12"/>
        <v>211</v>
      </c>
      <c r="B212" s="12">
        <v>1157</v>
      </c>
      <c r="C212" s="20" t="s">
        <v>77</v>
      </c>
      <c r="D212" s="18">
        <v>45432</v>
      </c>
      <c r="E212" s="17">
        <v>0.79166666666666663</v>
      </c>
      <c r="F212" s="12" t="s">
        <v>685</v>
      </c>
      <c r="G212" s="18">
        <v>40607</v>
      </c>
      <c r="H212" s="12" t="str">
        <f t="shared" si="15"/>
        <v>13 г. 2 мес. 15 дн.</v>
      </c>
      <c r="I212" s="12" t="s">
        <v>118</v>
      </c>
      <c r="K212" s="12" t="s">
        <v>686</v>
      </c>
      <c r="L212" s="12" t="s">
        <v>687</v>
      </c>
      <c r="M212" s="12" t="s">
        <v>54</v>
      </c>
      <c r="O212" s="12" t="s">
        <v>87</v>
      </c>
      <c r="S212" s="12" t="s">
        <v>77</v>
      </c>
      <c r="T212" s="18">
        <v>45433</v>
      </c>
      <c r="U212" s="17">
        <v>0.47916666666666669</v>
      </c>
      <c r="V212" s="12" t="str">
        <f t="shared" si="14"/>
        <v>0 г. 0 мес. 1 дн.</v>
      </c>
      <c r="W212" s="22"/>
      <c r="X212" s="72"/>
    </row>
    <row r="213" spans="1:24" ht="35.1" customHeight="1" x14ac:dyDescent="0.25">
      <c r="A213" s="12">
        <f t="shared" si="12"/>
        <v>212</v>
      </c>
      <c r="B213" s="12">
        <v>696</v>
      </c>
      <c r="C213" s="20" t="s">
        <v>77</v>
      </c>
      <c r="D213" s="18">
        <v>45433</v>
      </c>
      <c r="E213" s="17">
        <v>6.9444444444444441E-3</v>
      </c>
      <c r="F213" s="12" t="s">
        <v>689</v>
      </c>
      <c r="G213" s="18">
        <v>38937</v>
      </c>
      <c r="H213" s="12" t="str">
        <f t="shared" si="15"/>
        <v>17 г. 9 мес. 13 дн.</v>
      </c>
      <c r="I213" s="12" t="s">
        <v>118</v>
      </c>
      <c r="K213" s="12" t="s">
        <v>688</v>
      </c>
      <c r="L213" s="12" t="s">
        <v>404</v>
      </c>
      <c r="M213" s="12" t="s">
        <v>52</v>
      </c>
      <c r="O213" s="12" t="s">
        <v>87</v>
      </c>
      <c r="S213" s="12" t="s">
        <v>23</v>
      </c>
      <c r="T213" s="18">
        <v>45433</v>
      </c>
      <c r="U213" s="17">
        <v>0.47916666666666669</v>
      </c>
      <c r="V213" s="12" t="str">
        <f t="shared" si="14"/>
        <v>0 г. 0 мес. 0 дн.</v>
      </c>
      <c r="W213" s="22"/>
      <c r="X213" s="72"/>
    </row>
    <row r="214" spans="1:24" ht="35.1" customHeight="1" x14ac:dyDescent="0.25">
      <c r="A214" s="12">
        <f t="shared" si="12"/>
        <v>213</v>
      </c>
      <c r="B214" s="12">
        <v>1175</v>
      </c>
      <c r="C214" s="20" t="s">
        <v>77</v>
      </c>
      <c r="D214" s="18">
        <v>45433</v>
      </c>
      <c r="E214" s="17">
        <v>0.6777777777777777</v>
      </c>
      <c r="F214" s="12" t="s">
        <v>690</v>
      </c>
      <c r="G214" s="18">
        <v>42306</v>
      </c>
      <c r="H214" s="12" t="str">
        <f t="shared" si="15"/>
        <v>8 г. 6 мес. 22 дн.</v>
      </c>
      <c r="I214" s="12" t="s">
        <v>118</v>
      </c>
      <c r="K214" s="12" t="s">
        <v>717</v>
      </c>
      <c r="L214" s="12" t="s">
        <v>691</v>
      </c>
      <c r="M214" s="12" t="s">
        <v>52</v>
      </c>
      <c r="O214" s="12" t="s">
        <v>87</v>
      </c>
      <c r="S214" s="12" t="s">
        <v>77</v>
      </c>
      <c r="T214" s="18">
        <v>45434</v>
      </c>
      <c r="U214" s="17">
        <v>0.45833333333333331</v>
      </c>
      <c r="V214" s="12" t="str">
        <f t="shared" si="14"/>
        <v>0 г. 0 мес. 1 дн.</v>
      </c>
      <c r="W214" s="22"/>
      <c r="X214" s="72"/>
    </row>
    <row r="215" spans="1:24" ht="35.1" customHeight="1" x14ac:dyDescent="0.25">
      <c r="A215" s="12">
        <f t="shared" si="12"/>
        <v>214</v>
      </c>
      <c r="B215" s="12">
        <v>637</v>
      </c>
      <c r="C215" s="20" t="s">
        <v>23</v>
      </c>
      <c r="D215" s="18">
        <v>45433</v>
      </c>
      <c r="E215" s="17">
        <v>0.52777777777777779</v>
      </c>
      <c r="F215" s="12" t="s">
        <v>693</v>
      </c>
      <c r="G215" s="18">
        <v>39588</v>
      </c>
      <c r="H215" s="12" t="str">
        <f t="shared" si="15"/>
        <v>16 г. 0 мес. 1 дн.</v>
      </c>
      <c r="I215" s="12" t="s">
        <v>119</v>
      </c>
      <c r="J215" s="12" t="s">
        <v>23</v>
      </c>
      <c r="K215" s="12" t="s">
        <v>718</v>
      </c>
      <c r="L215" s="12" t="s">
        <v>692</v>
      </c>
      <c r="M215" s="12" t="s">
        <v>51</v>
      </c>
      <c r="O215" s="12" t="s">
        <v>87</v>
      </c>
      <c r="S215" s="12" t="s">
        <v>23</v>
      </c>
      <c r="T215" s="18">
        <v>45434</v>
      </c>
      <c r="U215" s="17">
        <v>0.47916666666666669</v>
      </c>
      <c r="V215" s="12" t="str">
        <f t="shared" si="14"/>
        <v>0 г. 0 мес. 1 дн.</v>
      </c>
      <c r="W215" s="22"/>
      <c r="X215" s="72"/>
    </row>
    <row r="216" spans="1:24" ht="35.1" customHeight="1" x14ac:dyDescent="0.25">
      <c r="A216" s="12">
        <f t="shared" si="12"/>
        <v>215</v>
      </c>
      <c r="B216" s="12">
        <v>1174</v>
      </c>
      <c r="C216" s="20" t="s">
        <v>77</v>
      </c>
      <c r="D216" s="18">
        <v>45433</v>
      </c>
      <c r="E216" s="17">
        <v>0.84027777777777779</v>
      </c>
      <c r="F216" s="12" t="s">
        <v>694</v>
      </c>
      <c r="G216" s="18">
        <v>39938</v>
      </c>
      <c r="H216" s="12" t="str">
        <f t="shared" si="15"/>
        <v>15 г. 0 мес. 16 дн.</v>
      </c>
      <c r="I216" s="12" t="s">
        <v>121</v>
      </c>
      <c r="K216" s="12" t="s">
        <v>719</v>
      </c>
      <c r="L216" s="12" t="s">
        <v>695</v>
      </c>
      <c r="M216" s="12" t="s">
        <v>46</v>
      </c>
      <c r="O216" s="12" t="s">
        <v>87</v>
      </c>
      <c r="S216" s="12" t="s">
        <v>28</v>
      </c>
      <c r="T216" s="18">
        <v>45436</v>
      </c>
      <c r="U216" s="17">
        <v>0.54166666666666663</v>
      </c>
      <c r="V216" s="12" t="str">
        <f t="shared" si="14"/>
        <v>0 г. 0 мес. 3 дн.</v>
      </c>
      <c r="W216" s="22"/>
      <c r="X216" s="72"/>
    </row>
    <row r="217" spans="1:24" ht="35.1" customHeight="1" x14ac:dyDescent="0.25">
      <c r="A217" s="12">
        <f t="shared" si="12"/>
        <v>216</v>
      </c>
      <c r="B217" s="12">
        <v>437</v>
      </c>
      <c r="C217" s="20" t="s">
        <v>26</v>
      </c>
      <c r="D217" s="18">
        <v>45433</v>
      </c>
      <c r="E217" s="17">
        <v>0.58333333333333337</v>
      </c>
      <c r="F217" s="12" t="s">
        <v>696</v>
      </c>
      <c r="G217" s="18">
        <v>39297</v>
      </c>
      <c r="H217" s="12" t="str">
        <f t="shared" si="15"/>
        <v>16 г. 9 мес. 18 дн.</v>
      </c>
      <c r="I217" s="12" t="s">
        <v>118</v>
      </c>
      <c r="K217" s="12" t="s">
        <v>697</v>
      </c>
      <c r="L217" s="12" t="s">
        <v>698</v>
      </c>
      <c r="M217" s="12" t="s">
        <v>55</v>
      </c>
      <c r="O217" s="12" t="s">
        <v>87</v>
      </c>
      <c r="S217" s="12" t="s">
        <v>26</v>
      </c>
      <c r="T217" s="18">
        <v>45434</v>
      </c>
      <c r="U217" s="17">
        <v>0.45833333333333331</v>
      </c>
      <c r="V217" s="12" t="str">
        <f t="shared" si="14"/>
        <v>0 г. 0 мес. 1 дн.</v>
      </c>
      <c r="W217" s="22"/>
      <c r="X217" s="72"/>
    </row>
    <row r="218" spans="1:24" ht="35.1" customHeight="1" x14ac:dyDescent="0.25">
      <c r="A218" s="12">
        <f t="shared" si="12"/>
        <v>217</v>
      </c>
      <c r="B218" s="12">
        <v>703</v>
      </c>
      <c r="C218" s="20" t="s">
        <v>23</v>
      </c>
      <c r="D218" s="18">
        <v>45433</v>
      </c>
      <c r="E218" s="17">
        <v>0.78472222222222221</v>
      </c>
      <c r="F218" s="12" t="s">
        <v>704</v>
      </c>
      <c r="G218" s="18">
        <v>44621</v>
      </c>
      <c r="H218" s="12" t="str">
        <f t="shared" si="15"/>
        <v>2 г. 2 мес. 20 дн.</v>
      </c>
      <c r="I218" s="12" t="s">
        <v>118</v>
      </c>
      <c r="K218" s="12" t="s">
        <v>720</v>
      </c>
      <c r="L218" s="12" t="s">
        <v>699</v>
      </c>
      <c r="M218" s="12" t="s">
        <v>52</v>
      </c>
      <c r="O218" s="12" t="s">
        <v>87</v>
      </c>
      <c r="S218" s="12" t="s">
        <v>23</v>
      </c>
      <c r="T218" s="18">
        <v>45434</v>
      </c>
      <c r="U218" s="17">
        <v>0.5</v>
      </c>
      <c r="V218" s="12" t="str">
        <f t="shared" si="14"/>
        <v>0 г. 0 мес. 1 дн.</v>
      </c>
      <c r="W218" s="24"/>
      <c r="X218" s="72"/>
    </row>
    <row r="219" spans="1:24" s="13" customFormat="1" ht="35.1" customHeight="1" x14ac:dyDescent="0.25">
      <c r="A219" s="12">
        <f t="shared" si="12"/>
        <v>218</v>
      </c>
      <c r="B219" s="13">
        <v>1075</v>
      </c>
      <c r="C219" s="14" t="s">
        <v>77</v>
      </c>
      <c r="D219" s="18">
        <v>45434</v>
      </c>
      <c r="E219" s="15">
        <v>0.40972222222222227</v>
      </c>
      <c r="F219" s="13" t="s">
        <v>638</v>
      </c>
      <c r="G219" s="16">
        <v>43143</v>
      </c>
      <c r="H219" s="12" t="str">
        <f t="shared" si="15"/>
        <v>6 г. 3 мес. 10 дн.</v>
      </c>
      <c r="I219" s="12" t="s">
        <v>119</v>
      </c>
      <c r="J219" s="12" t="s">
        <v>77</v>
      </c>
      <c r="K219" s="13" t="s">
        <v>700</v>
      </c>
      <c r="L219" s="13" t="s">
        <v>701</v>
      </c>
      <c r="M219" s="13" t="s">
        <v>54</v>
      </c>
      <c r="O219" s="12" t="s">
        <v>73</v>
      </c>
      <c r="S219" s="14" t="s">
        <v>77</v>
      </c>
      <c r="T219" s="18">
        <v>45449</v>
      </c>
      <c r="U219" s="17">
        <v>0.5</v>
      </c>
      <c r="V219" s="12" t="str">
        <f t="shared" si="14"/>
        <v>0 г. 0 мес. 15 дн.</v>
      </c>
      <c r="W219" s="22"/>
      <c r="X219" s="74"/>
    </row>
    <row r="220" spans="1:24" ht="35.1" customHeight="1" x14ac:dyDescent="0.25">
      <c r="A220" s="12">
        <f t="shared" si="12"/>
        <v>219</v>
      </c>
      <c r="B220" s="12">
        <v>442</v>
      </c>
      <c r="C220" s="20" t="s">
        <v>77</v>
      </c>
      <c r="D220" s="18">
        <v>45434</v>
      </c>
      <c r="E220" s="17">
        <v>0.50347222222222221</v>
      </c>
      <c r="F220" s="12" t="s">
        <v>138</v>
      </c>
      <c r="G220" s="18">
        <v>45024</v>
      </c>
      <c r="H220" s="12" t="str">
        <f t="shared" si="15"/>
        <v>1 г. 1 мес. 14 дн.</v>
      </c>
      <c r="I220" s="12" t="s">
        <v>119</v>
      </c>
      <c r="J220" s="12" t="s">
        <v>77</v>
      </c>
      <c r="K220" s="12" t="s">
        <v>702</v>
      </c>
      <c r="L220" s="12" t="s">
        <v>703</v>
      </c>
      <c r="M220" s="12" t="s">
        <v>49</v>
      </c>
      <c r="O220" s="12" t="s">
        <v>87</v>
      </c>
      <c r="S220" s="12" t="s">
        <v>77</v>
      </c>
      <c r="T220" s="18">
        <v>45435</v>
      </c>
      <c r="U220" s="17">
        <v>0.41666666666666669</v>
      </c>
      <c r="V220" s="12" t="str">
        <f t="shared" si="14"/>
        <v>0 г. 0 мес. 1 дн.</v>
      </c>
      <c r="W220" s="22"/>
      <c r="X220" s="72"/>
    </row>
    <row r="221" spans="1:24" ht="35.1" customHeight="1" x14ac:dyDescent="0.25">
      <c r="A221" s="12">
        <f t="shared" si="12"/>
        <v>220</v>
      </c>
      <c r="B221" s="12">
        <v>620</v>
      </c>
      <c r="C221" s="20" t="s">
        <v>27</v>
      </c>
      <c r="D221" s="18">
        <v>45435</v>
      </c>
      <c r="E221" s="17">
        <v>0.50347222222222221</v>
      </c>
      <c r="F221" s="12" t="s">
        <v>705</v>
      </c>
      <c r="G221" s="18">
        <v>45348</v>
      </c>
      <c r="H221" s="12" t="str">
        <f t="shared" si="15"/>
        <v>0 г. 2 мес. 27 дн.</v>
      </c>
      <c r="I221" s="12" t="s">
        <v>120</v>
      </c>
      <c r="J221" s="12" t="s">
        <v>27</v>
      </c>
      <c r="K221" s="12" t="s">
        <v>707</v>
      </c>
      <c r="L221" s="12" t="s">
        <v>706</v>
      </c>
      <c r="M221" s="12" t="s">
        <v>45</v>
      </c>
      <c r="O221" s="12" t="s">
        <v>87</v>
      </c>
      <c r="S221" s="12" t="s">
        <v>27</v>
      </c>
      <c r="T221" s="18">
        <v>45435</v>
      </c>
      <c r="U221" s="17">
        <v>0.85416666666666663</v>
      </c>
      <c r="V221" s="12" t="str">
        <f t="shared" si="14"/>
        <v>0 г. 0 мес. 0 дн.</v>
      </c>
      <c r="W221" s="22"/>
      <c r="X221" s="72"/>
    </row>
    <row r="222" spans="1:24" ht="35.1" customHeight="1" x14ac:dyDescent="0.25">
      <c r="A222" s="12">
        <f t="shared" si="12"/>
        <v>221</v>
      </c>
      <c r="B222" s="12">
        <v>293</v>
      </c>
      <c r="C222" s="20" t="s">
        <v>28</v>
      </c>
      <c r="D222" s="18">
        <v>45436</v>
      </c>
      <c r="E222" s="17">
        <v>3.8194444444444441E-2</v>
      </c>
      <c r="F222" s="12" t="s">
        <v>708</v>
      </c>
      <c r="G222" s="18">
        <v>38869</v>
      </c>
      <c r="H222" s="12" t="str">
        <f t="shared" si="15"/>
        <v>17 г. 11 мес. 23 дн.</v>
      </c>
      <c r="I222" s="12" t="s">
        <v>118</v>
      </c>
      <c r="K222" s="12" t="s">
        <v>709</v>
      </c>
      <c r="L222" s="12" t="s">
        <v>710</v>
      </c>
      <c r="M222" s="12" t="s">
        <v>46</v>
      </c>
      <c r="O222" s="12" t="s">
        <v>87</v>
      </c>
      <c r="S222" s="12" t="s">
        <v>28</v>
      </c>
      <c r="T222" s="18">
        <v>45436</v>
      </c>
      <c r="U222" s="17">
        <v>0.5</v>
      </c>
      <c r="V222" s="12" t="str">
        <f t="shared" si="14"/>
        <v>0 г. 0 мес. 0 дн.</v>
      </c>
      <c r="W222" s="22"/>
      <c r="X222" s="72"/>
    </row>
    <row r="223" spans="1:24" ht="35.1" customHeight="1" x14ac:dyDescent="0.25">
      <c r="A223" s="12">
        <f t="shared" si="12"/>
        <v>222</v>
      </c>
      <c r="B223" s="12">
        <v>441</v>
      </c>
      <c r="C223" s="20" t="s">
        <v>26</v>
      </c>
      <c r="D223" s="18">
        <v>45435</v>
      </c>
      <c r="E223" s="17">
        <v>0.5</v>
      </c>
      <c r="F223" s="12" t="s">
        <v>711</v>
      </c>
      <c r="G223" s="18">
        <v>39505</v>
      </c>
      <c r="H223" s="12" t="str">
        <f t="shared" si="15"/>
        <v>16 г. 2 мес. 26 дн.</v>
      </c>
      <c r="I223" s="12" t="s">
        <v>118</v>
      </c>
      <c r="K223" s="12" t="s">
        <v>721</v>
      </c>
      <c r="L223" s="12" t="s">
        <v>712</v>
      </c>
      <c r="M223" s="12" t="s">
        <v>55</v>
      </c>
      <c r="O223" s="12" t="s">
        <v>87</v>
      </c>
      <c r="S223" s="12" t="s">
        <v>26</v>
      </c>
      <c r="T223" s="18">
        <v>45436</v>
      </c>
      <c r="U223" s="17">
        <v>0.45833333333333331</v>
      </c>
      <c r="V223" s="12" t="str">
        <f t="shared" si="14"/>
        <v>0 г. 0 мес. 1 дн.</v>
      </c>
      <c r="W223" s="22"/>
      <c r="X223" s="72"/>
    </row>
    <row r="224" spans="1:24" ht="35.1" customHeight="1" x14ac:dyDescent="0.25">
      <c r="A224" s="12">
        <f t="shared" si="12"/>
        <v>223</v>
      </c>
      <c r="B224" s="12">
        <v>1194</v>
      </c>
      <c r="C224" s="20" t="s">
        <v>77</v>
      </c>
      <c r="D224" s="18">
        <v>45437</v>
      </c>
      <c r="E224" s="17">
        <v>0.43055555555555558</v>
      </c>
      <c r="F224" s="12" t="s">
        <v>713</v>
      </c>
      <c r="G224" s="18">
        <v>42607</v>
      </c>
      <c r="H224" s="12" t="str">
        <f t="shared" si="15"/>
        <v>7 г. 9 мес. 0 дн.</v>
      </c>
      <c r="I224" s="12" t="s">
        <v>118</v>
      </c>
      <c r="K224" s="12" t="s">
        <v>722</v>
      </c>
      <c r="L224" s="12" t="s">
        <v>714</v>
      </c>
      <c r="M224" s="12" t="s">
        <v>46</v>
      </c>
      <c r="O224" s="12" t="s">
        <v>87</v>
      </c>
      <c r="S224" s="12" t="s">
        <v>77</v>
      </c>
      <c r="T224" s="18">
        <v>45439</v>
      </c>
      <c r="U224" s="17">
        <v>0.44791666666666669</v>
      </c>
      <c r="V224" s="12" t="str">
        <f t="shared" si="14"/>
        <v>0 г. 0 мес. 2 дн.</v>
      </c>
      <c r="W224" s="22"/>
      <c r="X224" s="72"/>
    </row>
    <row r="225" spans="1:24" ht="35.1" customHeight="1" x14ac:dyDescent="0.25">
      <c r="A225" s="12">
        <f t="shared" si="12"/>
        <v>224</v>
      </c>
      <c r="B225" s="12">
        <v>452</v>
      </c>
      <c r="C225" s="20" t="s">
        <v>80</v>
      </c>
      <c r="D225" s="18">
        <v>45438</v>
      </c>
      <c r="E225" s="17">
        <v>0.5</v>
      </c>
      <c r="F225" s="12" t="s">
        <v>758</v>
      </c>
      <c r="G225" s="18">
        <v>42529</v>
      </c>
      <c r="H225" s="12" t="str">
        <f t="shared" si="15"/>
        <v>7 г. 11 мес. 18 дн.</v>
      </c>
      <c r="I225" s="12" t="s">
        <v>118</v>
      </c>
      <c r="K225" s="12" t="s">
        <v>715</v>
      </c>
      <c r="L225" s="12" t="s">
        <v>716</v>
      </c>
      <c r="M225" s="12" t="s">
        <v>48</v>
      </c>
      <c r="N225" s="12">
        <v>213</v>
      </c>
      <c r="O225" s="12" t="s">
        <v>87</v>
      </c>
      <c r="S225" s="12" t="s">
        <v>31</v>
      </c>
      <c r="T225" s="18">
        <v>45447</v>
      </c>
      <c r="U225" s="17">
        <v>0.39583333333333331</v>
      </c>
      <c r="V225" s="12" t="str">
        <f t="shared" si="14"/>
        <v>0 г. 0 мес. 9 дн.</v>
      </c>
      <c r="W225" s="22"/>
      <c r="X225" s="72"/>
    </row>
    <row r="226" spans="1:24" ht="35.1" customHeight="1" x14ac:dyDescent="0.25">
      <c r="A226" s="12">
        <f t="shared" si="12"/>
        <v>225</v>
      </c>
      <c r="B226" s="12">
        <v>443</v>
      </c>
      <c r="C226" s="20" t="s">
        <v>26</v>
      </c>
      <c r="D226" s="18">
        <v>45436</v>
      </c>
      <c r="E226" s="17">
        <v>0.36458333333333331</v>
      </c>
      <c r="F226" s="12" t="s">
        <v>548</v>
      </c>
      <c r="G226" s="18">
        <v>40406</v>
      </c>
      <c r="H226" s="12" t="str">
        <f t="shared" si="15"/>
        <v>13 г. 9 мес. 8 дн.</v>
      </c>
      <c r="I226" s="12" t="s">
        <v>118</v>
      </c>
      <c r="K226" s="12" t="s">
        <v>549</v>
      </c>
      <c r="L226" s="12" t="s">
        <v>510</v>
      </c>
      <c r="M226" s="12" t="s">
        <v>43</v>
      </c>
      <c r="O226" s="12" t="s">
        <v>87</v>
      </c>
      <c r="S226" s="12" t="s">
        <v>26</v>
      </c>
      <c r="T226" s="18">
        <v>45438</v>
      </c>
      <c r="U226" s="17">
        <v>0.5</v>
      </c>
      <c r="V226" s="12" t="str">
        <f t="shared" si="14"/>
        <v>0 г. 0 мес. 2 дн.</v>
      </c>
      <c r="W226" s="22"/>
      <c r="X226" s="72"/>
    </row>
    <row r="227" spans="1:24" ht="35.1" customHeight="1" x14ac:dyDescent="0.25">
      <c r="A227" s="12">
        <f t="shared" si="12"/>
        <v>226</v>
      </c>
      <c r="B227" s="12">
        <v>1209</v>
      </c>
      <c r="C227" s="20" t="s">
        <v>77</v>
      </c>
      <c r="D227" s="18">
        <v>45439</v>
      </c>
      <c r="E227" s="17">
        <v>0.55555555555555558</v>
      </c>
      <c r="F227" s="12" t="s">
        <v>749</v>
      </c>
      <c r="G227" s="18">
        <v>44855</v>
      </c>
      <c r="H227" s="12" t="str">
        <f t="shared" si="15"/>
        <v>1 г. 7 мес. 6 дн.</v>
      </c>
      <c r="I227" s="12" t="s">
        <v>75</v>
      </c>
      <c r="K227" s="12" t="s">
        <v>147</v>
      </c>
      <c r="L227" s="12" t="s">
        <v>723</v>
      </c>
      <c r="M227" s="12" t="s">
        <v>49</v>
      </c>
      <c r="O227" s="12" t="s">
        <v>87</v>
      </c>
      <c r="S227" s="12" t="s">
        <v>77</v>
      </c>
      <c r="T227" s="18">
        <v>45440</v>
      </c>
      <c r="U227" s="17">
        <v>0.5</v>
      </c>
      <c r="V227" s="12" t="str">
        <f t="shared" si="14"/>
        <v>0 г. 0 мес. 1 дн.</v>
      </c>
      <c r="W227" s="22"/>
      <c r="X227" s="72"/>
    </row>
    <row r="228" spans="1:24" ht="35.1" customHeight="1" x14ac:dyDescent="0.25">
      <c r="A228" s="12">
        <f t="shared" si="12"/>
        <v>227</v>
      </c>
      <c r="B228" s="12">
        <v>738</v>
      </c>
      <c r="C228" s="20" t="s">
        <v>23</v>
      </c>
      <c r="D228" s="18">
        <v>45439</v>
      </c>
      <c r="E228" s="17">
        <v>0.98611111111111116</v>
      </c>
      <c r="F228" s="12" t="s">
        <v>724</v>
      </c>
      <c r="G228" s="18">
        <v>39715</v>
      </c>
      <c r="H228" s="12" t="str">
        <f t="shared" si="15"/>
        <v>15 г. 8 мес. 3 дн.</v>
      </c>
      <c r="I228" s="12" t="s">
        <v>118</v>
      </c>
      <c r="K228" s="12" t="s">
        <v>725</v>
      </c>
      <c r="L228" s="12" t="s">
        <v>726</v>
      </c>
      <c r="M228" s="12" t="s">
        <v>51</v>
      </c>
      <c r="O228" s="12" t="s">
        <v>87</v>
      </c>
      <c r="P228" s="12" t="s">
        <v>94</v>
      </c>
      <c r="S228" s="12" t="s">
        <v>77</v>
      </c>
      <c r="T228" s="18">
        <v>45446</v>
      </c>
      <c r="U228" s="17">
        <v>0.54166666666666663</v>
      </c>
      <c r="V228" s="12" t="str">
        <f t="shared" si="14"/>
        <v>0 г. 0 мес. 7 дн.</v>
      </c>
      <c r="W228" s="22"/>
      <c r="X228" s="72"/>
    </row>
    <row r="229" spans="1:24" ht="35.1" customHeight="1" x14ac:dyDescent="0.25">
      <c r="A229" s="12">
        <f t="shared" si="12"/>
        <v>228</v>
      </c>
      <c r="B229" s="12">
        <v>1216</v>
      </c>
      <c r="C229" s="20" t="s">
        <v>77</v>
      </c>
      <c r="D229" s="18">
        <v>45440</v>
      </c>
      <c r="E229" s="17">
        <v>0.56944444444444442</v>
      </c>
      <c r="F229" s="12" t="s">
        <v>727</v>
      </c>
      <c r="G229" s="18">
        <v>39369</v>
      </c>
      <c r="H229" s="12" t="str">
        <f t="shared" si="15"/>
        <v>16 г. 7 мес. 14 дн.</v>
      </c>
      <c r="I229" s="12" t="s">
        <v>119</v>
      </c>
      <c r="J229" s="12" t="s">
        <v>77</v>
      </c>
      <c r="K229" s="12" t="s">
        <v>187</v>
      </c>
      <c r="L229" s="12" t="s">
        <v>728</v>
      </c>
      <c r="M229" s="12" t="s">
        <v>49</v>
      </c>
      <c r="O229" s="12" t="s">
        <v>73</v>
      </c>
      <c r="P229" s="12" t="s">
        <v>94</v>
      </c>
      <c r="S229" s="12" t="s">
        <v>77</v>
      </c>
      <c r="T229" s="18">
        <v>45443</v>
      </c>
      <c r="U229" s="17">
        <v>0.5</v>
      </c>
      <c r="V229" s="12" t="str">
        <f t="shared" si="14"/>
        <v>0 г. 0 мес. 3 дн.</v>
      </c>
      <c r="W229" s="22"/>
      <c r="X229" s="72"/>
    </row>
    <row r="230" spans="1:24" ht="35.1" customHeight="1" x14ac:dyDescent="0.25">
      <c r="A230" s="12">
        <f t="shared" si="12"/>
        <v>229</v>
      </c>
      <c r="B230" s="12">
        <v>726</v>
      </c>
      <c r="C230" s="20" t="s">
        <v>23</v>
      </c>
      <c r="D230" s="18">
        <v>45440</v>
      </c>
      <c r="E230" s="17">
        <v>0.67708333333333337</v>
      </c>
      <c r="F230" s="12" t="s">
        <v>729</v>
      </c>
      <c r="G230" s="18">
        <v>41128</v>
      </c>
      <c r="H230" s="12" t="str">
        <f t="shared" si="15"/>
        <v>11 г. 9 мес. 21 дн.</v>
      </c>
      <c r="I230" s="12" t="s">
        <v>119</v>
      </c>
      <c r="J230" s="12" t="s">
        <v>77</v>
      </c>
      <c r="K230" s="12" t="s">
        <v>730</v>
      </c>
      <c r="L230" s="12" t="s">
        <v>731</v>
      </c>
      <c r="M230" s="12" t="s">
        <v>51</v>
      </c>
      <c r="O230" s="12" t="s">
        <v>87</v>
      </c>
      <c r="P230" s="12" t="s">
        <v>94</v>
      </c>
      <c r="S230" s="12" t="s">
        <v>23</v>
      </c>
      <c r="T230" s="18">
        <v>45441</v>
      </c>
      <c r="U230" s="17">
        <v>0.41666666666666669</v>
      </c>
      <c r="V230" s="12" t="str">
        <f t="shared" si="14"/>
        <v>0 г. 0 мес. 1 дн.</v>
      </c>
      <c r="W230" s="22"/>
      <c r="X230" s="72"/>
    </row>
    <row r="231" spans="1:24" ht="35.1" customHeight="1" x14ac:dyDescent="0.25">
      <c r="A231" s="12">
        <f t="shared" si="12"/>
        <v>230</v>
      </c>
      <c r="B231" s="12">
        <v>748</v>
      </c>
      <c r="C231" s="20" t="s">
        <v>23</v>
      </c>
      <c r="D231" s="18">
        <v>45440</v>
      </c>
      <c r="E231" s="17">
        <v>0.95833333333333337</v>
      </c>
      <c r="F231" s="12" t="s">
        <v>734</v>
      </c>
      <c r="G231" s="18">
        <v>39381</v>
      </c>
      <c r="H231" s="12" t="str">
        <f t="shared" si="15"/>
        <v>16 г. 7 мес. 2 дн.</v>
      </c>
      <c r="I231" s="12" t="s">
        <v>118</v>
      </c>
      <c r="K231" s="12" t="s">
        <v>732</v>
      </c>
      <c r="L231" s="12" t="s">
        <v>733</v>
      </c>
      <c r="M231" s="12" t="s">
        <v>46</v>
      </c>
      <c r="O231" s="12" t="s">
        <v>87</v>
      </c>
      <c r="Q231" s="12" t="s">
        <v>100</v>
      </c>
      <c r="S231" s="12" t="s">
        <v>23</v>
      </c>
      <c r="T231" s="18">
        <v>45442</v>
      </c>
      <c r="U231" s="17">
        <v>0.45833333333333331</v>
      </c>
      <c r="V231" s="12" t="str">
        <f t="shared" si="14"/>
        <v>0 г. 0 мес. 2 дн.</v>
      </c>
      <c r="W231" s="22"/>
      <c r="X231" s="72"/>
    </row>
    <row r="232" spans="1:24" ht="35.1" customHeight="1" x14ac:dyDescent="0.25">
      <c r="A232" s="12">
        <f t="shared" si="12"/>
        <v>231</v>
      </c>
      <c r="B232" s="12">
        <v>460</v>
      </c>
      <c r="C232" s="20" t="s">
        <v>26</v>
      </c>
      <c r="D232" s="18">
        <v>45441</v>
      </c>
      <c r="E232" s="17">
        <v>0.625</v>
      </c>
      <c r="F232" s="12" t="s">
        <v>735</v>
      </c>
      <c r="G232" s="18">
        <v>43608</v>
      </c>
      <c r="H232" s="12" t="str">
        <f t="shared" si="15"/>
        <v>5 г. 0 мес. 6 дн.</v>
      </c>
      <c r="I232" s="12" t="s">
        <v>120</v>
      </c>
      <c r="J232" s="12" t="s">
        <v>26</v>
      </c>
      <c r="K232" s="12" t="s">
        <v>736</v>
      </c>
      <c r="L232" s="12" t="s">
        <v>737</v>
      </c>
      <c r="M232" s="12" t="s">
        <v>48</v>
      </c>
      <c r="O232" s="12" t="s">
        <v>87</v>
      </c>
      <c r="Q232" s="12" t="s">
        <v>101</v>
      </c>
      <c r="S232" s="12" t="s">
        <v>26</v>
      </c>
      <c r="T232" s="18">
        <v>45441</v>
      </c>
      <c r="U232" s="17">
        <v>0.875</v>
      </c>
      <c r="V232" s="12" t="str">
        <f t="shared" si="14"/>
        <v>0 г. 0 мес. 0 дн.</v>
      </c>
      <c r="W232" s="22"/>
      <c r="X232" s="72"/>
    </row>
    <row r="233" spans="1:24" ht="35.1" customHeight="1" x14ac:dyDescent="0.25">
      <c r="A233" s="12">
        <f t="shared" si="12"/>
        <v>232</v>
      </c>
      <c r="B233" s="12">
        <v>257</v>
      </c>
      <c r="C233" s="20" t="s">
        <v>25</v>
      </c>
      <c r="D233" s="18">
        <v>45441</v>
      </c>
      <c r="E233" s="17">
        <v>0.625</v>
      </c>
      <c r="F233" s="12" t="s">
        <v>738</v>
      </c>
      <c r="G233" s="18">
        <v>45422</v>
      </c>
      <c r="H233" s="12" t="str">
        <f t="shared" si="15"/>
        <v>0 г. 0 мес. 19 дн.</v>
      </c>
      <c r="I233" s="12" t="s">
        <v>120</v>
      </c>
      <c r="J233" s="12" t="s">
        <v>25</v>
      </c>
      <c r="K233" s="12" t="s">
        <v>739</v>
      </c>
      <c r="L233" s="12" t="s">
        <v>740</v>
      </c>
      <c r="M233" s="12" t="s">
        <v>42</v>
      </c>
      <c r="O233" s="12" t="s">
        <v>87</v>
      </c>
      <c r="Q233" s="12" t="s">
        <v>101</v>
      </c>
      <c r="S233" s="20" t="s">
        <v>25</v>
      </c>
      <c r="T233" s="18">
        <v>45441</v>
      </c>
      <c r="U233" s="17">
        <v>0.88888888888888884</v>
      </c>
      <c r="V233" s="12" t="str">
        <f t="shared" si="14"/>
        <v>0 г. 0 мес. 0 дн.</v>
      </c>
      <c r="W233" s="22"/>
      <c r="X233" s="72"/>
    </row>
    <row r="234" spans="1:24" ht="35.1" customHeight="1" x14ac:dyDescent="0.25">
      <c r="A234" s="12">
        <f t="shared" si="12"/>
        <v>233</v>
      </c>
      <c r="B234" s="12">
        <v>1238</v>
      </c>
      <c r="C234" s="20" t="s">
        <v>77</v>
      </c>
      <c r="D234" s="18">
        <v>45443</v>
      </c>
      <c r="E234" s="17">
        <v>0.63541666666666663</v>
      </c>
      <c r="F234" s="12" t="s">
        <v>741</v>
      </c>
      <c r="G234" s="18">
        <v>45415</v>
      </c>
      <c r="H234" s="12" t="str">
        <f t="shared" si="15"/>
        <v>0 г. 0 мес. 28 дн.</v>
      </c>
      <c r="I234" s="12" t="s">
        <v>118</v>
      </c>
      <c r="K234" s="12" t="s">
        <v>748</v>
      </c>
      <c r="L234" s="12" t="s">
        <v>701</v>
      </c>
      <c r="M234" s="12" t="s">
        <v>54</v>
      </c>
      <c r="O234" s="12" t="s">
        <v>87</v>
      </c>
      <c r="S234" s="20" t="s">
        <v>77</v>
      </c>
      <c r="T234" s="18">
        <v>45445</v>
      </c>
      <c r="U234" s="17">
        <v>0.58333333333333337</v>
      </c>
      <c r="V234" s="12" t="str">
        <f t="shared" si="14"/>
        <v>0 г. 0 мес. 2 дн.</v>
      </c>
      <c r="W234" s="22"/>
      <c r="X234" s="72"/>
    </row>
    <row r="235" spans="1:24" ht="35.1" customHeight="1" x14ac:dyDescent="0.25">
      <c r="A235" s="12">
        <f t="shared" si="12"/>
        <v>234</v>
      </c>
      <c r="B235" s="12">
        <v>468</v>
      </c>
      <c r="C235" s="20" t="s">
        <v>26</v>
      </c>
      <c r="D235" s="18">
        <v>45443</v>
      </c>
      <c r="E235" s="17">
        <v>0.71527777777777779</v>
      </c>
      <c r="F235" s="12" t="s">
        <v>742</v>
      </c>
      <c r="G235" s="18">
        <v>39773</v>
      </c>
      <c r="H235" s="12" t="str">
        <f t="shared" si="15"/>
        <v>15 г. 6 мес. 10 дн.</v>
      </c>
      <c r="I235" s="12" t="s">
        <v>120</v>
      </c>
      <c r="J235" s="12" t="s">
        <v>26</v>
      </c>
      <c r="K235" s="12" t="s">
        <v>747</v>
      </c>
      <c r="L235" s="12" t="s">
        <v>743</v>
      </c>
      <c r="M235" s="12" t="s">
        <v>47</v>
      </c>
      <c r="O235" s="12" t="s">
        <v>73</v>
      </c>
      <c r="Q235" s="12" t="s">
        <v>100</v>
      </c>
      <c r="S235" s="20" t="s">
        <v>26</v>
      </c>
      <c r="T235" s="18">
        <v>45446</v>
      </c>
      <c r="U235" s="17">
        <v>0.54166666666666663</v>
      </c>
      <c r="V235" s="12" t="str">
        <f t="shared" si="14"/>
        <v>0 г. 0 мес. 3 дн.</v>
      </c>
      <c r="W235" s="22"/>
      <c r="X235" s="72"/>
    </row>
    <row r="236" spans="1:24" ht="35.1" customHeight="1" x14ac:dyDescent="0.25">
      <c r="A236" s="12">
        <f t="shared" si="12"/>
        <v>235</v>
      </c>
      <c r="B236" s="12">
        <v>779</v>
      </c>
      <c r="C236" s="20" t="s">
        <v>23</v>
      </c>
      <c r="D236" s="18">
        <v>45444</v>
      </c>
      <c r="E236" s="17">
        <v>0.72916666666666663</v>
      </c>
      <c r="F236" s="12" t="s">
        <v>744</v>
      </c>
      <c r="G236" s="18">
        <v>40440</v>
      </c>
      <c r="H236" s="12" t="str">
        <f t="shared" si="15"/>
        <v>13 г. 8 мес. 13 дн.</v>
      </c>
      <c r="I236" s="12" t="s">
        <v>118</v>
      </c>
      <c r="K236" s="12" t="s">
        <v>745</v>
      </c>
      <c r="L236" s="12" t="s">
        <v>746</v>
      </c>
      <c r="M236" s="12" t="s">
        <v>46</v>
      </c>
      <c r="O236" s="12" t="s">
        <v>87</v>
      </c>
      <c r="S236" s="12" t="s">
        <v>23</v>
      </c>
      <c r="T236" s="18">
        <v>45445</v>
      </c>
      <c r="U236" s="17">
        <v>0.45833333333333331</v>
      </c>
      <c r="V236" s="12" t="str">
        <f t="shared" si="14"/>
        <v>0 г. 0 мес. 1 дн.</v>
      </c>
      <c r="W236" s="22"/>
      <c r="X236" s="72"/>
    </row>
    <row r="237" spans="1:24" ht="35.1" customHeight="1" x14ac:dyDescent="0.25">
      <c r="A237" s="12">
        <f t="shared" si="12"/>
        <v>236</v>
      </c>
      <c r="B237" s="12">
        <v>467</v>
      </c>
      <c r="C237" s="20" t="s">
        <v>26</v>
      </c>
      <c r="D237" s="18">
        <v>45443</v>
      </c>
      <c r="E237" s="17">
        <v>0.65486111111111112</v>
      </c>
      <c r="F237" s="12" t="s">
        <v>750</v>
      </c>
      <c r="G237" s="18">
        <v>39257</v>
      </c>
      <c r="H237" s="12" t="str">
        <f t="shared" si="15"/>
        <v>16 г. 11 мес. 7 дн.</v>
      </c>
      <c r="I237" s="12" t="s">
        <v>118</v>
      </c>
      <c r="K237" s="12" t="s">
        <v>751</v>
      </c>
      <c r="L237" s="12" t="s">
        <v>148</v>
      </c>
      <c r="M237" s="12" t="s">
        <v>55</v>
      </c>
      <c r="O237" s="12" t="s">
        <v>87</v>
      </c>
      <c r="S237" s="20" t="s">
        <v>26</v>
      </c>
      <c r="T237" s="18">
        <v>45444</v>
      </c>
      <c r="U237" s="17">
        <v>0.5</v>
      </c>
      <c r="V237" s="12" t="str">
        <f t="shared" si="14"/>
        <v>0 г. 0 мес. 1 дн.</v>
      </c>
      <c r="W237" s="22"/>
      <c r="X237" s="72"/>
    </row>
    <row r="238" spans="1:24" ht="35.1" customHeight="1" x14ac:dyDescent="0.25">
      <c r="A238" s="12">
        <f t="shared" si="12"/>
        <v>237</v>
      </c>
      <c r="B238" s="12">
        <v>253</v>
      </c>
      <c r="C238" s="20" t="s">
        <v>24</v>
      </c>
      <c r="D238" s="18">
        <v>45441</v>
      </c>
      <c r="E238" s="17">
        <v>0.52083333333333337</v>
      </c>
      <c r="F238" s="12" t="s">
        <v>752</v>
      </c>
      <c r="G238" s="18">
        <v>42560</v>
      </c>
      <c r="H238" s="12" t="str">
        <f t="shared" si="15"/>
        <v>7 г. 10 мес. 20 дн.</v>
      </c>
      <c r="I238" s="12" t="s">
        <v>121</v>
      </c>
      <c r="K238" s="12" t="s">
        <v>753</v>
      </c>
      <c r="L238" s="12" t="s">
        <v>754</v>
      </c>
      <c r="M238" s="12" t="s">
        <v>50</v>
      </c>
      <c r="O238" s="12" t="s">
        <v>87</v>
      </c>
      <c r="S238" s="20" t="s">
        <v>24</v>
      </c>
      <c r="T238" s="18">
        <v>45443</v>
      </c>
      <c r="U238" s="17">
        <v>0.72916666666666663</v>
      </c>
      <c r="V238" s="12" t="str">
        <f t="shared" si="14"/>
        <v>0 г. 0 мес. 2 дн.</v>
      </c>
      <c r="W238" s="22"/>
      <c r="X238" s="72"/>
    </row>
    <row r="239" spans="1:24" ht="35.1" customHeight="1" x14ac:dyDescent="0.25">
      <c r="A239" s="12">
        <f t="shared" si="12"/>
        <v>238</v>
      </c>
      <c r="B239" s="12">
        <v>474</v>
      </c>
      <c r="C239" s="20" t="s">
        <v>26</v>
      </c>
      <c r="D239" s="18">
        <v>45447</v>
      </c>
      <c r="E239" s="17">
        <v>0.6875</v>
      </c>
      <c r="F239" s="12" t="s">
        <v>755</v>
      </c>
      <c r="G239" s="18">
        <v>43432</v>
      </c>
      <c r="H239" s="12" t="str">
        <f t="shared" si="15"/>
        <v>5 г. 6 мес. 7 дн.</v>
      </c>
      <c r="I239" s="12" t="s">
        <v>118</v>
      </c>
      <c r="K239" s="12" t="s">
        <v>756</v>
      </c>
      <c r="L239" s="12" t="s">
        <v>757</v>
      </c>
      <c r="M239" s="12" t="s">
        <v>46</v>
      </c>
      <c r="O239" s="12" t="s">
        <v>87</v>
      </c>
      <c r="S239" s="12" t="s">
        <v>28</v>
      </c>
      <c r="T239" s="18">
        <v>45448</v>
      </c>
      <c r="U239" s="17">
        <v>0.58333333333333337</v>
      </c>
      <c r="V239" s="12" t="str">
        <f t="shared" si="14"/>
        <v>0 г. 0 мес. 1 дн.</v>
      </c>
      <c r="W239" s="22"/>
      <c r="X239" s="72"/>
    </row>
    <row r="240" spans="1:24" ht="35.1" customHeight="1" x14ac:dyDescent="0.25">
      <c r="A240" s="12">
        <f t="shared" si="12"/>
        <v>239</v>
      </c>
      <c r="B240" s="12">
        <v>328</v>
      </c>
      <c r="C240" s="20" t="s">
        <v>28</v>
      </c>
      <c r="D240" s="18">
        <v>45448</v>
      </c>
      <c r="E240" s="17">
        <v>0.56944444444444442</v>
      </c>
      <c r="F240" s="12" t="s">
        <v>759</v>
      </c>
      <c r="G240" s="18">
        <v>40122</v>
      </c>
      <c r="H240" s="12" t="str">
        <f t="shared" si="15"/>
        <v>14 г. 7 мес. 0 дн.</v>
      </c>
      <c r="I240" s="12" t="s">
        <v>118</v>
      </c>
      <c r="K240" s="12" t="s">
        <v>760</v>
      </c>
      <c r="L240" s="12" t="s">
        <v>533</v>
      </c>
      <c r="M240" s="12" t="s">
        <v>46</v>
      </c>
      <c r="O240" s="12" t="s">
        <v>87</v>
      </c>
      <c r="S240" s="12" t="s">
        <v>28</v>
      </c>
      <c r="T240" s="18">
        <v>45457</v>
      </c>
      <c r="U240" s="17">
        <v>0.58333333333333337</v>
      </c>
      <c r="V240" s="12" t="str">
        <f t="shared" si="14"/>
        <v>0 г. 0 мес. 9 дн.</v>
      </c>
      <c r="W240" s="22"/>
      <c r="X240" s="72"/>
    </row>
    <row r="241" spans="1:24" ht="35.1" customHeight="1" x14ac:dyDescent="0.25">
      <c r="A241" s="12">
        <f t="shared" si="12"/>
        <v>240</v>
      </c>
      <c r="B241" s="12">
        <v>819</v>
      </c>
      <c r="C241" s="20" t="s">
        <v>23</v>
      </c>
      <c r="D241" s="18">
        <v>45449</v>
      </c>
      <c r="E241" s="17">
        <v>0.9375</v>
      </c>
      <c r="F241" s="12" t="s">
        <v>761</v>
      </c>
      <c r="G241" s="18">
        <v>40752</v>
      </c>
      <c r="H241" s="12" t="str">
        <f t="shared" si="15"/>
        <v>12 г. 10 мес. 9 дн.</v>
      </c>
      <c r="I241" s="12" t="s">
        <v>119</v>
      </c>
      <c r="J241" s="12" t="s">
        <v>23</v>
      </c>
      <c r="K241" s="12" t="s">
        <v>493</v>
      </c>
      <c r="L241" s="12" t="s">
        <v>762</v>
      </c>
      <c r="M241" s="12" t="s">
        <v>52</v>
      </c>
      <c r="O241" s="12" t="s">
        <v>87</v>
      </c>
      <c r="S241" s="12" t="s">
        <v>23</v>
      </c>
      <c r="T241" s="18">
        <v>45450</v>
      </c>
      <c r="U241" s="17">
        <v>0.43124999999999997</v>
      </c>
      <c r="V241" s="12" t="str">
        <f t="shared" si="14"/>
        <v>0 г. 0 мес. 1 дн.</v>
      </c>
      <c r="W241" s="22"/>
      <c r="X241" s="72"/>
    </row>
    <row r="242" spans="1:24" ht="35.1" customHeight="1" x14ac:dyDescent="0.25">
      <c r="A242" s="12">
        <f t="shared" si="12"/>
        <v>241</v>
      </c>
      <c r="B242" s="12">
        <v>1293</v>
      </c>
      <c r="C242" s="20" t="s">
        <v>77</v>
      </c>
      <c r="D242" s="18">
        <v>45451</v>
      </c>
      <c r="E242" s="17">
        <v>0.5625</v>
      </c>
      <c r="F242" s="12" t="s">
        <v>763</v>
      </c>
      <c r="G242" s="18">
        <v>41047</v>
      </c>
      <c r="H242" s="12" t="str">
        <f t="shared" si="15"/>
        <v>12 г. 0 мес. 21 дн.</v>
      </c>
      <c r="I242" s="12" t="s">
        <v>118</v>
      </c>
      <c r="K242" s="12" t="s">
        <v>764</v>
      </c>
      <c r="L242" s="12" t="s">
        <v>765</v>
      </c>
      <c r="M242" s="12" t="s">
        <v>52</v>
      </c>
      <c r="O242" s="12" t="s">
        <v>73</v>
      </c>
      <c r="Q242" s="12" t="s">
        <v>124</v>
      </c>
      <c r="S242" s="12" t="s">
        <v>77</v>
      </c>
      <c r="T242" s="18">
        <v>45454</v>
      </c>
      <c r="U242" s="17">
        <v>0.78055555555555556</v>
      </c>
      <c r="V242" s="12" t="str">
        <f t="shared" si="14"/>
        <v>0 г. 0 мес. 3 дн.</v>
      </c>
      <c r="W242" s="22"/>
      <c r="X242" s="72"/>
    </row>
    <row r="243" spans="1:24" ht="35.1" customHeight="1" x14ac:dyDescent="0.25">
      <c r="A243" s="56">
        <f>ROW(A242)</f>
        <v>242</v>
      </c>
      <c r="B243" s="56">
        <v>486</v>
      </c>
      <c r="C243" s="57" t="s">
        <v>80</v>
      </c>
      <c r="D243" s="58">
        <v>45452</v>
      </c>
      <c r="E243" s="59">
        <v>0.3263888888888889</v>
      </c>
      <c r="F243" s="60" t="s">
        <v>768</v>
      </c>
      <c r="G243" s="58">
        <v>42531</v>
      </c>
      <c r="H243" s="56" t="str">
        <f t="shared" si="15"/>
        <v>7 г. 11 мес. 30 дн.</v>
      </c>
      <c r="I243" s="56" t="s">
        <v>118</v>
      </c>
      <c r="J243" s="60"/>
      <c r="K243" s="60" t="s">
        <v>769</v>
      </c>
      <c r="L243" s="60" t="s">
        <v>770</v>
      </c>
      <c r="M243" s="60" t="s">
        <v>48</v>
      </c>
      <c r="N243" s="56"/>
      <c r="O243" s="60" t="s">
        <v>87</v>
      </c>
      <c r="P243" s="60"/>
      <c r="Q243" s="60"/>
      <c r="R243" s="60"/>
      <c r="S243" s="60" t="s">
        <v>80</v>
      </c>
      <c r="T243" s="58">
        <v>45460</v>
      </c>
      <c r="U243" s="59">
        <v>0.5</v>
      </c>
      <c r="V243" s="12" t="str">
        <f t="shared" si="14"/>
        <v>0 г. 0 мес. 8 дн.</v>
      </c>
      <c r="W243" s="61"/>
      <c r="X243" s="72"/>
    </row>
    <row r="244" spans="1:24" ht="35.1" customHeight="1" x14ac:dyDescent="0.25">
      <c r="A244" s="12">
        <f>ROW(A242)</f>
        <v>242</v>
      </c>
      <c r="B244" s="12">
        <v>1302</v>
      </c>
      <c r="C244" s="20" t="s">
        <v>77</v>
      </c>
      <c r="D244" s="18">
        <v>45453</v>
      </c>
      <c r="E244" s="17">
        <v>5.5555555555555552E-2</v>
      </c>
      <c r="F244" s="12" t="s">
        <v>766</v>
      </c>
      <c r="G244" s="18">
        <v>43916</v>
      </c>
      <c r="H244" s="12" t="str">
        <f t="shared" si="15"/>
        <v>4 г. 2 мес. 15 дн.</v>
      </c>
      <c r="I244" s="12" t="s">
        <v>118</v>
      </c>
      <c r="K244" s="12" t="s">
        <v>767</v>
      </c>
      <c r="L244" s="12" t="s">
        <v>351</v>
      </c>
      <c r="M244" s="12" t="s">
        <v>46</v>
      </c>
      <c r="O244" s="12" t="s">
        <v>73</v>
      </c>
      <c r="S244" s="12" t="s">
        <v>31</v>
      </c>
      <c r="T244" s="18">
        <v>45457</v>
      </c>
      <c r="U244" s="17">
        <v>0.75</v>
      </c>
      <c r="V244" s="12" t="str">
        <f t="shared" si="14"/>
        <v>0 г. 0 мес. 4 дн.</v>
      </c>
      <c r="W244" s="22"/>
      <c r="X244" s="72"/>
    </row>
    <row r="245" spans="1:24" ht="35.1" customHeight="1" x14ac:dyDescent="0.25">
      <c r="A245" s="12">
        <f t="shared" si="12"/>
        <v>244</v>
      </c>
      <c r="B245" s="12">
        <v>1316</v>
      </c>
      <c r="C245" s="20" t="s">
        <v>77</v>
      </c>
      <c r="D245" s="18">
        <v>45454</v>
      </c>
      <c r="E245" s="17">
        <v>0.60763888888888895</v>
      </c>
      <c r="F245" s="12" t="s">
        <v>845</v>
      </c>
      <c r="G245" s="18">
        <v>44434</v>
      </c>
      <c r="H245" s="12" t="str">
        <f t="shared" si="15"/>
        <v>2 г. 9 мес. 16 дн.</v>
      </c>
      <c r="I245" s="12" t="s">
        <v>121</v>
      </c>
      <c r="K245" s="12" t="s">
        <v>771</v>
      </c>
      <c r="L245" s="12" t="s">
        <v>773</v>
      </c>
      <c r="M245" s="12" t="s">
        <v>52</v>
      </c>
      <c r="O245" s="60" t="s">
        <v>87</v>
      </c>
      <c r="S245" s="12" t="s">
        <v>77</v>
      </c>
      <c r="T245" s="18">
        <v>45455</v>
      </c>
      <c r="U245" s="17">
        <v>0.61249999999999993</v>
      </c>
      <c r="V245" s="12" t="str">
        <f t="shared" si="14"/>
        <v>0 г. 0 мес. 1 дн.</v>
      </c>
      <c r="W245" s="22"/>
      <c r="X245" s="72"/>
    </row>
    <row r="246" spans="1:24" ht="35.1" customHeight="1" x14ac:dyDescent="0.25">
      <c r="A246" s="12">
        <f t="shared" si="12"/>
        <v>245</v>
      </c>
      <c r="B246" s="12">
        <v>1310</v>
      </c>
      <c r="C246" s="20" t="s">
        <v>77</v>
      </c>
      <c r="D246" s="18">
        <v>45453</v>
      </c>
      <c r="E246" s="17">
        <v>0.75</v>
      </c>
      <c r="F246" s="12" t="s">
        <v>844</v>
      </c>
      <c r="G246" s="18">
        <v>42558</v>
      </c>
      <c r="H246" s="12" t="str">
        <f t="shared" si="15"/>
        <v>7 г. 11 мес. 3 дн.</v>
      </c>
      <c r="I246" s="12" t="s">
        <v>75</v>
      </c>
      <c r="K246" s="12" t="s">
        <v>772</v>
      </c>
      <c r="L246" s="12" t="s">
        <v>774</v>
      </c>
      <c r="M246" s="12" t="s">
        <v>52</v>
      </c>
      <c r="O246" s="60" t="s">
        <v>87</v>
      </c>
      <c r="S246" s="12" t="s">
        <v>77</v>
      </c>
      <c r="T246" s="18">
        <v>45455</v>
      </c>
      <c r="U246" s="17">
        <v>0.93680555555555556</v>
      </c>
      <c r="V246" s="12" t="str">
        <f t="shared" si="14"/>
        <v>0 г. 0 мес. 2 дн.</v>
      </c>
      <c r="W246" s="22"/>
      <c r="X246" s="72"/>
    </row>
    <row r="247" spans="1:24" ht="35.1" customHeight="1" x14ac:dyDescent="0.25">
      <c r="A247" s="12">
        <f t="shared" si="12"/>
        <v>246</v>
      </c>
      <c r="B247" s="12">
        <v>526</v>
      </c>
      <c r="C247" s="20" t="s">
        <v>26</v>
      </c>
      <c r="D247" s="18">
        <v>45457</v>
      </c>
      <c r="E247" s="17">
        <v>0.53819444444444442</v>
      </c>
      <c r="F247" s="12" t="s">
        <v>857</v>
      </c>
      <c r="G247" s="18">
        <v>43603</v>
      </c>
      <c r="H247" s="12" t="str">
        <f t="shared" si="15"/>
        <v>5 г. 0 мес. 27 дн.</v>
      </c>
      <c r="I247" s="12" t="s">
        <v>118</v>
      </c>
      <c r="K247" s="12" t="s">
        <v>859</v>
      </c>
      <c r="L247" s="12" t="s">
        <v>858</v>
      </c>
      <c r="M247" s="12" t="s">
        <v>56</v>
      </c>
      <c r="O247" s="60" t="s">
        <v>87</v>
      </c>
      <c r="S247" s="12" t="s">
        <v>26</v>
      </c>
      <c r="T247" s="18">
        <v>45460</v>
      </c>
      <c r="U247" s="17">
        <v>0.58472222222222225</v>
      </c>
      <c r="V247" s="12" t="str">
        <f t="shared" si="14"/>
        <v>0 г. 0 мес. 3 дн.</v>
      </c>
      <c r="W247" s="22"/>
      <c r="X247" s="72"/>
    </row>
    <row r="248" spans="1:24" ht="35.1" customHeight="1" x14ac:dyDescent="0.25">
      <c r="A248" s="12">
        <f t="shared" si="12"/>
        <v>247</v>
      </c>
      <c r="B248" s="12">
        <v>537</v>
      </c>
      <c r="C248" s="20" t="s">
        <v>26</v>
      </c>
      <c r="D248" s="18">
        <v>45472</v>
      </c>
      <c r="E248" s="17">
        <v>0.76527777777777783</v>
      </c>
      <c r="F248" s="12" t="s">
        <v>860</v>
      </c>
      <c r="G248" s="18">
        <v>39062</v>
      </c>
      <c r="H248" s="12" t="str">
        <f t="shared" si="15"/>
        <v>17 г. 6 мес. 18 дн.</v>
      </c>
      <c r="I248" s="12" t="s">
        <v>118</v>
      </c>
      <c r="K248" s="12" t="s">
        <v>264</v>
      </c>
      <c r="L248" s="12" t="s">
        <v>148</v>
      </c>
      <c r="M248" s="12" t="s">
        <v>55</v>
      </c>
      <c r="O248" s="60" t="s">
        <v>87</v>
      </c>
      <c r="S248" s="12" t="s">
        <v>26</v>
      </c>
      <c r="T248" s="18">
        <v>45473</v>
      </c>
      <c r="U248" s="17">
        <v>0.45833333333333331</v>
      </c>
      <c r="V248" s="12" t="str">
        <f t="shared" si="14"/>
        <v>0 г. 0 мес. 1 дн.</v>
      </c>
      <c r="W248" s="22"/>
      <c r="X248" s="72"/>
    </row>
    <row r="249" spans="1:24" ht="35.1" customHeight="1" x14ac:dyDescent="0.25">
      <c r="A249" s="12">
        <f t="shared" si="12"/>
        <v>248</v>
      </c>
      <c r="B249" s="12">
        <v>1315</v>
      </c>
      <c r="C249" s="20" t="s">
        <v>77</v>
      </c>
      <c r="D249" s="18">
        <v>45455</v>
      </c>
      <c r="E249" s="17">
        <v>0.53819444444444442</v>
      </c>
      <c r="F249" s="12" t="s">
        <v>840</v>
      </c>
      <c r="G249" s="18">
        <v>45255</v>
      </c>
      <c r="H249" s="12" t="str">
        <f t="shared" si="15"/>
        <v>0 г. 6 мес. 18 дн.</v>
      </c>
      <c r="I249" s="12" t="s">
        <v>118</v>
      </c>
      <c r="K249" s="12" t="s">
        <v>781</v>
      </c>
      <c r="L249" s="12" t="s">
        <v>775</v>
      </c>
      <c r="M249" s="12" t="s">
        <v>49</v>
      </c>
      <c r="O249" s="12" t="s">
        <v>73</v>
      </c>
      <c r="P249" s="12" t="s">
        <v>94</v>
      </c>
      <c r="S249" s="12" t="s">
        <v>77</v>
      </c>
      <c r="T249" s="18">
        <v>45457</v>
      </c>
      <c r="U249" s="17">
        <v>0.54166666666666663</v>
      </c>
      <c r="V249" s="12" t="str">
        <f t="shared" si="14"/>
        <v>0 г. 0 мес. 2 дн.</v>
      </c>
      <c r="W249" s="22"/>
      <c r="X249" s="72"/>
    </row>
    <row r="250" spans="1:24" ht="35.1" customHeight="1" x14ac:dyDescent="0.25">
      <c r="A250" s="12">
        <f t="shared" si="12"/>
        <v>249</v>
      </c>
      <c r="B250" s="12">
        <v>851</v>
      </c>
      <c r="C250" s="20" t="s">
        <v>23</v>
      </c>
      <c r="D250" s="18">
        <v>45453</v>
      </c>
      <c r="E250" s="17">
        <v>0.96875</v>
      </c>
      <c r="F250" s="12" t="s">
        <v>855</v>
      </c>
      <c r="G250" s="18">
        <v>40322</v>
      </c>
      <c r="H250" s="12" t="str">
        <f t="shared" si="15"/>
        <v>14 г. 0 мес. 17 дн.</v>
      </c>
      <c r="I250" s="12" t="s">
        <v>118</v>
      </c>
      <c r="K250" s="12" t="s">
        <v>776</v>
      </c>
      <c r="L250" s="12" t="s">
        <v>777</v>
      </c>
      <c r="M250" s="12" t="s">
        <v>52</v>
      </c>
      <c r="O250" s="60" t="s">
        <v>73</v>
      </c>
      <c r="Q250" s="12" t="s">
        <v>124</v>
      </c>
      <c r="S250" s="12" t="s">
        <v>23</v>
      </c>
      <c r="T250" s="18">
        <v>45462</v>
      </c>
      <c r="U250" s="17">
        <v>0.5</v>
      </c>
      <c r="V250" s="12" t="str">
        <f t="shared" si="14"/>
        <v>0 г. 0 мес. 9 дн.</v>
      </c>
      <c r="W250" s="22"/>
      <c r="X250" s="72"/>
    </row>
    <row r="251" spans="1:24" ht="35.1" customHeight="1" x14ac:dyDescent="0.25">
      <c r="A251" s="12">
        <f t="shared" si="12"/>
        <v>250</v>
      </c>
      <c r="B251" s="12">
        <v>1340</v>
      </c>
      <c r="C251" s="20" t="s">
        <v>77</v>
      </c>
      <c r="D251" s="18">
        <v>45456</v>
      </c>
      <c r="E251" s="17">
        <v>0.61041666666666672</v>
      </c>
      <c r="F251" s="12" t="s">
        <v>852</v>
      </c>
      <c r="G251" s="18">
        <v>45215</v>
      </c>
      <c r="H251" s="12" t="str">
        <f t="shared" si="15"/>
        <v>0 г. 7 мес. 28 дн.</v>
      </c>
      <c r="I251" s="12" t="s">
        <v>118</v>
      </c>
      <c r="K251" s="12" t="s">
        <v>264</v>
      </c>
      <c r="L251" s="12" t="s">
        <v>778</v>
      </c>
      <c r="M251" s="12" t="s">
        <v>46</v>
      </c>
      <c r="O251" s="12" t="s">
        <v>87</v>
      </c>
      <c r="S251" s="12" t="s">
        <v>77</v>
      </c>
      <c r="T251" s="18">
        <v>45457</v>
      </c>
      <c r="U251" s="17">
        <v>0.51527777777777783</v>
      </c>
      <c r="V251" s="12" t="str">
        <f t="shared" si="14"/>
        <v>0 г. 0 мес. 1 дн.</v>
      </c>
      <c r="W251" s="22"/>
      <c r="X251" s="72"/>
    </row>
    <row r="252" spans="1:24" ht="35.1" customHeight="1" x14ac:dyDescent="0.25">
      <c r="A252" s="12">
        <f t="shared" si="12"/>
        <v>251</v>
      </c>
      <c r="B252" s="12">
        <v>1339</v>
      </c>
      <c r="C252" s="20" t="s">
        <v>77</v>
      </c>
      <c r="D252" s="18">
        <v>45456</v>
      </c>
      <c r="E252" s="17">
        <v>0.77777777777777779</v>
      </c>
      <c r="F252" s="12" t="s">
        <v>834</v>
      </c>
      <c r="G252" s="18">
        <v>44957</v>
      </c>
      <c r="H252" s="12" t="str">
        <f t="shared" si="15"/>
        <v>1 г. 4 мес. 13 дн.</v>
      </c>
      <c r="I252" s="12" t="s">
        <v>118</v>
      </c>
      <c r="K252" s="12" t="s">
        <v>779</v>
      </c>
      <c r="L252" s="12" t="s">
        <v>701</v>
      </c>
      <c r="M252" s="12" t="s">
        <v>54</v>
      </c>
      <c r="O252" s="12" t="s">
        <v>87</v>
      </c>
      <c r="S252" s="12" t="s">
        <v>77</v>
      </c>
      <c r="T252" s="18">
        <v>45457</v>
      </c>
      <c r="U252" s="17">
        <v>0.54305555555555551</v>
      </c>
      <c r="V252" s="12" t="str">
        <f t="shared" si="14"/>
        <v>0 г. 0 мес. 1 дн.</v>
      </c>
      <c r="W252" s="22"/>
      <c r="X252" s="72"/>
    </row>
    <row r="253" spans="1:24" ht="35.1" customHeight="1" x14ac:dyDescent="0.25">
      <c r="A253" s="12">
        <f t="shared" si="12"/>
        <v>252</v>
      </c>
      <c r="B253" s="12">
        <v>520</v>
      </c>
      <c r="C253" s="20" t="s">
        <v>26</v>
      </c>
      <c r="D253" s="18">
        <v>45456</v>
      </c>
      <c r="E253" s="17">
        <v>0.97569444444444453</v>
      </c>
      <c r="F253" s="12" t="s">
        <v>854</v>
      </c>
      <c r="G253" s="18">
        <v>41979</v>
      </c>
      <c r="H253" s="12" t="str">
        <f t="shared" si="15"/>
        <v>9 г. 6 мес. 7 дн.</v>
      </c>
      <c r="I253" s="12" t="s">
        <v>118</v>
      </c>
      <c r="K253" s="12" t="s">
        <v>782</v>
      </c>
      <c r="L253" s="12" t="s">
        <v>780</v>
      </c>
      <c r="M253" s="12" t="s">
        <v>46</v>
      </c>
      <c r="O253" s="12" t="s">
        <v>87</v>
      </c>
      <c r="S253" s="12" t="s">
        <v>26</v>
      </c>
      <c r="T253" s="18">
        <v>45457</v>
      </c>
      <c r="U253" s="17">
        <v>0.64444444444444449</v>
      </c>
      <c r="V253" s="12" t="str">
        <f t="shared" si="14"/>
        <v>0 г. 0 мес. 1 дн.</v>
      </c>
      <c r="W253" s="22"/>
      <c r="X253" s="72"/>
    </row>
    <row r="254" spans="1:24" ht="35.1" customHeight="1" x14ac:dyDescent="0.25">
      <c r="A254" s="12">
        <f t="shared" si="12"/>
        <v>253</v>
      </c>
      <c r="B254" s="12">
        <v>1343</v>
      </c>
      <c r="C254" s="20" t="s">
        <v>77</v>
      </c>
      <c r="D254" s="18">
        <v>45458</v>
      </c>
      <c r="E254" s="17">
        <v>0.82986111111111116</v>
      </c>
      <c r="F254" s="12" t="s">
        <v>783</v>
      </c>
      <c r="G254" s="18">
        <v>45353</v>
      </c>
      <c r="H254" s="12" t="str">
        <f t="shared" si="15"/>
        <v>0 г. 3 мес. 13 дн.</v>
      </c>
      <c r="I254" s="12" t="s">
        <v>120</v>
      </c>
      <c r="J254" s="12" t="s">
        <v>23</v>
      </c>
      <c r="K254" s="12" t="s">
        <v>784</v>
      </c>
      <c r="L254" s="12" t="s">
        <v>785</v>
      </c>
      <c r="M254" s="12" t="s">
        <v>52</v>
      </c>
      <c r="O254" s="12" t="s">
        <v>87</v>
      </c>
      <c r="S254" s="12" t="s">
        <v>77</v>
      </c>
      <c r="T254" s="18">
        <v>45459</v>
      </c>
      <c r="U254" s="17">
        <v>0.57152777777777775</v>
      </c>
      <c r="V254" s="12" t="str">
        <f t="shared" si="14"/>
        <v>0 г. 0 мес. 1 дн.</v>
      </c>
      <c r="W254" s="22"/>
      <c r="X254" s="72"/>
    </row>
    <row r="255" spans="1:24" ht="35.1" customHeight="1" x14ac:dyDescent="0.25">
      <c r="A255" s="12">
        <f t="shared" si="12"/>
        <v>254</v>
      </c>
      <c r="B255" s="12">
        <v>730</v>
      </c>
      <c r="C255" s="20" t="s">
        <v>27</v>
      </c>
      <c r="D255" s="18">
        <v>45460</v>
      </c>
      <c r="E255" s="17">
        <v>0.81944444444444453</v>
      </c>
      <c r="F255" s="12" t="s">
        <v>786</v>
      </c>
      <c r="G255" s="18">
        <v>38902</v>
      </c>
      <c r="H255" s="12" t="str">
        <f t="shared" si="15"/>
        <v>17 г. 11 мес. 13 дн.</v>
      </c>
      <c r="I255" s="12" t="s">
        <v>118</v>
      </c>
      <c r="K255" s="12" t="s">
        <v>787</v>
      </c>
      <c r="L255" s="12" t="s">
        <v>788</v>
      </c>
      <c r="M255" s="12" t="s">
        <v>48</v>
      </c>
      <c r="O255" s="12" t="s">
        <v>87</v>
      </c>
      <c r="S255" s="12" t="s">
        <v>26</v>
      </c>
      <c r="T255" s="18">
        <v>45464</v>
      </c>
      <c r="U255" s="17">
        <v>0.5708333333333333</v>
      </c>
      <c r="V255" s="12" t="str">
        <f t="shared" si="14"/>
        <v>0 г. 0 мес. 4 дн.</v>
      </c>
      <c r="W255" s="22"/>
      <c r="X255" s="72"/>
    </row>
    <row r="256" spans="1:24" ht="35.1" customHeight="1" x14ac:dyDescent="0.25">
      <c r="A256" s="12">
        <f t="shared" si="12"/>
        <v>255</v>
      </c>
      <c r="B256" s="12">
        <v>495</v>
      </c>
      <c r="C256" s="20" t="s">
        <v>26</v>
      </c>
      <c r="D256" s="18">
        <v>45460</v>
      </c>
      <c r="E256" s="17">
        <v>0.86111111111111116</v>
      </c>
      <c r="F256" s="12" t="s">
        <v>387</v>
      </c>
      <c r="G256" s="18">
        <v>45314</v>
      </c>
      <c r="H256" s="12" t="str">
        <f t="shared" si="15"/>
        <v>0 г. 4 мес. 25 дн.</v>
      </c>
      <c r="I256" s="12" t="s">
        <v>120</v>
      </c>
      <c r="J256" s="12" t="s">
        <v>26</v>
      </c>
      <c r="K256" s="12" t="s">
        <v>789</v>
      </c>
      <c r="L256" s="12" t="s">
        <v>790</v>
      </c>
      <c r="M256" s="12" t="s">
        <v>48</v>
      </c>
      <c r="O256" s="12" t="s">
        <v>87</v>
      </c>
      <c r="S256" s="12" t="s">
        <v>80</v>
      </c>
      <c r="T256" s="18">
        <v>45464</v>
      </c>
      <c r="U256" s="17">
        <v>0.5708333333333333</v>
      </c>
      <c r="V256" s="12" t="str">
        <f t="shared" si="14"/>
        <v>0 г. 0 мес. 4 дн.</v>
      </c>
      <c r="W256" s="22"/>
      <c r="X256" s="72"/>
    </row>
    <row r="257" spans="1:24" ht="35.1" customHeight="1" x14ac:dyDescent="0.25">
      <c r="A257" s="12">
        <f t="shared" ref="A257:A316" si="16">ROW(A256)</f>
        <v>256</v>
      </c>
      <c r="B257" s="12">
        <v>500</v>
      </c>
      <c r="C257" s="20" t="s">
        <v>26</v>
      </c>
      <c r="D257" s="18">
        <v>45461</v>
      </c>
      <c r="E257" s="17">
        <v>0.66666666666666663</v>
      </c>
      <c r="F257" s="12" t="s">
        <v>791</v>
      </c>
      <c r="G257" s="18">
        <v>40383</v>
      </c>
      <c r="H257" s="12" t="str">
        <f t="shared" si="15"/>
        <v>13 г. 10 мес. 25 дн.</v>
      </c>
      <c r="I257" s="12" t="s">
        <v>118</v>
      </c>
      <c r="K257" s="12" t="s">
        <v>792</v>
      </c>
      <c r="L257" s="12" t="s">
        <v>793</v>
      </c>
      <c r="M257" s="12" t="s">
        <v>48</v>
      </c>
      <c r="O257" t="s">
        <v>87</v>
      </c>
      <c r="S257" s="12" t="s">
        <v>26</v>
      </c>
      <c r="T257" s="18">
        <v>45463</v>
      </c>
      <c r="U257" s="17">
        <v>0.5</v>
      </c>
      <c r="V257" s="12" t="str">
        <f t="shared" si="14"/>
        <v>0 г. 0 мес. 2 дн.</v>
      </c>
      <c r="W257" s="22"/>
      <c r="X257" s="72"/>
    </row>
    <row r="258" spans="1:24" ht="35.1" customHeight="1" x14ac:dyDescent="0.25">
      <c r="A258" s="12">
        <f t="shared" si="16"/>
        <v>257</v>
      </c>
      <c r="B258" s="12">
        <v>1318</v>
      </c>
      <c r="C258" s="20" t="s">
        <v>77</v>
      </c>
      <c r="D258" s="18">
        <v>45462</v>
      </c>
      <c r="E258" s="17">
        <v>0.41666666666666669</v>
      </c>
      <c r="F258" s="12" t="s">
        <v>852</v>
      </c>
      <c r="G258" s="18">
        <v>45215</v>
      </c>
      <c r="H258" s="12" t="str">
        <f t="shared" si="15"/>
        <v>0 г. 8 мес. 3 дн.</v>
      </c>
      <c r="I258" s="12" t="s">
        <v>120</v>
      </c>
      <c r="J258" s="12" t="s">
        <v>77</v>
      </c>
      <c r="K258" s="12" t="s">
        <v>264</v>
      </c>
      <c r="L258" s="12" t="s">
        <v>778</v>
      </c>
      <c r="M258" s="12" t="s">
        <v>46</v>
      </c>
      <c r="O258" s="12" t="s">
        <v>87</v>
      </c>
      <c r="S258" s="12" t="s">
        <v>77</v>
      </c>
      <c r="T258" s="18">
        <v>45464</v>
      </c>
      <c r="U258" s="17">
        <v>0.43888888888888888</v>
      </c>
      <c r="V258" s="12" t="str">
        <f t="shared" ref="V258:V321" si="17">DATEDIF(D258,T258,"y") &amp; " г. " &amp; DATEDIF(D258,T258,"ym") &amp; " мес. " &amp; DATEDIF(D258,T258,"md") &amp; " дн."</f>
        <v>0 г. 0 мес. 2 дн.</v>
      </c>
      <c r="W258" s="22"/>
      <c r="X258" s="72"/>
    </row>
    <row r="259" spans="1:24" ht="35.1" customHeight="1" x14ac:dyDescent="0.25">
      <c r="A259" s="12">
        <f t="shared" si="16"/>
        <v>258</v>
      </c>
      <c r="B259" s="12">
        <v>907</v>
      </c>
      <c r="C259" s="20" t="s">
        <v>23</v>
      </c>
      <c r="D259" s="18">
        <v>45463</v>
      </c>
      <c r="E259" s="17">
        <v>0.5</v>
      </c>
      <c r="F259" s="12" t="s">
        <v>849</v>
      </c>
      <c r="G259" s="18">
        <v>40315</v>
      </c>
      <c r="H259" s="12" t="str">
        <f t="shared" si="15"/>
        <v>14 г. 1 мес. 3 дн.</v>
      </c>
      <c r="I259" s="12" t="s">
        <v>119</v>
      </c>
      <c r="J259" s="12" t="s">
        <v>23</v>
      </c>
      <c r="K259" s="12" t="s">
        <v>794</v>
      </c>
      <c r="L259" s="12" t="s">
        <v>795</v>
      </c>
      <c r="M259" s="12" t="s">
        <v>51</v>
      </c>
      <c r="O259" s="12" t="s">
        <v>87</v>
      </c>
      <c r="S259" s="20" t="s">
        <v>23</v>
      </c>
      <c r="T259" s="18">
        <v>45465</v>
      </c>
      <c r="U259" s="17">
        <v>0.47222222222222227</v>
      </c>
      <c r="V259" s="12" t="str">
        <f t="shared" si="17"/>
        <v>0 г. 0 мес. 2 дн.</v>
      </c>
      <c r="W259" s="22"/>
      <c r="X259" s="72"/>
    </row>
    <row r="260" spans="1:24" ht="35.1" customHeight="1" x14ac:dyDescent="0.25">
      <c r="A260" s="12">
        <f t="shared" si="16"/>
        <v>259</v>
      </c>
      <c r="B260" s="12">
        <v>1401</v>
      </c>
      <c r="C260" s="20" t="s">
        <v>77</v>
      </c>
      <c r="D260" s="18">
        <v>45463</v>
      </c>
      <c r="E260" s="17">
        <v>0.70833333333333337</v>
      </c>
      <c r="F260" s="12" t="s">
        <v>796</v>
      </c>
      <c r="G260" s="18">
        <v>45441</v>
      </c>
      <c r="H260" s="12" t="str">
        <f t="shared" si="15"/>
        <v>0 г. 0 мес. 22 дн.</v>
      </c>
      <c r="I260" s="12" t="s">
        <v>120</v>
      </c>
      <c r="J260" s="12" t="s">
        <v>77</v>
      </c>
      <c r="K260" s="12" t="s">
        <v>797</v>
      </c>
      <c r="L260" s="12" t="s">
        <v>798</v>
      </c>
      <c r="M260" s="12" t="s">
        <v>49</v>
      </c>
      <c r="O260" s="12" t="s">
        <v>87</v>
      </c>
      <c r="S260" s="20" t="s">
        <v>77</v>
      </c>
      <c r="T260" s="18">
        <v>45465</v>
      </c>
      <c r="U260" s="17">
        <v>0.75</v>
      </c>
      <c r="V260" s="12" t="str">
        <f t="shared" si="17"/>
        <v>0 г. 0 мес. 2 дн.</v>
      </c>
      <c r="W260" s="22"/>
      <c r="X260" s="72"/>
    </row>
    <row r="261" spans="1:24" ht="35.1" customHeight="1" x14ac:dyDescent="0.25">
      <c r="A261" s="12">
        <f t="shared" si="16"/>
        <v>260</v>
      </c>
      <c r="B261" s="12">
        <v>1408</v>
      </c>
      <c r="C261" s="20" t="s">
        <v>77</v>
      </c>
      <c r="D261" s="18">
        <v>45463</v>
      </c>
      <c r="E261" s="17">
        <v>0.80555555555555547</v>
      </c>
      <c r="F261" s="12" t="s">
        <v>799</v>
      </c>
      <c r="G261" s="18">
        <v>41099</v>
      </c>
      <c r="H261" s="12" t="str">
        <f t="shared" si="15"/>
        <v>11 г. 11 мес. 11 дн.</v>
      </c>
      <c r="I261" s="12" t="s">
        <v>120</v>
      </c>
      <c r="J261" s="12" t="s">
        <v>77</v>
      </c>
      <c r="K261" s="12" t="s">
        <v>800</v>
      </c>
      <c r="L261" s="12" t="s">
        <v>252</v>
      </c>
      <c r="M261" s="12" t="s">
        <v>52</v>
      </c>
      <c r="O261" s="12" t="s">
        <v>87</v>
      </c>
      <c r="S261" s="20" t="s">
        <v>77</v>
      </c>
      <c r="T261" s="18">
        <v>45464</v>
      </c>
      <c r="U261" s="17">
        <v>0.5708333333333333</v>
      </c>
      <c r="V261" s="12" t="str">
        <f t="shared" si="17"/>
        <v>0 г. 0 мес. 1 дн.</v>
      </c>
      <c r="W261" s="22"/>
      <c r="X261" s="72"/>
    </row>
    <row r="262" spans="1:24" ht="35.1" customHeight="1" x14ac:dyDescent="0.25">
      <c r="A262" s="12">
        <f t="shared" si="16"/>
        <v>261</v>
      </c>
      <c r="B262" s="12">
        <v>1415</v>
      </c>
      <c r="C262" s="20" t="s">
        <v>77</v>
      </c>
      <c r="D262" s="18">
        <v>45464</v>
      </c>
      <c r="E262" s="17">
        <v>0.46875</v>
      </c>
      <c r="F262" s="12" t="s">
        <v>841</v>
      </c>
      <c r="G262" s="18">
        <v>40061</v>
      </c>
      <c r="H262" s="12" t="str">
        <f t="shared" ref="H262:H325" si="18">DATEDIF(G262,D262,"y") &amp; " г. " &amp; DATEDIF(G262,D262,"ym") &amp; " мес. " &amp; DATEDIF(G262,D262,"md") &amp; " дн."</f>
        <v>14 г. 9 мес. 16 дн.</v>
      </c>
      <c r="I262" s="12" t="s">
        <v>118</v>
      </c>
      <c r="K262" s="12" t="s">
        <v>801</v>
      </c>
      <c r="L262" s="12" t="s">
        <v>802</v>
      </c>
      <c r="M262" s="12" t="s">
        <v>50</v>
      </c>
      <c r="O262" s="12" t="s">
        <v>87</v>
      </c>
      <c r="S262" s="12" t="s">
        <v>77</v>
      </c>
      <c r="T262" s="18">
        <v>45464</v>
      </c>
      <c r="U262" s="17">
        <v>0.68055555555555547</v>
      </c>
      <c r="V262" s="12" t="str">
        <f t="shared" si="17"/>
        <v>0 г. 0 мес. 0 дн.</v>
      </c>
      <c r="W262" s="22"/>
      <c r="X262" s="72"/>
    </row>
    <row r="263" spans="1:24" ht="35.1" customHeight="1" x14ac:dyDescent="0.25">
      <c r="A263" s="12">
        <f t="shared" si="16"/>
        <v>262</v>
      </c>
      <c r="B263" s="12">
        <v>920</v>
      </c>
      <c r="C263" s="20" t="s">
        <v>23</v>
      </c>
      <c r="D263" s="18">
        <v>45465</v>
      </c>
      <c r="E263" s="17">
        <v>0.35416666666666669</v>
      </c>
      <c r="F263" s="12" t="s">
        <v>803</v>
      </c>
      <c r="G263" s="18">
        <v>43427</v>
      </c>
      <c r="H263" s="12" t="str">
        <f t="shared" si="18"/>
        <v>5 г. 6 мес. 30 дн.</v>
      </c>
      <c r="I263" s="12" t="s">
        <v>119</v>
      </c>
      <c r="J263" s="12" t="s">
        <v>23</v>
      </c>
      <c r="K263" s="12" t="s">
        <v>804</v>
      </c>
      <c r="L263" s="12" t="s">
        <v>404</v>
      </c>
      <c r="M263" s="12" t="s">
        <v>52</v>
      </c>
      <c r="O263" s="12" t="s">
        <v>87</v>
      </c>
      <c r="S263" s="12" t="s">
        <v>23</v>
      </c>
      <c r="T263" s="18">
        <v>45466</v>
      </c>
      <c r="U263" s="17">
        <v>0.45833333333333331</v>
      </c>
      <c r="V263" s="12" t="str">
        <f t="shared" si="17"/>
        <v>0 г. 0 мес. 1 дн.</v>
      </c>
      <c r="W263" s="22"/>
      <c r="X263" s="72"/>
    </row>
    <row r="264" spans="1:24" ht="35.1" customHeight="1" x14ac:dyDescent="0.25">
      <c r="A264" s="12">
        <f t="shared" si="16"/>
        <v>263</v>
      </c>
      <c r="B264" s="12">
        <v>1425</v>
      </c>
      <c r="C264" s="20" t="s">
        <v>77</v>
      </c>
      <c r="D264" s="18">
        <v>45465</v>
      </c>
      <c r="E264" s="17">
        <v>0.68055555555555547</v>
      </c>
      <c r="F264" s="12" t="s">
        <v>805</v>
      </c>
      <c r="G264" s="18">
        <v>42152</v>
      </c>
      <c r="H264" s="12" t="str">
        <f t="shared" si="18"/>
        <v>9 г. 0 мес. 25 дн.</v>
      </c>
      <c r="I264" s="12" t="s">
        <v>119</v>
      </c>
      <c r="J264" s="12" t="s">
        <v>77</v>
      </c>
      <c r="K264" s="12" t="s">
        <v>806</v>
      </c>
      <c r="L264" s="12" t="s">
        <v>622</v>
      </c>
      <c r="M264" s="12" t="s">
        <v>49</v>
      </c>
      <c r="O264" s="12" t="s">
        <v>73</v>
      </c>
      <c r="S264" s="12" t="s">
        <v>77</v>
      </c>
      <c r="T264" s="18">
        <v>45468</v>
      </c>
      <c r="U264" s="17">
        <v>0.55763888888888891</v>
      </c>
      <c r="V264" s="12" t="str">
        <f t="shared" si="17"/>
        <v>0 г. 0 мес. 3 дн.</v>
      </c>
      <c r="W264" s="22"/>
      <c r="X264" s="72"/>
    </row>
    <row r="265" spans="1:24" ht="35.1" customHeight="1" x14ac:dyDescent="0.25">
      <c r="A265" s="12">
        <f t="shared" si="16"/>
        <v>264</v>
      </c>
      <c r="B265" s="12">
        <v>1447</v>
      </c>
      <c r="C265" s="20" t="s">
        <v>77</v>
      </c>
      <c r="D265" s="18">
        <v>45468</v>
      </c>
      <c r="E265" s="17">
        <v>0.40972222222222227</v>
      </c>
      <c r="F265" s="12" t="s">
        <v>768</v>
      </c>
      <c r="G265" s="18">
        <v>42379</v>
      </c>
      <c r="H265" s="12" t="str">
        <f t="shared" si="18"/>
        <v>8 г. 5 мес. 15 дн.</v>
      </c>
      <c r="I265" s="12" t="s">
        <v>119</v>
      </c>
      <c r="J265" s="12" t="s">
        <v>77</v>
      </c>
      <c r="K265" s="12" t="s">
        <v>769</v>
      </c>
      <c r="L265" s="12" t="s">
        <v>351</v>
      </c>
      <c r="M265" s="12" t="s">
        <v>46</v>
      </c>
      <c r="O265" s="12" t="s">
        <v>87</v>
      </c>
      <c r="S265" s="20" t="s">
        <v>77</v>
      </c>
      <c r="T265" s="18">
        <v>45469</v>
      </c>
      <c r="U265" s="17">
        <v>0.43055555555555558</v>
      </c>
      <c r="V265" s="12" t="str">
        <f t="shared" si="17"/>
        <v>0 г. 0 мес. 1 дн.</v>
      </c>
      <c r="W265" s="22"/>
      <c r="X265" s="72"/>
    </row>
    <row r="266" spans="1:24" ht="35.1" customHeight="1" x14ac:dyDescent="0.25">
      <c r="A266" s="12">
        <f t="shared" si="16"/>
        <v>265</v>
      </c>
      <c r="B266" s="12">
        <v>1472</v>
      </c>
      <c r="C266" s="20" t="s">
        <v>77</v>
      </c>
      <c r="D266" s="18">
        <v>45469</v>
      </c>
      <c r="E266" s="17">
        <v>0.84375</v>
      </c>
      <c r="F266" s="12" t="s">
        <v>853</v>
      </c>
      <c r="G266" s="18">
        <v>43720</v>
      </c>
      <c r="H266" s="12" t="str">
        <f t="shared" si="18"/>
        <v>4 г. 9 мес. 14 дн.</v>
      </c>
      <c r="I266" s="12" t="s">
        <v>118</v>
      </c>
      <c r="K266" s="12" t="s">
        <v>187</v>
      </c>
      <c r="L266" s="12" t="s">
        <v>807</v>
      </c>
      <c r="M266" s="12" t="s">
        <v>54</v>
      </c>
      <c r="O266" s="12" t="s">
        <v>88</v>
      </c>
      <c r="S266" s="12" t="s">
        <v>77</v>
      </c>
      <c r="T266" s="18">
        <v>45470</v>
      </c>
      <c r="U266" s="17">
        <v>0.5</v>
      </c>
      <c r="V266" s="12" t="str">
        <f t="shared" si="17"/>
        <v>0 г. 0 мес. 1 дн.</v>
      </c>
      <c r="W266" s="22"/>
      <c r="X266" s="72"/>
    </row>
    <row r="267" spans="1:24" ht="35.1" customHeight="1" x14ac:dyDescent="0.25">
      <c r="A267" s="12">
        <f t="shared" si="16"/>
        <v>266</v>
      </c>
      <c r="B267" s="12">
        <v>541</v>
      </c>
      <c r="C267" s="20" t="s">
        <v>26</v>
      </c>
      <c r="D267" s="18">
        <v>45471</v>
      </c>
      <c r="E267" s="17">
        <v>0.40625</v>
      </c>
      <c r="F267" s="12" t="s">
        <v>786</v>
      </c>
      <c r="G267" s="18">
        <v>38902</v>
      </c>
      <c r="H267" s="12" t="str">
        <f t="shared" si="18"/>
        <v>17 г. 11 мес. 24 дн.</v>
      </c>
      <c r="I267" s="12" t="s">
        <v>119</v>
      </c>
      <c r="J267" s="12" t="s">
        <v>77</v>
      </c>
      <c r="K267" s="12" t="s">
        <v>787</v>
      </c>
      <c r="L267" s="12" t="s">
        <v>808</v>
      </c>
      <c r="M267" s="12" t="s">
        <v>46</v>
      </c>
      <c r="O267" s="12" t="s">
        <v>87</v>
      </c>
      <c r="S267" s="12" t="s">
        <v>77</v>
      </c>
      <c r="T267" s="18">
        <v>45473</v>
      </c>
      <c r="U267" s="17">
        <v>0.5395833333333333</v>
      </c>
      <c r="V267" s="12" t="str">
        <f t="shared" si="17"/>
        <v>0 г. 0 мес. 2 дн.</v>
      </c>
      <c r="W267" s="22"/>
      <c r="X267" s="72"/>
    </row>
    <row r="268" spans="1:24" ht="35.1" customHeight="1" x14ac:dyDescent="0.25">
      <c r="A268" s="12">
        <f t="shared" si="16"/>
        <v>267</v>
      </c>
      <c r="B268" s="12">
        <v>1492</v>
      </c>
      <c r="C268" s="20" t="s">
        <v>77</v>
      </c>
      <c r="D268" s="18">
        <v>45471</v>
      </c>
      <c r="E268" s="17">
        <v>0.71666666666666667</v>
      </c>
      <c r="F268" s="12" t="s">
        <v>833</v>
      </c>
      <c r="G268" s="18">
        <v>39076</v>
      </c>
      <c r="H268" s="12" t="str">
        <f t="shared" si="18"/>
        <v>17 г. 6 мес. 3 дн.</v>
      </c>
      <c r="I268" s="12" t="s">
        <v>119</v>
      </c>
      <c r="J268" s="12" t="s">
        <v>77</v>
      </c>
      <c r="K268" s="12" t="s">
        <v>809</v>
      </c>
      <c r="L268" s="12" t="s">
        <v>810</v>
      </c>
      <c r="M268" s="12" t="s">
        <v>49</v>
      </c>
      <c r="O268" s="12" t="s">
        <v>73</v>
      </c>
      <c r="S268" s="12" t="s">
        <v>77</v>
      </c>
      <c r="T268" s="18">
        <v>45475</v>
      </c>
      <c r="U268" s="17">
        <v>0.50902777777777775</v>
      </c>
      <c r="V268" s="12" t="str">
        <f t="shared" si="17"/>
        <v>0 г. 0 мес. 4 дн.</v>
      </c>
      <c r="W268" s="22"/>
      <c r="X268" s="72"/>
    </row>
    <row r="269" spans="1:24" ht="35.1" customHeight="1" x14ac:dyDescent="0.25">
      <c r="A269" s="12">
        <f t="shared" si="16"/>
        <v>268</v>
      </c>
      <c r="B269" s="12">
        <v>526</v>
      </c>
      <c r="C269" s="20" t="s">
        <v>26</v>
      </c>
      <c r="D269" s="18">
        <v>45471</v>
      </c>
      <c r="E269" s="17">
        <v>0.69791666666666663</v>
      </c>
      <c r="F269" s="12" t="s">
        <v>857</v>
      </c>
      <c r="G269" s="18">
        <v>43603</v>
      </c>
      <c r="H269" s="12" t="str">
        <f t="shared" si="18"/>
        <v>5 г. 1 мес. 10 дн.</v>
      </c>
      <c r="I269" s="12" t="s">
        <v>118</v>
      </c>
      <c r="K269" s="12" t="s">
        <v>859</v>
      </c>
      <c r="L269" s="12" t="s">
        <v>811</v>
      </c>
      <c r="M269" s="12" t="s">
        <v>41</v>
      </c>
      <c r="O269" s="12" t="s">
        <v>87</v>
      </c>
      <c r="S269" s="12" t="s">
        <v>77</v>
      </c>
      <c r="T269" s="18">
        <v>45478</v>
      </c>
      <c r="U269" s="17">
        <v>0.83333333333333337</v>
      </c>
      <c r="V269" s="12" t="str">
        <f t="shared" si="17"/>
        <v>0 г. 0 мес. 7 дн.</v>
      </c>
      <c r="W269" s="22"/>
      <c r="X269" s="72"/>
    </row>
    <row r="270" spans="1:24" ht="35.1" customHeight="1" x14ac:dyDescent="0.25">
      <c r="A270" s="12">
        <f t="shared" si="16"/>
        <v>269</v>
      </c>
      <c r="B270" s="12">
        <v>1497</v>
      </c>
      <c r="C270" s="20" t="s">
        <v>77</v>
      </c>
      <c r="D270" s="18">
        <v>45471</v>
      </c>
      <c r="E270" s="17">
        <v>0.85416666666666663</v>
      </c>
      <c r="F270" s="12" t="s">
        <v>812</v>
      </c>
      <c r="G270" s="18">
        <v>44448</v>
      </c>
      <c r="H270" s="12" t="str">
        <f t="shared" si="18"/>
        <v>2 г. 9 мес. 19 дн.</v>
      </c>
      <c r="I270" s="12" t="s">
        <v>118</v>
      </c>
      <c r="K270" s="12" t="s">
        <v>813</v>
      </c>
      <c r="L270" s="12" t="s">
        <v>814</v>
      </c>
      <c r="M270" s="12" t="s">
        <v>54</v>
      </c>
      <c r="O270" s="12" t="s">
        <v>73</v>
      </c>
      <c r="S270" s="12" t="s">
        <v>77</v>
      </c>
      <c r="T270" s="18">
        <v>45474</v>
      </c>
      <c r="U270" s="17">
        <v>0.67569444444444438</v>
      </c>
      <c r="V270" s="12" t="str">
        <f t="shared" si="17"/>
        <v>0 г. 0 мес. 3 дн.</v>
      </c>
      <c r="W270" s="22"/>
      <c r="X270" s="72"/>
    </row>
    <row r="271" spans="1:24" ht="35.1" customHeight="1" x14ac:dyDescent="0.25">
      <c r="A271" s="12">
        <f t="shared" si="16"/>
        <v>270</v>
      </c>
      <c r="B271" s="21">
        <v>972</v>
      </c>
      <c r="C271" s="20" t="s">
        <v>23</v>
      </c>
      <c r="D271" s="18">
        <v>45471</v>
      </c>
      <c r="E271" s="17">
        <v>0.99305555555555547</v>
      </c>
      <c r="F271" s="12" t="s">
        <v>815</v>
      </c>
      <c r="G271" s="18">
        <v>39404</v>
      </c>
      <c r="H271" s="12" t="str">
        <f t="shared" si="18"/>
        <v>16 г. 7 мес. 10 дн.</v>
      </c>
      <c r="I271" s="12" t="s">
        <v>118</v>
      </c>
      <c r="K271" s="12" t="s">
        <v>816</v>
      </c>
      <c r="L271" s="12" t="s">
        <v>817</v>
      </c>
      <c r="M271" s="12" t="s">
        <v>52</v>
      </c>
      <c r="N271" s="21"/>
      <c r="O271" s="12" t="s">
        <v>87</v>
      </c>
      <c r="P271" s="21"/>
      <c r="Q271" s="21"/>
      <c r="R271" s="21"/>
      <c r="S271" s="12" t="s">
        <v>23</v>
      </c>
      <c r="T271" s="18">
        <v>45473</v>
      </c>
      <c r="U271" s="17">
        <v>0.45833333333333331</v>
      </c>
      <c r="V271" s="12" t="str">
        <f t="shared" si="17"/>
        <v>0 г. 0 мес. 2 дн.</v>
      </c>
      <c r="W271" s="22"/>
      <c r="X271" s="72"/>
    </row>
    <row r="272" spans="1:24" ht="35.1" customHeight="1" x14ac:dyDescent="0.25">
      <c r="A272" s="12">
        <f t="shared" si="16"/>
        <v>271</v>
      </c>
      <c r="B272" s="12">
        <v>1494</v>
      </c>
      <c r="C272" s="20" t="s">
        <v>77</v>
      </c>
      <c r="D272" s="18">
        <v>45474</v>
      </c>
      <c r="E272" s="17">
        <v>0.5</v>
      </c>
      <c r="F272" s="12" t="s">
        <v>818</v>
      </c>
      <c r="G272" s="18">
        <v>44135</v>
      </c>
      <c r="H272" s="12" t="str">
        <f t="shared" si="18"/>
        <v>3 г. 8 мес. 0 дн.</v>
      </c>
      <c r="I272" s="12" t="s">
        <v>120</v>
      </c>
      <c r="J272" s="12" t="s">
        <v>77</v>
      </c>
      <c r="K272" s="12" t="s">
        <v>819</v>
      </c>
      <c r="L272" s="12" t="s">
        <v>820</v>
      </c>
      <c r="M272" s="12" t="s">
        <v>49</v>
      </c>
      <c r="O272" s="12" t="s">
        <v>87</v>
      </c>
      <c r="S272" s="12" t="s">
        <v>77</v>
      </c>
      <c r="T272" s="18">
        <v>45475</v>
      </c>
      <c r="U272" s="17">
        <v>0.5</v>
      </c>
      <c r="V272" s="12" t="str">
        <f t="shared" si="17"/>
        <v>0 г. 0 мес. 1 дн.</v>
      </c>
      <c r="W272" s="22"/>
      <c r="X272" s="72"/>
    </row>
    <row r="273" spans="1:24" ht="35.1" customHeight="1" x14ac:dyDescent="0.25">
      <c r="A273" s="12">
        <f t="shared" si="16"/>
        <v>272</v>
      </c>
      <c r="B273" s="12">
        <v>320</v>
      </c>
      <c r="C273" s="20" t="s">
        <v>24</v>
      </c>
      <c r="D273" s="18">
        <v>45474</v>
      </c>
      <c r="E273" s="17">
        <v>0.61805555555555558</v>
      </c>
      <c r="F273" s="12" t="s">
        <v>829</v>
      </c>
      <c r="G273" s="18">
        <v>44751</v>
      </c>
      <c r="H273" s="12" t="str">
        <f t="shared" si="18"/>
        <v>1 г. 11 мес. 22 дн.</v>
      </c>
      <c r="I273" s="12" t="s">
        <v>121</v>
      </c>
      <c r="K273" s="12" t="s">
        <v>821</v>
      </c>
      <c r="L273" s="12" t="s">
        <v>822</v>
      </c>
      <c r="M273" s="12" t="s">
        <v>50</v>
      </c>
      <c r="O273" s="12" t="s">
        <v>73</v>
      </c>
      <c r="R273" s="12" t="s">
        <v>105</v>
      </c>
      <c r="S273" s="12" t="s">
        <v>29</v>
      </c>
      <c r="T273" s="18">
        <v>45495</v>
      </c>
      <c r="U273" s="17">
        <v>0.10416666666666667</v>
      </c>
      <c r="V273" s="12" t="str">
        <f t="shared" si="17"/>
        <v>0 г. 0 мес. 21 дн.</v>
      </c>
      <c r="W273" s="22"/>
      <c r="X273" s="72"/>
    </row>
    <row r="274" spans="1:24" ht="35.1" customHeight="1" x14ac:dyDescent="0.25">
      <c r="A274" s="12">
        <f t="shared" si="16"/>
        <v>273</v>
      </c>
      <c r="B274" s="12">
        <v>983</v>
      </c>
      <c r="C274" s="20" t="s">
        <v>23</v>
      </c>
      <c r="D274" s="18">
        <v>45474</v>
      </c>
      <c r="E274" s="17">
        <v>0.5625</v>
      </c>
      <c r="F274" s="12" t="s">
        <v>823</v>
      </c>
      <c r="G274" s="18">
        <v>43798</v>
      </c>
      <c r="H274" s="12" t="str">
        <f t="shared" si="18"/>
        <v>4 г. 7 мес. 2 дн.</v>
      </c>
      <c r="I274" s="12" t="s">
        <v>118</v>
      </c>
      <c r="K274" s="12" t="s">
        <v>493</v>
      </c>
      <c r="L274" s="12" t="s">
        <v>824</v>
      </c>
      <c r="M274" s="12" t="s">
        <v>52</v>
      </c>
      <c r="O274" s="12" t="s">
        <v>87</v>
      </c>
      <c r="S274" s="12" t="s">
        <v>23</v>
      </c>
      <c r="T274" s="18">
        <v>45476</v>
      </c>
      <c r="U274" s="17">
        <v>0.60486111111111118</v>
      </c>
      <c r="V274" s="12" t="str">
        <f t="shared" si="17"/>
        <v>0 г. 0 мес. 2 дн.</v>
      </c>
      <c r="W274" s="22"/>
      <c r="X274" s="72"/>
    </row>
    <row r="275" spans="1:24" ht="35.1" customHeight="1" x14ac:dyDescent="0.25">
      <c r="A275" s="12">
        <f t="shared" si="16"/>
        <v>274</v>
      </c>
      <c r="B275" s="12">
        <v>993</v>
      </c>
      <c r="C275" s="20" t="s">
        <v>23</v>
      </c>
      <c r="D275" s="18">
        <v>45475</v>
      </c>
      <c r="E275" s="17">
        <v>0.79166666666666663</v>
      </c>
      <c r="F275" s="12" t="s">
        <v>825</v>
      </c>
      <c r="G275" s="18">
        <v>45093</v>
      </c>
      <c r="H275" s="12" t="str">
        <f t="shared" si="18"/>
        <v>1 г. 0 мес. 16 дн.</v>
      </c>
      <c r="I275" s="12" t="s">
        <v>118</v>
      </c>
      <c r="K275" s="12" t="s">
        <v>826</v>
      </c>
      <c r="L275" s="12" t="s">
        <v>827</v>
      </c>
      <c r="M275" s="12" t="s">
        <v>52</v>
      </c>
      <c r="O275" s="12" t="s">
        <v>87</v>
      </c>
      <c r="S275" s="12" t="s">
        <v>23</v>
      </c>
      <c r="T275" s="18">
        <v>45476</v>
      </c>
      <c r="U275" s="17">
        <v>0.60486111111111118</v>
      </c>
      <c r="V275" s="12" t="str">
        <f t="shared" si="17"/>
        <v>0 г. 0 мес. 1 дн.</v>
      </c>
      <c r="W275" s="22"/>
      <c r="X275" s="72"/>
    </row>
    <row r="276" spans="1:24" ht="35.1" customHeight="1" x14ac:dyDescent="0.25">
      <c r="A276" s="12">
        <f t="shared" si="16"/>
        <v>275</v>
      </c>
      <c r="B276" s="12">
        <v>546</v>
      </c>
      <c r="C276" s="20" t="s">
        <v>26</v>
      </c>
      <c r="D276" s="18">
        <v>45476</v>
      </c>
      <c r="E276" s="17">
        <v>0.24305555555555555</v>
      </c>
      <c r="F276" s="12" t="s">
        <v>828</v>
      </c>
      <c r="G276" s="18">
        <v>40815</v>
      </c>
      <c r="H276" s="12" t="str">
        <f t="shared" si="18"/>
        <v>12 г. 9 мес. 4 дн.</v>
      </c>
      <c r="I276" s="12" t="s">
        <v>118</v>
      </c>
      <c r="K276" s="12" t="s">
        <v>147</v>
      </c>
      <c r="L276" s="12" t="s">
        <v>619</v>
      </c>
      <c r="M276" s="12" t="s">
        <v>43</v>
      </c>
      <c r="O276" s="12" t="s">
        <v>87</v>
      </c>
      <c r="S276" s="12" t="s">
        <v>26</v>
      </c>
      <c r="T276" s="18">
        <v>45478</v>
      </c>
      <c r="U276" s="17">
        <v>0.5</v>
      </c>
      <c r="V276" s="12" t="str">
        <f t="shared" si="17"/>
        <v>0 г. 0 мес. 2 дн.</v>
      </c>
      <c r="W276" s="22"/>
      <c r="X276" s="72"/>
    </row>
    <row r="277" spans="1:24" ht="35.1" customHeight="1" x14ac:dyDescent="0.25">
      <c r="A277" s="12">
        <f t="shared" si="16"/>
        <v>276</v>
      </c>
      <c r="B277" s="12">
        <v>1001</v>
      </c>
      <c r="C277" s="20" t="s">
        <v>23</v>
      </c>
      <c r="D277" s="18">
        <v>45476</v>
      </c>
      <c r="E277" s="17">
        <v>0.80555555555555547</v>
      </c>
      <c r="F277" s="12" t="s">
        <v>830</v>
      </c>
      <c r="G277" s="18">
        <v>43515</v>
      </c>
      <c r="H277" s="12" t="str">
        <f t="shared" si="18"/>
        <v>5 г. 4 мес. 14 дн.</v>
      </c>
      <c r="I277" s="12" t="s">
        <v>118</v>
      </c>
      <c r="K277" s="12" t="s">
        <v>831</v>
      </c>
      <c r="L277" s="12" t="s">
        <v>832</v>
      </c>
      <c r="M277" s="12" t="s">
        <v>52</v>
      </c>
      <c r="O277" s="12" t="s">
        <v>87</v>
      </c>
      <c r="S277" s="12" t="s">
        <v>23</v>
      </c>
      <c r="T277" s="18">
        <v>45478</v>
      </c>
      <c r="U277" s="17">
        <v>0.83819444444444446</v>
      </c>
      <c r="V277" s="12" t="str">
        <f t="shared" si="17"/>
        <v>0 г. 0 мес. 2 дн.</v>
      </c>
      <c r="W277" s="22"/>
      <c r="X277" s="72"/>
    </row>
    <row r="278" spans="1:24" ht="35.1" customHeight="1" x14ac:dyDescent="0.25">
      <c r="A278" s="12">
        <f t="shared" si="16"/>
        <v>277</v>
      </c>
      <c r="B278" s="12">
        <v>383</v>
      </c>
      <c r="C278" s="20" t="s">
        <v>28</v>
      </c>
      <c r="D278" s="18">
        <v>45475</v>
      </c>
      <c r="E278" s="17">
        <v>0.57013888888888886</v>
      </c>
      <c r="F278" s="12" t="s">
        <v>835</v>
      </c>
      <c r="G278" s="18">
        <v>45362</v>
      </c>
      <c r="H278" s="12" t="str">
        <f t="shared" si="18"/>
        <v>0 г. 3 мес. 21 дн.</v>
      </c>
      <c r="I278" s="12" t="s">
        <v>121</v>
      </c>
      <c r="K278" s="12" t="s">
        <v>837</v>
      </c>
      <c r="L278" s="12" t="s">
        <v>836</v>
      </c>
      <c r="M278" s="12" t="s">
        <v>56</v>
      </c>
      <c r="O278" s="12" t="s">
        <v>87</v>
      </c>
      <c r="S278" s="12" t="s">
        <v>28</v>
      </c>
      <c r="T278" s="18">
        <v>45476</v>
      </c>
      <c r="U278" s="17">
        <v>0.56874999999999998</v>
      </c>
      <c r="V278" s="12" t="str">
        <f t="shared" si="17"/>
        <v>0 г. 0 мес. 1 дн.</v>
      </c>
      <c r="W278" s="22"/>
      <c r="X278" s="72"/>
    </row>
    <row r="279" spans="1:24" ht="35.1" customHeight="1" x14ac:dyDescent="0.25">
      <c r="A279" s="12">
        <f t="shared" si="16"/>
        <v>278</v>
      </c>
      <c r="B279" s="12">
        <v>542</v>
      </c>
      <c r="C279" s="20" t="s">
        <v>26</v>
      </c>
      <c r="D279" s="18">
        <v>45474</v>
      </c>
      <c r="E279" s="17">
        <v>0.34375</v>
      </c>
      <c r="F279" s="12" t="s">
        <v>838</v>
      </c>
      <c r="G279" s="18">
        <v>44401</v>
      </c>
      <c r="H279" s="12" t="str">
        <f t="shared" si="18"/>
        <v>2 г. 11 мес. 7 дн.</v>
      </c>
      <c r="I279" s="12" t="s">
        <v>118</v>
      </c>
      <c r="K279" s="12" t="s">
        <v>322</v>
      </c>
      <c r="L279" s="12" t="s">
        <v>839</v>
      </c>
      <c r="M279" s="12" t="s">
        <v>55</v>
      </c>
      <c r="O279" s="12" t="s">
        <v>87</v>
      </c>
      <c r="S279" s="12" t="s">
        <v>26</v>
      </c>
      <c r="T279" s="18">
        <v>45475</v>
      </c>
      <c r="U279" s="17">
        <v>0.46666666666666662</v>
      </c>
      <c r="V279" s="12" t="str">
        <f t="shared" si="17"/>
        <v>0 г. 0 мес. 1 дн.</v>
      </c>
      <c r="W279" s="22"/>
      <c r="X279" s="72"/>
    </row>
    <row r="280" spans="1:24" ht="35.1" customHeight="1" x14ac:dyDescent="0.25">
      <c r="A280" s="12">
        <f t="shared" si="16"/>
        <v>279</v>
      </c>
      <c r="B280" s="12">
        <v>507</v>
      </c>
      <c r="C280" s="20" t="s">
        <v>80</v>
      </c>
      <c r="D280" s="18">
        <v>45464</v>
      </c>
      <c r="E280" s="17">
        <v>2.2916666666666669E-2</v>
      </c>
      <c r="F280" s="12" t="s">
        <v>842</v>
      </c>
      <c r="G280" s="18">
        <v>44604</v>
      </c>
      <c r="H280" s="12" t="str">
        <f t="shared" si="18"/>
        <v>2 г. 4 мес. 9 дн.</v>
      </c>
      <c r="I280" s="12" t="s">
        <v>75</v>
      </c>
      <c r="K280" s="12" t="s">
        <v>322</v>
      </c>
      <c r="L280" s="12" t="s">
        <v>843</v>
      </c>
      <c r="M280" s="12" t="s">
        <v>46</v>
      </c>
      <c r="O280" s="12" t="s">
        <v>87</v>
      </c>
      <c r="S280" s="12" t="s">
        <v>80</v>
      </c>
      <c r="T280" s="18">
        <v>45466</v>
      </c>
      <c r="U280" s="17">
        <v>0.50208333333333333</v>
      </c>
      <c r="V280" s="12" t="str">
        <f t="shared" si="17"/>
        <v>0 г. 0 мес. 2 дн.</v>
      </c>
      <c r="W280" s="22"/>
      <c r="X280" s="72"/>
    </row>
    <row r="281" spans="1:24" ht="35.1" customHeight="1" x14ac:dyDescent="0.25">
      <c r="A281" s="12">
        <f t="shared" si="16"/>
        <v>280</v>
      </c>
      <c r="B281" s="12">
        <v>510</v>
      </c>
      <c r="C281" s="20" t="s">
        <v>80</v>
      </c>
      <c r="D281" s="18">
        <v>45466</v>
      </c>
      <c r="E281" s="17">
        <v>0.125</v>
      </c>
      <c r="F281" s="12" t="s">
        <v>138</v>
      </c>
      <c r="G281" s="18">
        <v>45024</v>
      </c>
      <c r="H281" s="12" t="str">
        <f t="shared" si="18"/>
        <v>1 г. 2 мес. 15 дн.</v>
      </c>
      <c r="I281" s="12" t="s">
        <v>118</v>
      </c>
      <c r="K281" s="12" t="s">
        <v>846</v>
      </c>
      <c r="L281" s="12" t="s">
        <v>843</v>
      </c>
      <c r="M281" s="12" t="s">
        <v>46</v>
      </c>
      <c r="O281" s="12" t="s">
        <v>87</v>
      </c>
      <c r="S281" s="12" t="s">
        <v>80</v>
      </c>
      <c r="T281" s="18">
        <v>45466</v>
      </c>
      <c r="U281" s="17">
        <v>0.4513888888888889</v>
      </c>
      <c r="V281" s="12" t="str">
        <f t="shared" si="17"/>
        <v>0 г. 0 мес. 0 дн.</v>
      </c>
      <c r="W281" s="22"/>
      <c r="X281" s="72"/>
    </row>
    <row r="282" spans="1:24" ht="35.1" customHeight="1" x14ac:dyDescent="0.25">
      <c r="A282" s="12">
        <f t="shared" si="16"/>
        <v>281</v>
      </c>
      <c r="B282" s="12">
        <v>844</v>
      </c>
      <c r="C282" s="20" t="s">
        <v>23</v>
      </c>
      <c r="D282" s="18">
        <v>45453</v>
      </c>
      <c r="E282" s="17">
        <v>0.55902777777777779</v>
      </c>
      <c r="F282" s="12" t="s">
        <v>847</v>
      </c>
      <c r="G282" s="18">
        <v>42069</v>
      </c>
      <c r="H282" s="12" t="str">
        <f t="shared" si="18"/>
        <v>9 г. 3 мес. 4 дн.</v>
      </c>
      <c r="I282" s="12" t="s">
        <v>121</v>
      </c>
      <c r="K282" s="12" t="s">
        <v>837</v>
      </c>
      <c r="L282" s="12" t="s">
        <v>848</v>
      </c>
      <c r="M282" s="12" t="s">
        <v>52</v>
      </c>
      <c r="O282" s="12" t="s">
        <v>87</v>
      </c>
      <c r="S282" s="12" t="s">
        <v>23</v>
      </c>
      <c r="T282" s="18">
        <v>45456</v>
      </c>
      <c r="U282" s="17">
        <v>0.61111111111111105</v>
      </c>
      <c r="V282" s="12" t="str">
        <f t="shared" si="17"/>
        <v>0 г. 0 мес. 3 дн.</v>
      </c>
      <c r="W282" s="22"/>
      <c r="X282" s="72"/>
    </row>
    <row r="283" spans="1:24" ht="35.1" customHeight="1" x14ac:dyDescent="0.25">
      <c r="A283" s="12">
        <f t="shared" si="16"/>
        <v>282</v>
      </c>
      <c r="B283" s="12">
        <v>1307</v>
      </c>
      <c r="C283" s="20" t="s">
        <v>77</v>
      </c>
      <c r="D283" s="18">
        <v>45454</v>
      </c>
      <c r="E283" s="17">
        <v>0.47569444444444442</v>
      </c>
      <c r="F283" s="12" t="s">
        <v>850</v>
      </c>
      <c r="G283" s="18">
        <v>39365</v>
      </c>
      <c r="H283" s="12" t="str">
        <f t="shared" si="18"/>
        <v>16 г. 8 мес. 1 дн.</v>
      </c>
      <c r="I283" s="12" t="s">
        <v>119</v>
      </c>
      <c r="J283" s="12" t="s">
        <v>77</v>
      </c>
      <c r="K283" s="12" t="s">
        <v>264</v>
      </c>
      <c r="L283" s="12" t="s">
        <v>851</v>
      </c>
      <c r="M283" s="12" t="s">
        <v>49</v>
      </c>
      <c r="O283" s="12" t="s">
        <v>87</v>
      </c>
      <c r="S283" s="12" t="s">
        <v>77</v>
      </c>
      <c r="T283" s="18">
        <v>45455</v>
      </c>
      <c r="U283" s="17">
        <v>0.3972222222222222</v>
      </c>
      <c r="V283" s="12" t="str">
        <f t="shared" si="17"/>
        <v>0 г. 0 мес. 1 дн.</v>
      </c>
      <c r="W283" s="22"/>
      <c r="X283" s="72"/>
    </row>
    <row r="284" spans="1:24" ht="35.1" customHeight="1" x14ac:dyDescent="0.25">
      <c r="A284" s="12">
        <f t="shared" si="16"/>
        <v>283</v>
      </c>
      <c r="B284" s="12">
        <v>365</v>
      </c>
      <c r="C284" s="20" t="s">
        <v>28</v>
      </c>
      <c r="D284" s="18">
        <v>45464</v>
      </c>
      <c r="E284" s="17">
        <v>8.3333333333333329E-2</v>
      </c>
      <c r="F284" s="12" t="s">
        <v>856</v>
      </c>
      <c r="G284" s="18">
        <v>41550</v>
      </c>
      <c r="H284" s="12" t="str">
        <f t="shared" si="18"/>
        <v>10 г. 8 мес. 18 дн.</v>
      </c>
      <c r="I284" s="12" t="s">
        <v>118</v>
      </c>
      <c r="K284" s="12" t="s">
        <v>264</v>
      </c>
      <c r="L284" s="12" t="s">
        <v>533</v>
      </c>
      <c r="M284" s="12" t="s">
        <v>46</v>
      </c>
      <c r="O284" s="12" t="s">
        <v>87</v>
      </c>
      <c r="S284" s="12" t="s">
        <v>28</v>
      </c>
      <c r="T284" s="18">
        <v>45465</v>
      </c>
      <c r="U284" s="17">
        <v>0.52638888888888891</v>
      </c>
      <c r="V284" s="12" t="str">
        <f t="shared" si="17"/>
        <v>0 г. 0 мес. 1 дн.</v>
      </c>
      <c r="W284" s="22"/>
      <c r="X284" s="72"/>
    </row>
    <row r="285" spans="1:24" ht="35.1" customHeight="1" x14ac:dyDescent="0.25">
      <c r="A285" s="12">
        <f t="shared" si="16"/>
        <v>284</v>
      </c>
      <c r="B285" s="12">
        <v>863</v>
      </c>
      <c r="C285" s="20" t="s">
        <v>23</v>
      </c>
      <c r="D285" s="18">
        <v>45455</v>
      </c>
      <c r="E285" s="17">
        <v>0.79861111111111116</v>
      </c>
      <c r="F285" s="12" t="s">
        <v>861</v>
      </c>
      <c r="G285" s="18">
        <v>40661</v>
      </c>
      <c r="H285" s="12" t="str">
        <f t="shared" si="18"/>
        <v>13 г. 1 мес. 15 дн.</v>
      </c>
      <c r="I285" s="12" t="s">
        <v>118</v>
      </c>
      <c r="K285" s="12" t="s">
        <v>264</v>
      </c>
      <c r="L285" s="12" t="s">
        <v>862</v>
      </c>
      <c r="M285" s="12" t="s">
        <v>52</v>
      </c>
      <c r="O285" s="12" t="s">
        <v>87</v>
      </c>
      <c r="P285" s="12" t="s">
        <v>94</v>
      </c>
      <c r="Q285" s="12" t="s">
        <v>101</v>
      </c>
      <c r="S285" s="12" t="s">
        <v>23</v>
      </c>
      <c r="T285" s="18">
        <v>45458</v>
      </c>
      <c r="U285" s="17">
        <v>0.54027777777777775</v>
      </c>
      <c r="V285" s="12" t="str">
        <f t="shared" si="17"/>
        <v>0 г. 0 мес. 3 дн.</v>
      </c>
      <c r="W285" s="22"/>
      <c r="X285" s="72"/>
    </row>
    <row r="286" spans="1:24" ht="35.1" customHeight="1" x14ac:dyDescent="0.25">
      <c r="A286" s="12">
        <f t="shared" si="16"/>
        <v>285</v>
      </c>
      <c r="B286" s="12">
        <v>1277</v>
      </c>
      <c r="C286" s="20" t="s">
        <v>77</v>
      </c>
      <c r="D286" s="18">
        <v>45449</v>
      </c>
      <c r="E286" s="17">
        <v>0.62083333333333335</v>
      </c>
      <c r="F286" s="12" t="s">
        <v>562</v>
      </c>
      <c r="G286" s="18">
        <v>40841</v>
      </c>
      <c r="H286" s="12" t="str">
        <f t="shared" si="18"/>
        <v>12 г. 7 мес. 12 дн.</v>
      </c>
      <c r="I286" s="12" t="s">
        <v>119</v>
      </c>
      <c r="J286" s="12" t="s">
        <v>77</v>
      </c>
      <c r="K286" s="12" t="s">
        <v>863</v>
      </c>
      <c r="L286" s="12" t="s">
        <v>864</v>
      </c>
      <c r="M286" s="12" t="s">
        <v>53</v>
      </c>
      <c r="O286" s="12" t="s">
        <v>87</v>
      </c>
      <c r="S286" s="12" t="s">
        <v>77</v>
      </c>
      <c r="T286" s="18">
        <v>45449</v>
      </c>
      <c r="U286" s="17">
        <v>0.90416666666666667</v>
      </c>
      <c r="V286" s="12" t="str">
        <f t="shared" si="17"/>
        <v>0 г. 0 мес. 0 дн.</v>
      </c>
      <c r="W286" s="22"/>
      <c r="X286" s="72"/>
    </row>
    <row r="287" spans="1:24" ht="35.1" customHeight="1" x14ac:dyDescent="0.25">
      <c r="A287" s="12">
        <f t="shared" si="16"/>
        <v>286</v>
      </c>
      <c r="B287" s="12">
        <v>505</v>
      </c>
      <c r="C287" s="20" t="s">
        <v>26</v>
      </c>
      <c r="D287" s="18">
        <v>45463</v>
      </c>
      <c r="E287" s="17">
        <v>0.4201388888888889</v>
      </c>
      <c r="F287" s="12" t="s">
        <v>865</v>
      </c>
      <c r="G287" s="18">
        <v>39666</v>
      </c>
      <c r="H287" s="12" t="str">
        <f t="shared" si="18"/>
        <v>15 г. 10 мес. 14 дн.</v>
      </c>
      <c r="I287" s="12" t="s">
        <v>118</v>
      </c>
      <c r="K287" s="12" t="s">
        <v>866</v>
      </c>
      <c r="L287" s="12" t="s">
        <v>148</v>
      </c>
      <c r="M287" s="12" t="s">
        <v>55</v>
      </c>
      <c r="O287" s="12" t="s">
        <v>87</v>
      </c>
      <c r="S287" s="12" t="s">
        <v>26</v>
      </c>
      <c r="T287" s="18">
        <v>45463</v>
      </c>
      <c r="U287" s="17">
        <v>0.45555555555555555</v>
      </c>
      <c r="V287" s="12" t="str">
        <f t="shared" si="17"/>
        <v>0 г. 0 мес. 0 дн.</v>
      </c>
      <c r="W287" s="22"/>
      <c r="X287" s="72"/>
    </row>
    <row r="288" spans="1:24" ht="35.1" customHeight="1" x14ac:dyDescent="0.25">
      <c r="A288" s="12">
        <f t="shared" si="16"/>
        <v>287</v>
      </c>
      <c r="B288" s="12">
        <v>981</v>
      </c>
      <c r="C288" s="20" t="s">
        <v>23</v>
      </c>
      <c r="D288" s="18">
        <v>45478</v>
      </c>
      <c r="E288" s="17">
        <v>0.625</v>
      </c>
      <c r="F288" s="12" t="s">
        <v>875</v>
      </c>
      <c r="G288" s="18">
        <v>39245</v>
      </c>
      <c r="H288" s="12" t="str">
        <f t="shared" si="18"/>
        <v>17 г. 0 мес. 23 дн.</v>
      </c>
      <c r="I288" s="12" t="s">
        <v>119</v>
      </c>
      <c r="J288" s="12" t="s">
        <v>23</v>
      </c>
      <c r="K288" s="12" t="s">
        <v>867</v>
      </c>
      <c r="L288" s="12" t="s">
        <v>868</v>
      </c>
      <c r="M288" s="12" t="s">
        <v>51</v>
      </c>
      <c r="O288" s="12" t="s">
        <v>87</v>
      </c>
      <c r="P288" s="12" t="s">
        <v>94</v>
      </c>
      <c r="S288" s="12" t="s">
        <v>23</v>
      </c>
      <c r="T288" s="18">
        <v>45479</v>
      </c>
      <c r="U288" s="17">
        <v>0.41666666666666669</v>
      </c>
      <c r="V288" s="12" t="str">
        <f t="shared" si="17"/>
        <v>0 г. 0 мес. 1 дн.</v>
      </c>
      <c r="W288" s="22"/>
      <c r="X288" s="72"/>
    </row>
    <row r="289" spans="1:24" ht="35.1" customHeight="1" x14ac:dyDescent="0.25">
      <c r="A289" s="12">
        <f t="shared" si="16"/>
        <v>288</v>
      </c>
      <c r="B289" s="12">
        <v>552</v>
      </c>
      <c r="C289" s="20" t="s">
        <v>26</v>
      </c>
      <c r="D289" s="18">
        <v>45479</v>
      </c>
      <c r="E289" s="17">
        <v>0.49305555555555558</v>
      </c>
      <c r="F289" s="12" t="s">
        <v>869</v>
      </c>
      <c r="G289" s="18">
        <v>44092</v>
      </c>
      <c r="H289" s="12" t="str">
        <f t="shared" si="18"/>
        <v>3 г. 9 мес. 18 дн.</v>
      </c>
      <c r="I289" s="12" t="s">
        <v>118</v>
      </c>
      <c r="K289" s="12" t="s">
        <v>870</v>
      </c>
      <c r="L289" s="12" t="s">
        <v>871</v>
      </c>
      <c r="M289" s="12" t="s">
        <v>43</v>
      </c>
      <c r="O289" s="12" t="s">
        <v>87</v>
      </c>
      <c r="S289" s="12" t="s">
        <v>26</v>
      </c>
      <c r="T289" s="18">
        <v>45479</v>
      </c>
      <c r="U289" s="17">
        <v>0.75</v>
      </c>
      <c r="V289" s="12" t="str">
        <f t="shared" si="17"/>
        <v>0 г. 0 мес. 0 дн.</v>
      </c>
      <c r="W289" s="22"/>
      <c r="X289" s="72"/>
    </row>
    <row r="290" spans="1:24" ht="35.1" customHeight="1" x14ac:dyDescent="0.25">
      <c r="A290" s="12">
        <f t="shared" si="16"/>
        <v>289</v>
      </c>
      <c r="B290" s="12">
        <v>1575</v>
      </c>
      <c r="C290" s="20" t="s">
        <v>77</v>
      </c>
      <c r="D290" s="18">
        <v>45478</v>
      </c>
      <c r="E290" s="17">
        <v>0.85416666666666663</v>
      </c>
      <c r="F290" s="35" t="s">
        <v>872</v>
      </c>
      <c r="G290" s="18">
        <v>39062</v>
      </c>
      <c r="H290" s="12" t="str">
        <f t="shared" si="18"/>
        <v>17 г. 6 мес. 24 дн.</v>
      </c>
      <c r="I290" s="12" t="s">
        <v>118</v>
      </c>
      <c r="K290" s="12" t="s">
        <v>873</v>
      </c>
      <c r="L290" s="12" t="s">
        <v>874</v>
      </c>
      <c r="M290" s="12" t="s">
        <v>48</v>
      </c>
      <c r="O290" s="12" t="s">
        <v>87</v>
      </c>
      <c r="S290" s="12" t="s">
        <v>77</v>
      </c>
      <c r="T290" s="18">
        <v>45479</v>
      </c>
      <c r="U290" s="17">
        <v>0.45833333333333331</v>
      </c>
      <c r="V290" s="12" t="str">
        <f t="shared" si="17"/>
        <v>0 г. 0 мес. 1 дн.</v>
      </c>
      <c r="W290" s="22"/>
      <c r="X290" s="72"/>
    </row>
    <row r="291" spans="1:24" ht="35.1" customHeight="1" x14ac:dyDescent="0.25">
      <c r="A291" s="12">
        <f t="shared" si="16"/>
        <v>290</v>
      </c>
      <c r="B291" s="12">
        <v>1009</v>
      </c>
      <c r="C291" s="20" t="s">
        <v>23</v>
      </c>
      <c r="D291" s="18">
        <v>45477</v>
      </c>
      <c r="E291" s="17">
        <v>0.81597222222222221</v>
      </c>
      <c r="F291" s="12" t="s">
        <v>876</v>
      </c>
      <c r="G291" s="18">
        <v>42101</v>
      </c>
      <c r="H291" s="12" t="str">
        <f t="shared" si="18"/>
        <v>9 г. 2 мес. 27 дн.</v>
      </c>
      <c r="I291" s="12" t="s">
        <v>118</v>
      </c>
      <c r="K291" s="12" t="s">
        <v>877</v>
      </c>
      <c r="L291" s="12" t="s">
        <v>878</v>
      </c>
      <c r="M291" s="12" t="s">
        <v>52</v>
      </c>
      <c r="O291" s="12" t="s">
        <v>73</v>
      </c>
      <c r="P291" s="12" t="s">
        <v>94</v>
      </c>
      <c r="S291" s="12" t="s">
        <v>23</v>
      </c>
      <c r="T291" s="18">
        <v>45483</v>
      </c>
      <c r="U291" s="17">
        <v>0.57638888888888895</v>
      </c>
      <c r="V291" s="12" t="str">
        <f t="shared" si="17"/>
        <v>0 г. 0 мес. 6 дн.</v>
      </c>
      <c r="W291" s="22"/>
      <c r="X291" s="72"/>
    </row>
    <row r="292" spans="1:24" ht="35.1" customHeight="1" x14ac:dyDescent="0.25">
      <c r="A292" s="12">
        <f t="shared" si="16"/>
        <v>291</v>
      </c>
      <c r="B292" s="12">
        <v>1001</v>
      </c>
      <c r="C292" s="20" t="s">
        <v>23</v>
      </c>
      <c r="D292" s="18">
        <v>45481</v>
      </c>
      <c r="E292" s="17">
        <v>0.39583333333333331</v>
      </c>
      <c r="F292" s="12" t="s">
        <v>830</v>
      </c>
      <c r="G292" s="18">
        <v>43515</v>
      </c>
      <c r="H292" s="12" t="str">
        <f t="shared" si="18"/>
        <v>5 г. 4 мес. 19 дн.</v>
      </c>
      <c r="I292" s="12" t="s">
        <v>120</v>
      </c>
      <c r="J292" s="12" t="s">
        <v>23</v>
      </c>
      <c r="K292" s="12" t="s">
        <v>748</v>
      </c>
      <c r="L292" s="12" t="s">
        <v>879</v>
      </c>
      <c r="M292" s="12" t="s">
        <v>52</v>
      </c>
      <c r="O292" s="12" t="s">
        <v>87</v>
      </c>
      <c r="S292" s="12" t="s">
        <v>23</v>
      </c>
      <c r="T292" s="18">
        <v>45483</v>
      </c>
      <c r="U292" s="17">
        <v>0.57638888888888895</v>
      </c>
      <c r="V292" s="12" t="str">
        <f t="shared" si="17"/>
        <v>0 г. 0 мес. 2 дн.</v>
      </c>
      <c r="W292" s="22"/>
      <c r="X292" s="72"/>
    </row>
    <row r="293" spans="1:24" ht="33.75" customHeight="1" x14ac:dyDescent="0.25">
      <c r="A293" s="12">
        <f t="shared" si="16"/>
        <v>292</v>
      </c>
      <c r="B293" s="12">
        <v>1592</v>
      </c>
      <c r="C293" s="20" t="s">
        <v>77</v>
      </c>
      <c r="D293" s="18">
        <v>45481</v>
      </c>
      <c r="E293" s="17">
        <v>0.54861111111111105</v>
      </c>
      <c r="F293" s="12" t="s">
        <v>894</v>
      </c>
      <c r="G293" s="18">
        <v>40197</v>
      </c>
      <c r="H293" s="12" t="str">
        <f t="shared" si="18"/>
        <v>14 г. 5 мес. 19 дн.</v>
      </c>
      <c r="I293" s="12" t="s">
        <v>118</v>
      </c>
      <c r="K293" s="12" t="s">
        <v>881</v>
      </c>
      <c r="L293" s="12" t="s">
        <v>880</v>
      </c>
      <c r="M293" s="12" t="s">
        <v>54</v>
      </c>
      <c r="O293" s="12" t="s">
        <v>73</v>
      </c>
      <c r="S293" s="12" t="s">
        <v>77</v>
      </c>
      <c r="T293" s="18">
        <v>45491</v>
      </c>
      <c r="U293" s="17">
        <v>0.5</v>
      </c>
      <c r="V293" s="12" t="str">
        <f t="shared" si="17"/>
        <v>0 г. 0 мес. 10 дн.</v>
      </c>
      <c r="W293" s="22"/>
      <c r="X293" s="72"/>
    </row>
    <row r="294" spans="1:24" s="30" customFormat="1" ht="38.25" customHeight="1" x14ac:dyDescent="0.25">
      <c r="A294" s="30">
        <f t="shared" si="16"/>
        <v>293</v>
      </c>
      <c r="B294" s="30">
        <v>555</v>
      </c>
      <c r="C294" s="31" t="s">
        <v>26</v>
      </c>
      <c r="D294" s="32">
        <v>45481</v>
      </c>
      <c r="E294" s="33">
        <v>0.51388888888888895</v>
      </c>
      <c r="F294" s="30" t="s">
        <v>889</v>
      </c>
      <c r="G294" s="32">
        <v>39115</v>
      </c>
      <c r="H294" s="30" t="str">
        <f t="shared" si="18"/>
        <v>17 г. 5 мес. 6 дн.</v>
      </c>
      <c r="I294" s="30" t="s">
        <v>118</v>
      </c>
      <c r="K294" s="30" t="s">
        <v>890</v>
      </c>
      <c r="L294" s="30" t="s">
        <v>604</v>
      </c>
      <c r="M294" s="30" t="s">
        <v>43</v>
      </c>
      <c r="O294" s="30" t="s">
        <v>87</v>
      </c>
      <c r="S294" s="30" t="s">
        <v>29</v>
      </c>
      <c r="T294" s="32">
        <v>45482</v>
      </c>
      <c r="U294" s="33">
        <v>0.54166666666666663</v>
      </c>
      <c r="V294" s="30" t="str">
        <f t="shared" si="17"/>
        <v>0 г. 0 мес. 1 дн.</v>
      </c>
      <c r="W294" s="34"/>
      <c r="X294" s="74"/>
    </row>
    <row r="295" spans="1:24" ht="35.1" customHeight="1" x14ac:dyDescent="0.25">
      <c r="A295" s="12">
        <f t="shared" si="16"/>
        <v>294</v>
      </c>
      <c r="B295" s="12">
        <v>941</v>
      </c>
      <c r="C295" s="20" t="s">
        <v>23</v>
      </c>
      <c r="D295" s="18">
        <v>45482</v>
      </c>
      <c r="E295" s="17">
        <v>0.63541666666666663</v>
      </c>
      <c r="F295" s="12" t="s">
        <v>886</v>
      </c>
      <c r="G295" s="18">
        <v>39541</v>
      </c>
      <c r="H295" s="12" t="str">
        <f t="shared" si="18"/>
        <v>16 г. 3 мес. 6 дн.</v>
      </c>
      <c r="I295" s="12" t="s">
        <v>119</v>
      </c>
      <c r="J295" s="12" t="s">
        <v>23</v>
      </c>
      <c r="K295" s="12" t="s">
        <v>888</v>
      </c>
      <c r="L295" s="12" t="s">
        <v>795</v>
      </c>
      <c r="M295" s="12" t="s">
        <v>51</v>
      </c>
      <c r="O295" s="12" t="s">
        <v>87</v>
      </c>
      <c r="P295" s="12" t="s">
        <v>94</v>
      </c>
      <c r="S295" s="12" t="s">
        <v>77</v>
      </c>
      <c r="T295" s="18">
        <v>45486</v>
      </c>
      <c r="U295" s="17">
        <v>0.47916666666666669</v>
      </c>
      <c r="V295" s="12" t="str">
        <f t="shared" si="17"/>
        <v>0 г. 0 мес. 4 дн.</v>
      </c>
      <c r="W295" s="22"/>
      <c r="X295" s="72"/>
    </row>
    <row r="296" spans="1:24" ht="35.1" customHeight="1" x14ac:dyDescent="0.25">
      <c r="A296" s="12">
        <f t="shared" si="16"/>
        <v>295</v>
      </c>
      <c r="B296" s="12">
        <v>1030</v>
      </c>
      <c r="C296" s="20" t="s">
        <v>23</v>
      </c>
      <c r="D296" s="18">
        <v>45481</v>
      </c>
      <c r="E296" s="17">
        <v>0.96527777777777779</v>
      </c>
      <c r="F296" s="12" t="s">
        <v>882</v>
      </c>
      <c r="G296" s="18">
        <v>42759</v>
      </c>
      <c r="H296" s="12" t="str">
        <f t="shared" si="18"/>
        <v>7 г. 5 мес. 14 дн.</v>
      </c>
      <c r="I296" s="12" t="s">
        <v>118</v>
      </c>
      <c r="K296" s="12" t="s">
        <v>887</v>
      </c>
      <c r="L296" s="12" t="s">
        <v>895</v>
      </c>
      <c r="M296" s="12" t="s">
        <v>51</v>
      </c>
      <c r="N296" s="12">
        <v>60</v>
      </c>
      <c r="O296" s="12" t="s">
        <v>73</v>
      </c>
      <c r="S296" s="12" t="s">
        <v>23</v>
      </c>
      <c r="T296" s="18">
        <v>45488</v>
      </c>
      <c r="U296" s="17">
        <v>0.58333333333333337</v>
      </c>
      <c r="V296" s="12" t="str">
        <f t="shared" si="17"/>
        <v>0 г. 0 мес. 7 дн.</v>
      </c>
      <c r="W296" s="22"/>
      <c r="X296" s="72"/>
    </row>
    <row r="297" spans="1:24" ht="35.1" customHeight="1" x14ac:dyDescent="0.25">
      <c r="A297" s="12">
        <f t="shared" si="16"/>
        <v>296</v>
      </c>
      <c r="B297" s="36">
        <v>382</v>
      </c>
      <c r="C297" s="20" t="s">
        <v>28</v>
      </c>
      <c r="D297" s="18">
        <v>45484</v>
      </c>
      <c r="E297" s="17">
        <v>0.33333333333333331</v>
      </c>
      <c r="F297" s="12" t="s">
        <v>883</v>
      </c>
      <c r="G297" s="18">
        <v>45442</v>
      </c>
      <c r="H297" s="12" t="str">
        <f t="shared" si="18"/>
        <v>0 г. 1 мес. 11 дн.</v>
      </c>
      <c r="I297" s="12" t="s">
        <v>120</v>
      </c>
      <c r="J297" s="12" t="s">
        <v>28</v>
      </c>
      <c r="K297" s="12" t="s">
        <v>884</v>
      </c>
      <c r="L297" s="12" t="s">
        <v>885</v>
      </c>
      <c r="M297" s="12" t="s">
        <v>46</v>
      </c>
      <c r="N297" s="21"/>
      <c r="O297" s="12" t="s">
        <v>87</v>
      </c>
      <c r="P297" s="21"/>
      <c r="Q297" s="21"/>
      <c r="R297" s="21"/>
      <c r="S297" s="12" t="s">
        <v>28</v>
      </c>
      <c r="T297" s="18">
        <v>45484</v>
      </c>
      <c r="U297" s="17">
        <v>0.71250000000000002</v>
      </c>
      <c r="V297" s="12" t="str">
        <f t="shared" si="17"/>
        <v>0 г. 0 мес. 0 дн.</v>
      </c>
      <c r="W297" s="22"/>
      <c r="X297" s="72"/>
    </row>
    <row r="298" spans="1:24" ht="35.1" customHeight="1" x14ac:dyDescent="0.25">
      <c r="A298" s="12">
        <f t="shared" si="16"/>
        <v>297</v>
      </c>
      <c r="B298" s="36">
        <v>1641</v>
      </c>
      <c r="C298" s="20" t="s">
        <v>77</v>
      </c>
      <c r="D298" s="18">
        <v>45487</v>
      </c>
      <c r="E298" s="17">
        <v>0.54513888888888895</v>
      </c>
      <c r="F298" s="12" t="s">
        <v>891</v>
      </c>
      <c r="G298" s="18">
        <v>43362</v>
      </c>
      <c r="H298" s="12" t="str">
        <f t="shared" si="18"/>
        <v>5 г. 9 мес. 25 дн.</v>
      </c>
      <c r="I298" s="12" t="s">
        <v>119</v>
      </c>
      <c r="J298" s="12" t="s">
        <v>77</v>
      </c>
      <c r="K298" s="12" t="s">
        <v>892</v>
      </c>
      <c r="L298" s="12" t="s">
        <v>893</v>
      </c>
      <c r="M298" s="12" t="s">
        <v>49</v>
      </c>
      <c r="N298" s="21"/>
      <c r="O298" s="12" t="s">
        <v>73</v>
      </c>
      <c r="P298" s="21" t="s">
        <v>94</v>
      </c>
      <c r="Q298" s="21"/>
      <c r="R298" s="21"/>
      <c r="S298" s="12" t="s">
        <v>77</v>
      </c>
      <c r="T298" s="18">
        <v>45491</v>
      </c>
      <c r="U298" s="17">
        <v>0.45833333333333331</v>
      </c>
      <c r="V298" s="12" t="str">
        <f t="shared" si="17"/>
        <v>0 г. 0 мес. 4 дн.</v>
      </c>
      <c r="W298" s="22"/>
      <c r="X298" s="72"/>
    </row>
    <row r="299" spans="1:24" ht="35.1" customHeight="1" x14ac:dyDescent="0.25">
      <c r="A299" s="12">
        <f t="shared" si="16"/>
        <v>298</v>
      </c>
      <c r="B299" s="36">
        <v>1687</v>
      </c>
      <c r="C299" s="20" t="s">
        <v>77</v>
      </c>
      <c r="D299" s="18">
        <v>45491</v>
      </c>
      <c r="E299" s="17">
        <v>0.65277777777777779</v>
      </c>
      <c r="F299" s="12" t="s">
        <v>896</v>
      </c>
      <c r="G299" s="18">
        <v>41453</v>
      </c>
      <c r="H299" s="12" t="str">
        <f t="shared" si="18"/>
        <v>11 г. 0 мес. 20 дн.</v>
      </c>
      <c r="I299" s="12" t="s">
        <v>119</v>
      </c>
      <c r="J299" s="12" t="s">
        <v>77</v>
      </c>
      <c r="K299" s="12" t="s">
        <v>897</v>
      </c>
      <c r="L299" s="12" t="s">
        <v>898</v>
      </c>
      <c r="M299" s="12" t="s">
        <v>49</v>
      </c>
      <c r="N299" s="21"/>
      <c r="O299" s="12" t="s">
        <v>73</v>
      </c>
      <c r="P299" s="21" t="s">
        <v>94</v>
      </c>
      <c r="Q299" s="21"/>
      <c r="R299" s="21"/>
      <c r="S299" s="12" t="s">
        <v>77</v>
      </c>
      <c r="T299" s="18">
        <v>45503</v>
      </c>
      <c r="U299" s="17">
        <v>0.5</v>
      </c>
      <c r="V299" s="12" t="str">
        <f t="shared" si="17"/>
        <v>0 г. 0 мес. 12 дн.</v>
      </c>
      <c r="W299" s="22"/>
      <c r="X299" s="72"/>
    </row>
    <row r="300" spans="1:24" ht="35.1" customHeight="1" x14ac:dyDescent="0.25">
      <c r="A300" s="12">
        <f t="shared" si="16"/>
        <v>299</v>
      </c>
      <c r="B300" s="12">
        <v>1697</v>
      </c>
      <c r="C300" s="20" t="s">
        <v>77</v>
      </c>
      <c r="D300" s="18">
        <v>45492</v>
      </c>
      <c r="E300" s="17">
        <v>0.78472222222222221</v>
      </c>
      <c r="F300" s="12" t="s">
        <v>899</v>
      </c>
      <c r="G300" s="18">
        <v>41696</v>
      </c>
      <c r="H300" s="12" t="str">
        <f t="shared" si="18"/>
        <v>10 г. 4 мес. 23 дн.</v>
      </c>
      <c r="I300" s="12" t="s">
        <v>118</v>
      </c>
      <c r="K300" s="12" t="s">
        <v>900</v>
      </c>
      <c r="L300" s="12" t="s">
        <v>901</v>
      </c>
      <c r="M300" s="12" t="s">
        <v>46</v>
      </c>
      <c r="N300" s="21"/>
      <c r="O300" s="12" t="s">
        <v>87</v>
      </c>
      <c r="P300" s="21"/>
      <c r="Q300" s="21"/>
      <c r="R300" s="21"/>
      <c r="S300" s="12" t="s">
        <v>77</v>
      </c>
      <c r="T300" s="18">
        <v>45493</v>
      </c>
      <c r="U300" s="17">
        <v>0.41666666666666669</v>
      </c>
      <c r="V300" s="12" t="str">
        <f t="shared" si="17"/>
        <v>0 г. 0 мес. 1 дн.</v>
      </c>
      <c r="W300" s="22"/>
      <c r="X300" s="72"/>
    </row>
    <row r="301" spans="1:24" ht="35.1" customHeight="1" x14ac:dyDescent="0.25">
      <c r="A301" s="12">
        <f t="shared" si="16"/>
        <v>300</v>
      </c>
      <c r="B301" s="12">
        <v>577</v>
      </c>
      <c r="C301" s="20" t="s">
        <v>80</v>
      </c>
      <c r="D301" s="18">
        <v>45492</v>
      </c>
      <c r="E301" s="17">
        <v>0.90972222222222221</v>
      </c>
      <c r="F301" s="12" t="s">
        <v>902</v>
      </c>
      <c r="G301" s="18">
        <v>44145</v>
      </c>
      <c r="H301" s="12" t="str">
        <f t="shared" si="18"/>
        <v>3 г. 8 мес. 9 дн.</v>
      </c>
      <c r="I301" s="12" t="s">
        <v>118</v>
      </c>
      <c r="K301" s="12" t="s">
        <v>903</v>
      </c>
      <c r="L301" s="12" t="s">
        <v>904</v>
      </c>
      <c r="M301" s="12" t="s">
        <v>55</v>
      </c>
      <c r="N301" s="21"/>
      <c r="O301" s="12" t="s">
        <v>87</v>
      </c>
      <c r="P301" s="21"/>
      <c r="Q301" s="21"/>
      <c r="R301" s="21"/>
      <c r="S301" s="12" t="s">
        <v>26</v>
      </c>
      <c r="T301" s="18">
        <v>45493</v>
      </c>
      <c r="U301" s="17">
        <v>0.58333333333333337</v>
      </c>
      <c r="V301" s="12" t="str">
        <f t="shared" si="17"/>
        <v>0 г. 0 мес. 1 дн.</v>
      </c>
      <c r="W301" s="22"/>
      <c r="X301" s="72"/>
    </row>
    <row r="302" spans="1:24" ht="35.1" customHeight="1" x14ac:dyDescent="0.25">
      <c r="A302" s="12">
        <f t="shared" si="16"/>
        <v>301</v>
      </c>
      <c r="B302" s="12">
        <v>569</v>
      </c>
      <c r="C302" s="20" t="s">
        <v>77</v>
      </c>
      <c r="D302" s="18">
        <v>45495</v>
      </c>
      <c r="E302" s="17">
        <v>0.47916666666666669</v>
      </c>
      <c r="F302" s="35" t="s">
        <v>905</v>
      </c>
      <c r="G302" s="18">
        <v>42454</v>
      </c>
      <c r="H302" s="12" t="str">
        <f t="shared" si="18"/>
        <v>8 г. 3 мес. 27 дн.</v>
      </c>
      <c r="I302" s="12" t="s">
        <v>120</v>
      </c>
      <c r="J302" s="12" t="s">
        <v>77</v>
      </c>
      <c r="K302" s="12" t="s">
        <v>906</v>
      </c>
      <c r="L302" s="12" t="s">
        <v>907</v>
      </c>
      <c r="M302" s="12" t="s">
        <v>48</v>
      </c>
      <c r="N302" s="21"/>
      <c r="O302" s="12" t="s">
        <v>87</v>
      </c>
      <c r="P302" s="21"/>
      <c r="Q302" s="21"/>
      <c r="R302" s="21"/>
      <c r="S302" s="12" t="s">
        <v>77</v>
      </c>
      <c r="T302" s="18">
        <v>45497</v>
      </c>
      <c r="U302" s="17">
        <v>0.47916666666666669</v>
      </c>
      <c r="V302" s="12" t="str">
        <f t="shared" si="17"/>
        <v>0 г. 0 мес. 2 дн.</v>
      </c>
      <c r="W302" s="22"/>
      <c r="X302" s="72"/>
    </row>
    <row r="303" spans="1:24" ht="35.1" customHeight="1" x14ac:dyDescent="0.25">
      <c r="A303" s="12">
        <f t="shared" si="16"/>
        <v>302</v>
      </c>
      <c r="B303" s="12">
        <v>581</v>
      </c>
      <c r="C303" s="20" t="s">
        <v>26</v>
      </c>
      <c r="D303" s="18">
        <v>45496</v>
      </c>
      <c r="E303" s="17">
        <v>0.76041666666666663</v>
      </c>
      <c r="F303" s="12" t="s">
        <v>910</v>
      </c>
      <c r="G303" s="18">
        <v>38974</v>
      </c>
      <c r="H303" s="12" t="str">
        <f t="shared" si="18"/>
        <v>17 г. 10 мес. 9 дн.</v>
      </c>
      <c r="I303" s="12" t="s">
        <v>121</v>
      </c>
      <c r="K303" s="12" t="s">
        <v>908</v>
      </c>
      <c r="L303" s="12" t="s">
        <v>909</v>
      </c>
      <c r="M303" s="12" t="s">
        <v>42</v>
      </c>
      <c r="N303" s="21"/>
      <c r="O303" s="12" t="s">
        <v>73</v>
      </c>
      <c r="P303" s="21"/>
      <c r="Q303" s="21" t="s">
        <v>127</v>
      </c>
      <c r="R303" s="21" t="s">
        <v>106</v>
      </c>
      <c r="S303" s="12" t="s">
        <v>29</v>
      </c>
      <c r="T303" s="18">
        <v>45500</v>
      </c>
      <c r="U303" s="17">
        <v>0.20833333333333334</v>
      </c>
      <c r="V303" s="12" t="str">
        <f t="shared" si="17"/>
        <v>0 г. 0 мес. 4 дн.</v>
      </c>
      <c r="W303" s="22"/>
      <c r="X303" s="72"/>
    </row>
    <row r="304" spans="1:24" ht="35.1" customHeight="1" x14ac:dyDescent="0.25">
      <c r="A304" s="12">
        <f t="shared" si="16"/>
        <v>303</v>
      </c>
      <c r="B304" s="12">
        <v>1725</v>
      </c>
      <c r="C304" s="20" t="s">
        <v>77</v>
      </c>
      <c r="D304" s="18">
        <v>45496</v>
      </c>
      <c r="E304" s="17">
        <v>0.72916666666666663</v>
      </c>
      <c r="F304" s="12" t="s">
        <v>911</v>
      </c>
      <c r="G304" s="18">
        <v>45453</v>
      </c>
      <c r="H304" s="12" t="str">
        <f t="shared" si="18"/>
        <v>0 г. 1 мес. 13 дн.</v>
      </c>
      <c r="I304" s="12" t="s">
        <v>120</v>
      </c>
      <c r="J304" s="12" t="s">
        <v>77</v>
      </c>
      <c r="K304" s="12" t="s">
        <v>912</v>
      </c>
      <c r="L304" s="12" t="s">
        <v>592</v>
      </c>
      <c r="M304" s="12" t="s">
        <v>56</v>
      </c>
      <c r="N304" s="21"/>
      <c r="O304" s="12" t="s">
        <v>87</v>
      </c>
      <c r="P304" s="21"/>
      <c r="Q304" s="21"/>
      <c r="R304" s="21"/>
      <c r="S304" s="12" t="s">
        <v>77</v>
      </c>
      <c r="T304" s="18">
        <v>45499</v>
      </c>
      <c r="U304" s="17">
        <v>0.5</v>
      </c>
      <c r="V304" s="12" t="str">
        <f t="shared" si="17"/>
        <v>0 г. 0 мес. 3 дн.</v>
      </c>
      <c r="W304" s="22"/>
      <c r="X304" s="72"/>
    </row>
    <row r="305" spans="1:24" ht="35.1" customHeight="1" x14ac:dyDescent="0.25">
      <c r="A305" s="12">
        <f t="shared" si="16"/>
        <v>304</v>
      </c>
      <c r="B305" s="21">
        <v>1123</v>
      </c>
      <c r="C305" s="20" t="s">
        <v>23</v>
      </c>
      <c r="D305" s="18">
        <v>45130</v>
      </c>
      <c r="E305" s="17">
        <v>0.99305555555555547</v>
      </c>
      <c r="F305" s="12" t="s">
        <v>913</v>
      </c>
      <c r="G305" s="18">
        <v>41064</v>
      </c>
      <c r="H305" s="12" t="str">
        <f t="shared" si="18"/>
        <v>11 г. 1 мес. 19 дн.</v>
      </c>
      <c r="I305" s="12" t="s">
        <v>119</v>
      </c>
      <c r="J305" s="12" t="s">
        <v>23</v>
      </c>
      <c r="K305" s="12" t="s">
        <v>914</v>
      </c>
      <c r="L305" s="12" t="s">
        <v>915</v>
      </c>
      <c r="M305" s="12" t="s">
        <v>52</v>
      </c>
      <c r="N305" s="21"/>
      <c r="O305" s="12" t="s">
        <v>87</v>
      </c>
      <c r="P305" s="21"/>
      <c r="Q305" s="21"/>
      <c r="R305" s="21"/>
      <c r="S305" s="12" t="s">
        <v>23</v>
      </c>
      <c r="T305" s="18">
        <v>45497</v>
      </c>
      <c r="U305" s="17">
        <v>0.45833333333333331</v>
      </c>
      <c r="V305" s="12" t="str">
        <f t="shared" si="17"/>
        <v>1 г. 0 мес. 1 дн.</v>
      </c>
      <c r="W305" s="22"/>
      <c r="X305" s="72"/>
    </row>
    <row r="306" spans="1:24" ht="35.1" customHeight="1" x14ac:dyDescent="0.25">
      <c r="A306" s="12">
        <f t="shared" si="16"/>
        <v>305</v>
      </c>
      <c r="B306" s="21">
        <v>1750</v>
      </c>
      <c r="C306" s="20" t="s">
        <v>77</v>
      </c>
      <c r="D306" s="18">
        <v>45498</v>
      </c>
      <c r="E306" s="17">
        <v>0.51388888888888895</v>
      </c>
      <c r="F306" s="12" t="s">
        <v>916</v>
      </c>
      <c r="G306" s="18">
        <v>45083</v>
      </c>
      <c r="H306" s="12" t="str">
        <f t="shared" si="18"/>
        <v>1 г. 1 мес. 19 дн.</v>
      </c>
      <c r="I306" s="12" t="s">
        <v>118</v>
      </c>
      <c r="K306" s="12" t="s">
        <v>917</v>
      </c>
      <c r="L306" s="12" t="s">
        <v>918</v>
      </c>
      <c r="M306" s="12" t="s">
        <v>54</v>
      </c>
      <c r="N306" s="21"/>
      <c r="O306" s="12" t="s">
        <v>87</v>
      </c>
      <c r="P306" s="21"/>
      <c r="Q306" s="21"/>
      <c r="R306" s="21"/>
      <c r="S306" s="12" t="s">
        <v>77</v>
      </c>
      <c r="T306" s="18">
        <v>45499</v>
      </c>
      <c r="U306" s="17">
        <v>0.45833333333333331</v>
      </c>
      <c r="V306" s="12" t="str">
        <f t="shared" si="17"/>
        <v>0 г. 0 мес. 1 дн.</v>
      </c>
      <c r="W306" s="22"/>
      <c r="X306" s="72"/>
    </row>
    <row r="307" spans="1:24" ht="35.1" customHeight="1" x14ac:dyDescent="0.25">
      <c r="A307" s="12">
        <f t="shared" si="16"/>
        <v>306</v>
      </c>
      <c r="B307" s="21">
        <v>590</v>
      </c>
      <c r="C307" s="20" t="s">
        <v>26</v>
      </c>
      <c r="D307" s="18">
        <v>45502</v>
      </c>
      <c r="E307" s="17">
        <v>0.61111111111111105</v>
      </c>
      <c r="F307" s="12" t="s">
        <v>919</v>
      </c>
      <c r="G307" s="18">
        <v>42860</v>
      </c>
      <c r="H307" s="12" t="str">
        <f t="shared" si="18"/>
        <v>7 г. 2 мес. 24 дн.</v>
      </c>
      <c r="I307" s="12" t="s">
        <v>118</v>
      </c>
      <c r="K307" s="12" t="s">
        <v>920</v>
      </c>
      <c r="L307" s="12" t="s">
        <v>921</v>
      </c>
      <c r="M307" s="12" t="s">
        <v>43</v>
      </c>
      <c r="N307" s="21"/>
      <c r="O307" s="12" t="s">
        <v>87</v>
      </c>
      <c r="P307" s="21"/>
      <c r="Q307" s="21"/>
      <c r="R307" s="21"/>
      <c r="S307" s="12" t="s">
        <v>29</v>
      </c>
      <c r="T307" s="18">
        <v>45503</v>
      </c>
      <c r="U307" s="17">
        <v>0.5</v>
      </c>
      <c r="V307" s="12" t="str">
        <f t="shared" si="17"/>
        <v>0 г. 0 мес. 1 дн.</v>
      </c>
      <c r="W307" s="22"/>
      <c r="X307" s="72"/>
    </row>
    <row r="308" spans="1:24" ht="35.1" customHeight="1" x14ac:dyDescent="0.25">
      <c r="A308" s="12">
        <f t="shared" si="16"/>
        <v>307</v>
      </c>
      <c r="B308" s="19">
        <v>595</v>
      </c>
      <c r="C308" s="20" t="s">
        <v>26</v>
      </c>
      <c r="D308" s="18">
        <v>45502</v>
      </c>
      <c r="E308" s="17">
        <v>0.71527777777777779</v>
      </c>
      <c r="F308" s="12" t="s">
        <v>922</v>
      </c>
      <c r="G308" s="18">
        <v>40023</v>
      </c>
      <c r="H308" s="12" t="str">
        <f t="shared" si="18"/>
        <v>15 г. 0 мес. 0 дн.</v>
      </c>
      <c r="I308" s="12" t="s">
        <v>118</v>
      </c>
      <c r="K308" s="12" t="s">
        <v>924</v>
      </c>
      <c r="L308" s="12" t="s">
        <v>923</v>
      </c>
      <c r="M308" s="12" t="s">
        <v>55</v>
      </c>
      <c r="N308" s="21"/>
      <c r="O308" s="12" t="s">
        <v>87</v>
      </c>
      <c r="P308" s="19"/>
      <c r="Q308" s="19"/>
      <c r="R308" s="19"/>
      <c r="S308" s="13" t="s">
        <v>26</v>
      </c>
      <c r="T308" s="16">
        <v>45503</v>
      </c>
      <c r="U308" s="15">
        <v>0.5</v>
      </c>
      <c r="V308" s="12" t="str">
        <f t="shared" si="17"/>
        <v>0 г. 0 мес. 1 дн.</v>
      </c>
      <c r="W308" s="22"/>
      <c r="X308" s="72"/>
    </row>
    <row r="309" spans="1:24" ht="35.1" customHeight="1" x14ac:dyDescent="0.25">
      <c r="A309" s="12">
        <f t="shared" si="16"/>
        <v>308</v>
      </c>
      <c r="B309" s="21">
        <v>1771</v>
      </c>
      <c r="C309" s="20" t="s">
        <v>77</v>
      </c>
      <c r="D309" s="18">
        <v>45502</v>
      </c>
      <c r="E309" s="17">
        <v>0.63194444444444442</v>
      </c>
      <c r="F309" s="12" t="s">
        <v>840</v>
      </c>
      <c r="G309" s="18">
        <v>41583</v>
      </c>
      <c r="H309" s="12" t="str">
        <f t="shared" si="18"/>
        <v>10 г. 8 мес. 24 дн.</v>
      </c>
      <c r="I309" s="12" t="s">
        <v>118</v>
      </c>
      <c r="K309" s="12" t="s">
        <v>925</v>
      </c>
      <c r="L309" s="12" t="s">
        <v>926</v>
      </c>
      <c r="M309" s="12" t="s">
        <v>55</v>
      </c>
      <c r="N309" s="21"/>
      <c r="O309" s="12" t="s">
        <v>87</v>
      </c>
      <c r="P309" s="21"/>
      <c r="Q309" s="21"/>
      <c r="R309" s="21"/>
      <c r="S309" s="12" t="s">
        <v>77</v>
      </c>
      <c r="T309" s="18">
        <v>45503</v>
      </c>
      <c r="U309" s="17">
        <v>0.5</v>
      </c>
      <c r="V309" s="12" t="str">
        <f t="shared" si="17"/>
        <v>0 г. 0 мес. 1 дн.</v>
      </c>
      <c r="W309" s="22"/>
      <c r="X309" s="72"/>
    </row>
    <row r="310" spans="1:24" ht="35.1" customHeight="1" x14ac:dyDescent="0.25">
      <c r="A310" s="12">
        <f t="shared" si="16"/>
        <v>309</v>
      </c>
      <c r="B310" s="21">
        <v>1775</v>
      </c>
      <c r="C310" s="20" t="s">
        <v>77</v>
      </c>
      <c r="D310" s="18">
        <v>45502</v>
      </c>
      <c r="E310" s="17">
        <v>0.94444444444444453</v>
      </c>
      <c r="F310" s="12" t="s">
        <v>927</v>
      </c>
      <c r="G310" s="18">
        <v>45063</v>
      </c>
      <c r="H310" s="12" t="str">
        <f t="shared" si="18"/>
        <v>1 г. 2 мес. 12 дн.</v>
      </c>
      <c r="I310" s="12" t="s">
        <v>118</v>
      </c>
      <c r="K310" s="12" t="s">
        <v>928</v>
      </c>
      <c r="L310" s="12" t="s">
        <v>929</v>
      </c>
      <c r="M310" s="12" t="s">
        <v>54</v>
      </c>
      <c r="N310" s="21"/>
      <c r="O310" s="12" t="s">
        <v>73</v>
      </c>
      <c r="P310" s="21"/>
      <c r="Q310" s="21"/>
      <c r="R310" s="21"/>
      <c r="S310" s="12" t="s">
        <v>77</v>
      </c>
      <c r="T310" s="18">
        <v>45505</v>
      </c>
      <c r="U310" s="17">
        <v>0.41666666666666669</v>
      </c>
      <c r="V310" s="12" t="str">
        <f t="shared" si="17"/>
        <v>0 г. 0 мес. 3 дн.</v>
      </c>
      <c r="W310" s="22"/>
      <c r="X310" s="72"/>
    </row>
    <row r="311" spans="1:24" ht="35.1" customHeight="1" x14ac:dyDescent="0.25">
      <c r="A311" s="12">
        <f t="shared" si="16"/>
        <v>310</v>
      </c>
      <c r="B311" s="21">
        <v>592</v>
      </c>
      <c r="C311" s="20" t="s">
        <v>26</v>
      </c>
      <c r="D311" s="18">
        <v>45502</v>
      </c>
      <c r="E311" s="17">
        <v>0.70138888888888884</v>
      </c>
      <c r="F311" s="12" t="s">
        <v>930</v>
      </c>
      <c r="G311" s="18">
        <v>45353</v>
      </c>
      <c r="H311" s="12" t="str">
        <f t="shared" si="18"/>
        <v>0 г. 4 мес. 27 дн.</v>
      </c>
      <c r="I311" s="12" t="s">
        <v>118</v>
      </c>
      <c r="K311" s="12" t="s">
        <v>931</v>
      </c>
      <c r="L311" s="12" t="s">
        <v>932</v>
      </c>
      <c r="M311" s="12" t="s">
        <v>48</v>
      </c>
      <c r="N311" s="21">
        <v>64</v>
      </c>
      <c r="O311" s="12" t="s">
        <v>73</v>
      </c>
      <c r="P311" s="21"/>
      <c r="Q311" s="21"/>
      <c r="R311" s="21"/>
      <c r="S311" s="12" t="s">
        <v>27</v>
      </c>
      <c r="T311" s="18">
        <v>45509</v>
      </c>
      <c r="U311" s="17">
        <v>0.45833333333333331</v>
      </c>
      <c r="V311" s="12" t="str">
        <f t="shared" si="17"/>
        <v>0 г. 0 мес. 7 дн.</v>
      </c>
      <c r="W311" s="22"/>
      <c r="X311" s="72"/>
    </row>
    <row r="312" spans="1:24" ht="35.1" customHeight="1" x14ac:dyDescent="0.25">
      <c r="A312" s="12">
        <f t="shared" si="16"/>
        <v>311</v>
      </c>
      <c r="B312" s="21">
        <v>445</v>
      </c>
      <c r="C312" s="20" t="s">
        <v>28</v>
      </c>
      <c r="D312" s="18">
        <v>45503</v>
      </c>
      <c r="E312" s="17">
        <v>0.54166666666666663</v>
      </c>
      <c r="F312" s="12" t="s">
        <v>933</v>
      </c>
      <c r="G312" s="18">
        <v>40346</v>
      </c>
      <c r="H312" s="12" t="str">
        <f t="shared" si="18"/>
        <v>14 г. 1 мес. 13 дн.</v>
      </c>
      <c r="I312" s="12" t="s">
        <v>118</v>
      </c>
      <c r="K312" s="12" t="s">
        <v>934</v>
      </c>
      <c r="L312" s="12" t="s">
        <v>885</v>
      </c>
      <c r="M312" s="12" t="s">
        <v>46</v>
      </c>
      <c r="N312" s="21"/>
      <c r="O312" s="12" t="s">
        <v>87</v>
      </c>
      <c r="P312" s="21"/>
      <c r="Q312" s="21"/>
      <c r="R312" s="21"/>
      <c r="S312" s="12" t="s">
        <v>28</v>
      </c>
      <c r="T312" s="18">
        <v>45504</v>
      </c>
      <c r="U312" s="17">
        <v>0.45833333333333331</v>
      </c>
      <c r="V312" s="12" t="str">
        <f t="shared" si="17"/>
        <v>0 г. 0 мес. 1 дн.</v>
      </c>
      <c r="W312" s="22"/>
      <c r="X312" s="72"/>
    </row>
    <row r="313" spans="1:24" ht="35.1" customHeight="1" x14ac:dyDescent="0.25">
      <c r="A313" s="12">
        <f t="shared" si="16"/>
        <v>312</v>
      </c>
      <c r="B313" s="21">
        <v>597</v>
      </c>
      <c r="C313" s="20" t="s">
        <v>26</v>
      </c>
      <c r="D313" s="18">
        <v>45503</v>
      </c>
      <c r="E313" s="17">
        <v>0.53819444444444442</v>
      </c>
      <c r="F313" s="12" t="s">
        <v>935</v>
      </c>
      <c r="G313" s="18">
        <v>42467</v>
      </c>
      <c r="H313" s="12" t="str">
        <f t="shared" si="18"/>
        <v>8 г. 3 мес. 23 дн.</v>
      </c>
      <c r="I313" s="12" t="s">
        <v>118</v>
      </c>
      <c r="K313" s="12" t="s">
        <v>936</v>
      </c>
      <c r="L313" s="12" t="s">
        <v>297</v>
      </c>
      <c r="M313" s="12" t="s">
        <v>43</v>
      </c>
      <c r="N313" s="21"/>
      <c r="O313" s="12" t="s">
        <v>87</v>
      </c>
      <c r="P313" s="21"/>
      <c r="Q313" s="21"/>
      <c r="R313" s="21"/>
      <c r="S313" s="12" t="s">
        <v>26</v>
      </c>
      <c r="T313" s="18">
        <v>45504</v>
      </c>
      <c r="U313" s="17">
        <v>0.5</v>
      </c>
      <c r="V313" s="12" t="str">
        <f t="shared" si="17"/>
        <v>0 г. 0 мес. 1 дн.</v>
      </c>
      <c r="W313" s="22"/>
      <c r="X313" s="72"/>
    </row>
    <row r="314" spans="1:24" ht="35.1" customHeight="1" x14ac:dyDescent="0.25">
      <c r="A314" s="12">
        <f t="shared" si="16"/>
        <v>313</v>
      </c>
      <c r="B314" s="21">
        <v>1782</v>
      </c>
      <c r="C314" s="20" t="s">
        <v>77</v>
      </c>
      <c r="D314" s="18">
        <v>45503</v>
      </c>
      <c r="E314" s="17">
        <v>0.75347222222222221</v>
      </c>
      <c r="F314" s="12" t="s">
        <v>937</v>
      </c>
      <c r="G314" s="18">
        <v>40501</v>
      </c>
      <c r="H314" s="12" t="str">
        <f t="shared" si="18"/>
        <v>13 г. 8 мес. 11 дн.</v>
      </c>
      <c r="I314" s="12" t="s">
        <v>119</v>
      </c>
      <c r="J314" s="12" t="s">
        <v>77</v>
      </c>
      <c r="K314" s="12" t="s">
        <v>938</v>
      </c>
      <c r="L314" s="12" t="s">
        <v>939</v>
      </c>
      <c r="M314" s="12" t="s">
        <v>49</v>
      </c>
      <c r="N314" s="21"/>
      <c r="O314" s="12" t="s">
        <v>87</v>
      </c>
      <c r="P314" s="21" t="s">
        <v>94</v>
      </c>
      <c r="Q314" s="21"/>
      <c r="R314" s="21"/>
      <c r="S314" s="12" t="s">
        <v>77</v>
      </c>
      <c r="T314" s="18">
        <v>45505</v>
      </c>
      <c r="U314" s="17">
        <v>0.45833333333333331</v>
      </c>
      <c r="V314" s="12" t="str">
        <f t="shared" si="17"/>
        <v>0 г. 0 мес. 2 дн.</v>
      </c>
      <c r="W314" s="22"/>
      <c r="X314" s="72"/>
    </row>
    <row r="315" spans="1:24" ht="35.1" customHeight="1" x14ac:dyDescent="0.25">
      <c r="A315" s="12">
        <f t="shared" si="16"/>
        <v>314</v>
      </c>
      <c r="B315" s="21">
        <v>446</v>
      </c>
      <c r="C315" s="20" t="s">
        <v>28</v>
      </c>
      <c r="D315" s="18">
        <v>45503</v>
      </c>
      <c r="E315" s="17">
        <v>0.6875</v>
      </c>
      <c r="F315" s="12" t="s">
        <v>940</v>
      </c>
      <c r="G315" s="18">
        <v>43880</v>
      </c>
      <c r="H315" s="12" t="str">
        <f t="shared" si="18"/>
        <v>4 г. 5 мес. 11 дн.</v>
      </c>
      <c r="I315" s="12" t="s">
        <v>118</v>
      </c>
      <c r="K315" s="12" t="s">
        <v>941</v>
      </c>
      <c r="L315" s="12" t="s">
        <v>885</v>
      </c>
      <c r="M315" s="12" t="s">
        <v>46</v>
      </c>
      <c r="N315" s="21">
        <v>2</v>
      </c>
      <c r="O315" s="12" t="s">
        <v>87</v>
      </c>
      <c r="P315" s="21"/>
      <c r="Q315" s="21"/>
      <c r="R315" s="21"/>
      <c r="S315" s="12" t="s">
        <v>28</v>
      </c>
      <c r="T315" s="18">
        <v>45504</v>
      </c>
      <c r="U315" s="17">
        <v>0.41666666666666669</v>
      </c>
      <c r="V315" s="12" t="str">
        <f t="shared" si="17"/>
        <v>0 г. 0 мес. 1 дн.</v>
      </c>
      <c r="W315" s="22"/>
      <c r="X315" s="72"/>
    </row>
    <row r="316" spans="1:24" ht="35.1" customHeight="1" x14ac:dyDescent="0.25">
      <c r="A316" s="12">
        <f t="shared" si="16"/>
        <v>315</v>
      </c>
      <c r="B316" s="21">
        <v>429</v>
      </c>
      <c r="C316" s="20" t="s">
        <v>25</v>
      </c>
      <c r="D316" s="18">
        <v>45504</v>
      </c>
      <c r="E316" s="17">
        <v>3.4722222222222224E-2</v>
      </c>
      <c r="F316" s="37" t="s">
        <v>942</v>
      </c>
      <c r="G316" s="18">
        <v>45503</v>
      </c>
      <c r="H316" s="12" t="str">
        <f t="shared" si="18"/>
        <v>0 г. 0 мес. 1 дн.</v>
      </c>
      <c r="I316" s="12" t="s">
        <v>122</v>
      </c>
      <c r="K316" s="12" t="s">
        <v>748</v>
      </c>
      <c r="L316" s="12" t="s">
        <v>943</v>
      </c>
      <c r="M316" s="12" t="s">
        <v>56</v>
      </c>
      <c r="N316" s="21">
        <v>37</v>
      </c>
      <c r="O316" s="12" t="s">
        <v>86</v>
      </c>
      <c r="P316" s="21"/>
      <c r="Q316" s="21" t="s">
        <v>100</v>
      </c>
      <c r="R316" s="21"/>
      <c r="S316" s="12" t="s">
        <v>25</v>
      </c>
      <c r="T316" s="18">
        <v>45509</v>
      </c>
      <c r="U316" s="17">
        <v>0.5</v>
      </c>
      <c r="V316" s="12" t="str">
        <f t="shared" si="17"/>
        <v>0 г. 0 мес. 5 дн.</v>
      </c>
      <c r="W316" s="22"/>
      <c r="X316" s="72"/>
    </row>
    <row r="317" spans="1:24" ht="35.1" customHeight="1" x14ac:dyDescent="0.25">
      <c r="A317" s="12">
        <v>316</v>
      </c>
      <c r="B317" s="21">
        <v>1792</v>
      </c>
      <c r="C317" s="20" t="s">
        <v>77</v>
      </c>
      <c r="D317" s="18">
        <v>45505</v>
      </c>
      <c r="E317" s="17">
        <v>0.22916666666666666</v>
      </c>
      <c r="F317" s="37" t="s">
        <v>944</v>
      </c>
      <c r="G317" s="18">
        <v>38954</v>
      </c>
      <c r="H317" s="12" t="str">
        <f t="shared" si="18"/>
        <v>17 г. 11 мес. 7 дн.</v>
      </c>
      <c r="I317" s="12" t="s">
        <v>118</v>
      </c>
      <c r="K317" s="12" t="s">
        <v>946</v>
      </c>
      <c r="L317" s="12" t="s">
        <v>945</v>
      </c>
      <c r="M317" s="12" t="s">
        <v>49</v>
      </c>
      <c r="N317" s="21"/>
      <c r="O317" s="12" t="s">
        <v>87</v>
      </c>
      <c r="P317" s="21"/>
      <c r="Q317" s="21"/>
      <c r="R317" s="21"/>
      <c r="S317" s="12" t="s">
        <v>77</v>
      </c>
      <c r="T317" s="18">
        <v>45506</v>
      </c>
      <c r="U317" s="17">
        <v>0.47916666666666669</v>
      </c>
      <c r="V317" s="12" t="str">
        <f t="shared" si="17"/>
        <v>0 г. 0 мес. 1 дн.</v>
      </c>
      <c r="W317" s="22"/>
      <c r="X317" s="72"/>
    </row>
    <row r="318" spans="1:24" ht="35.1" customHeight="1" x14ac:dyDescent="0.25">
      <c r="A318" s="12">
        <f>ROW(A317)</f>
        <v>317</v>
      </c>
      <c r="B318" s="21">
        <v>1800</v>
      </c>
      <c r="C318" s="20" t="s">
        <v>77</v>
      </c>
      <c r="D318" s="18">
        <v>45505</v>
      </c>
      <c r="E318" s="17">
        <v>0.88541666666666663</v>
      </c>
      <c r="F318" s="37" t="s">
        <v>947</v>
      </c>
      <c r="G318" s="18">
        <v>44915</v>
      </c>
      <c r="H318" s="12" t="str">
        <f t="shared" si="18"/>
        <v>1 г. 7 мес. 12 дн.</v>
      </c>
      <c r="I318" s="12" t="s">
        <v>118</v>
      </c>
      <c r="K318" s="12" t="s">
        <v>948</v>
      </c>
      <c r="L318" s="12" t="s">
        <v>949</v>
      </c>
      <c r="M318" s="12" t="s">
        <v>54</v>
      </c>
      <c r="N318" s="21"/>
      <c r="O318" s="12" t="s">
        <v>87</v>
      </c>
      <c r="P318" s="21"/>
      <c r="Q318" s="21"/>
      <c r="R318" s="21"/>
      <c r="S318" s="12" t="s">
        <v>77</v>
      </c>
      <c r="T318" s="18">
        <v>45507</v>
      </c>
      <c r="U318" s="17">
        <v>0.45833333333333331</v>
      </c>
      <c r="V318" s="12" t="str">
        <f t="shared" si="17"/>
        <v>0 г. 0 мес. 2 дн.</v>
      </c>
      <c r="W318" s="22"/>
      <c r="X318" s="72"/>
    </row>
    <row r="319" spans="1:24" ht="35.1" customHeight="1" x14ac:dyDescent="0.25">
      <c r="A319" s="12">
        <f>ROW(A318)</f>
        <v>318</v>
      </c>
      <c r="B319" s="21">
        <v>1799</v>
      </c>
      <c r="C319" s="20" t="s">
        <v>77</v>
      </c>
      <c r="D319" s="18">
        <v>45506</v>
      </c>
      <c r="E319" s="17">
        <v>0.46875</v>
      </c>
      <c r="F319" s="12" t="s">
        <v>950</v>
      </c>
      <c r="G319" s="18">
        <v>40996</v>
      </c>
      <c r="H319" s="12" t="str">
        <f t="shared" si="18"/>
        <v>12 г. 4 мес. 5 дн.</v>
      </c>
      <c r="I319" s="12" t="s">
        <v>118</v>
      </c>
      <c r="K319" s="12" t="s">
        <v>951</v>
      </c>
      <c r="L319" s="12" t="s">
        <v>952</v>
      </c>
      <c r="M319" s="12" t="s">
        <v>52</v>
      </c>
      <c r="N319" s="21"/>
      <c r="O319" s="12" t="s">
        <v>87</v>
      </c>
      <c r="P319" s="21"/>
      <c r="Q319" s="21"/>
      <c r="R319" s="21"/>
      <c r="S319" s="12" t="s">
        <v>77</v>
      </c>
      <c r="T319" s="18">
        <v>45509</v>
      </c>
      <c r="U319" s="17">
        <v>0.5</v>
      </c>
      <c r="V319" s="12" t="str">
        <f t="shared" si="17"/>
        <v>0 г. 0 мес. 3 дн.</v>
      </c>
      <c r="W319" s="22"/>
      <c r="X319" s="72"/>
    </row>
    <row r="320" spans="1:24" ht="35.1" customHeight="1" x14ac:dyDescent="0.25">
      <c r="A320" s="12">
        <v>319</v>
      </c>
      <c r="B320" s="21">
        <v>436</v>
      </c>
      <c r="C320" s="20" t="s">
        <v>25</v>
      </c>
      <c r="D320" s="18">
        <v>45506</v>
      </c>
      <c r="E320" s="17">
        <v>0.95833333333333337</v>
      </c>
      <c r="F320" s="12" t="s">
        <v>953</v>
      </c>
      <c r="G320" s="18">
        <v>45506</v>
      </c>
      <c r="H320" s="12" t="str">
        <f t="shared" si="18"/>
        <v>0 г. 0 мес. 0 дн.</v>
      </c>
      <c r="I320" s="12" t="s">
        <v>122</v>
      </c>
      <c r="K320" s="12" t="s">
        <v>187</v>
      </c>
      <c r="L320" s="12" t="s">
        <v>954</v>
      </c>
      <c r="M320" s="12" t="s">
        <v>48</v>
      </c>
      <c r="N320" s="21"/>
      <c r="O320" s="12" t="s">
        <v>87</v>
      </c>
      <c r="P320" s="21"/>
      <c r="Q320" s="21" t="s">
        <v>100</v>
      </c>
      <c r="R320" s="21"/>
      <c r="S320" s="12" t="s">
        <v>25</v>
      </c>
      <c r="T320" s="18">
        <v>45509</v>
      </c>
      <c r="U320" s="17">
        <v>0.52083333333333337</v>
      </c>
      <c r="V320" s="12" t="str">
        <f t="shared" si="17"/>
        <v>0 г. 0 мес. 3 дн.</v>
      </c>
      <c r="W320" s="22"/>
      <c r="X320" s="72"/>
    </row>
    <row r="321" spans="1:24" ht="35.1" customHeight="1" x14ac:dyDescent="0.25">
      <c r="A321" s="12">
        <f t="shared" ref="A321:A327" si="19">ROW(A320)</f>
        <v>320</v>
      </c>
      <c r="B321" s="21">
        <v>450</v>
      </c>
      <c r="C321" s="20" t="s">
        <v>25</v>
      </c>
      <c r="D321" s="18">
        <v>45510</v>
      </c>
      <c r="E321" s="17">
        <v>0.98263888888888884</v>
      </c>
      <c r="F321" s="12" t="s">
        <v>1120</v>
      </c>
      <c r="G321" s="18">
        <v>45510</v>
      </c>
      <c r="H321" s="12" t="str">
        <f t="shared" si="18"/>
        <v>0 г. 0 мес. 0 дн.</v>
      </c>
      <c r="I321" s="12" t="s">
        <v>122</v>
      </c>
      <c r="K321" s="12" t="s">
        <v>955</v>
      </c>
      <c r="L321" s="12" t="s">
        <v>956</v>
      </c>
      <c r="M321" s="12" t="s">
        <v>48</v>
      </c>
      <c r="N321" s="21"/>
      <c r="O321" s="12" t="s">
        <v>87</v>
      </c>
      <c r="P321" s="21"/>
      <c r="Q321" s="21"/>
      <c r="R321" s="21"/>
      <c r="S321" s="12" t="s">
        <v>25</v>
      </c>
      <c r="T321" s="18">
        <v>45513</v>
      </c>
      <c r="U321" s="17">
        <v>0.48541666666666666</v>
      </c>
      <c r="V321" s="12" t="str">
        <f t="shared" si="17"/>
        <v>0 г. 0 мес. 3 дн.</v>
      </c>
      <c r="W321" s="22"/>
      <c r="X321" s="72"/>
    </row>
    <row r="322" spans="1:24" ht="35.1" customHeight="1" x14ac:dyDescent="0.25">
      <c r="A322" s="12">
        <f t="shared" si="19"/>
        <v>321</v>
      </c>
      <c r="B322" s="21">
        <v>1846</v>
      </c>
      <c r="C322" s="20" t="s">
        <v>77</v>
      </c>
      <c r="D322" s="18">
        <v>45511</v>
      </c>
      <c r="E322" s="17">
        <v>0.75</v>
      </c>
      <c r="F322" s="12" t="s">
        <v>1118</v>
      </c>
      <c r="G322" s="18">
        <v>43019</v>
      </c>
      <c r="H322" s="12" t="str">
        <f t="shared" si="18"/>
        <v>6 г. 9 мес. 27 дн.</v>
      </c>
      <c r="I322" s="12" t="s">
        <v>118</v>
      </c>
      <c r="K322" s="12" t="s">
        <v>957</v>
      </c>
      <c r="L322" s="12" t="s">
        <v>958</v>
      </c>
      <c r="M322" s="12" t="s">
        <v>52</v>
      </c>
      <c r="N322" s="21"/>
      <c r="O322" s="12" t="s">
        <v>87</v>
      </c>
      <c r="P322" s="21"/>
      <c r="Q322" s="21"/>
      <c r="R322" s="21"/>
      <c r="S322" s="12" t="s">
        <v>77</v>
      </c>
      <c r="T322" s="18">
        <v>45512</v>
      </c>
      <c r="U322" s="17">
        <v>0.47916666666666669</v>
      </c>
      <c r="V322" s="12" t="str">
        <f t="shared" ref="V322:V385" si="20">DATEDIF(D322,T322,"y") &amp; " г. " &amp; DATEDIF(D322,T322,"ym") &amp; " мес. " &amp; DATEDIF(D322,T322,"md") &amp; " дн."</f>
        <v>0 г. 0 мес. 1 дн.</v>
      </c>
      <c r="W322" s="22"/>
      <c r="X322" s="72"/>
    </row>
    <row r="323" spans="1:24" ht="35.1" customHeight="1" x14ac:dyDescent="0.25">
      <c r="A323" s="12">
        <f t="shared" si="19"/>
        <v>322</v>
      </c>
      <c r="B323" s="12">
        <v>1857</v>
      </c>
      <c r="C323" s="20" t="s">
        <v>77</v>
      </c>
      <c r="D323" s="18">
        <v>45513</v>
      </c>
      <c r="E323" s="17">
        <v>0.38541666666666669</v>
      </c>
      <c r="F323" s="12" t="s">
        <v>1005</v>
      </c>
      <c r="G323" s="18">
        <v>45111</v>
      </c>
      <c r="H323" s="12" t="str">
        <f t="shared" si="18"/>
        <v>1 г. 1 мес. 5 дн.</v>
      </c>
      <c r="I323" s="12" t="s">
        <v>118</v>
      </c>
      <c r="K323" s="12" t="s">
        <v>959</v>
      </c>
      <c r="L323" s="12" t="s">
        <v>960</v>
      </c>
      <c r="M323" s="12" t="s">
        <v>48</v>
      </c>
      <c r="N323" s="21">
        <v>24</v>
      </c>
      <c r="O323" s="12" t="s">
        <v>87</v>
      </c>
      <c r="P323" s="21"/>
      <c r="Q323" s="21"/>
      <c r="R323" s="21"/>
      <c r="S323" s="12" t="s">
        <v>77</v>
      </c>
      <c r="T323" s="18">
        <v>45515</v>
      </c>
      <c r="U323" s="17">
        <v>0.5</v>
      </c>
      <c r="V323" s="12" t="str">
        <f t="shared" si="20"/>
        <v>0 г. 0 мес. 2 дн.</v>
      </c>
      <c r="W323" s="22"/>
      <c r="X323" s="72"/>
    </row>
    <row r="324" spans="1:24" ht="35.1" customHeight="1" x14ac:dyDescent="0.25">
      <c r="A324" s="12">
        <f t="shared" si="19"/>
        <v>323</v>
      </c>
      <c r="B324" s="12">
        <v>956</v>
      </c>
      <c r="C324" s="20" t="s">
        <v>27</v>
      </c>
      <c r="D324" s="18">
        <v>45513</v>
      </c>
      <c r="E324" s="17">
        <v>0.57291666666666663</v>
      </c>
      <c r="F324" s="12" t="s">
        <v>961</v>
      </c>
      <c r="G324" s="18">
        <v>39953</v>
      </c>
      <c r="H324" s="12" t="str">
        <f t="shared" si="18"/>
        <v>15 г. 2 мес. 20 дн.</v>
      </c>
      <c r="I324" s="12" t="s">
        <v>121</v>
      </c>
      <c r="K324" s="12" t="s">
        <v>962</v>
      </c>
      <c r="L324" s="12" t="s">
        <v>963</v>
      </c>
      <c r="M324" s="12" t="s">
        <v>42</v>
      </c>
      <c r="N324" s="21">
        <v>82</v>
      </c>
      <c r="O324" s="12" t="s">
        <v>73</v>
      </c>
      <c r="P324" s="21"/>
      <c r="Q324" s="21" t="s">
        <v>127</v>
      </c>
      <c r="R324" s="21"/>
      <c r="S324" s="12" t="s">
        <v>29</v>
      </c>
      <c r="T324" s="18">
        <v>45518</v>
      </c>
      <c r="U324" s="17">
        <v>0.125</v>
      </c>
      <c r="V324" s="12" t="str">
        <f t="shared" si="20"/>
        <v>0 г. 0 мес. 5 дн.</v>
      </c>
      <c r="W324" s="22"/>
      <c r="X324" s="72"/>
    </row>
    <row r="325" spans="1:24" ht="35.1" customHeight="1" x14ac:dyDescent="0.25">
      <c r="A325" s="12">
        <f t="shared" si="19"/>
        <v>324</v>
      </c>
      <c r="B325" s="12">
        <v>382</v>
      </c>
      <c r="C325" s="20" t="s">
        <v>28</v>
      </c>
      <c r="D325" s="18">
        <v>45512</v>
      </c>
      <c r="E325" s="17">
        <v>0.75694444444444453</v>
      </c>
      <c r="F325" s="12" t="s">
        <v>883</v>
      </c>
      <c r="G325" s="18">
        <v>45442</v>
      </c>
      <c r="H325" s="12" t="str">
        <f t="shared" si="18"/>
        <v>0 г. 2 мес. 9 дн.</v>
      </c>
      <c r="I325" s="12" t="s">
        <v>120</v>
      </c>
      <c r="J325" s="12" t="s">
        <v>28</v>
      </c>
      <c r="K325" s="12" t="s">
        <v>964</v>
      </c>
      <c r="L325" s="12" t="s">
        <v>965</v>
      </c>
      <c r="M325" s="12" t="s">
        <v>46</v>
      </c>
      <c r="N325" s="21"/>
      <c r="O325" s="12" t="s">
        <v>87</v>
      </c>
      <c r="P325" s="21"/>
      <c r="Q325" s="21"/>
      <c r="R325" s="21"/>
      <c r="S325" s="12" t="s">
        <v>28</v>
      </c>
      <c r="T325" s="18">
        <v>45514</v>
      </c>
      <c r="U325" s="17">
        <v>0.45833333333333331</v>
      </c>
      <c r="V325" s="12" t="str">
        <f t="shared" si="20"/>
        <v>0 г. 0 мес. 2 дн.</v>
      </c>
      <c r="W325" s="22"/>
      <c r="X325" s="72"/>
    </row>
    <row r="326" spans="1:24" ht="35.1" customHeight="1" x14ac:dyDescent="0.25">
      <c r="A326" s="12">
        <f t="shared" si="19"/>
        <v>325</v>
      </c>
      <c r="B326" s="12">
        <v>607</v>
      </c>
      <c r="C326" s="20" t="s">
        <v>26</v>
      </c>
      <c r="D326" s="18">
        <v>45514</v>
      </c>
      <c r="E326" s="17">
        <v>0.83333333333333337</v>
      </c>
      <c r="F326" s="12" t="s">
        <v>966</v>
      </c>
      <c r="G326" s="18">
        <v>39519</v>
      </c>
      <c r="H326" s="12" t="str">
        <f t="shared" ref="H326:H389" si="21">DATEDIF(G326,D326,"y") &amp; " г. " &amp; DATEDIF(G326,D326,"ym") &amp; " мес. " &amp; DATEDIF(G326,D326,"md") &amp; " дн."</f>
        <v>16 г. 4 мес. 29 дн.</v>
      </c>
      <c r="I326" s="12" t="s">
        <v>118</v>
      </c>
      <c r="K326" s="12" t="s">
        <v>967</v>
      </c>
      <c r="L326" s="12" t="s">
        <v>968</v>
      </c>
      <c r="M326" s="12" t="s">
        <v>55</v>
      </c>
      <c r="N326" s="21"/>
      <c r="O326" s="12" t="s">
        <v>87</v>
      </c>
      <c r="P326" s="21"/>
      <c r="Q326" s="21"/>
      <c r="R326" s="21"/>
      <c r="S326" s="12" t="s">
        <v>26</v>
      </c>
      <c r="T326" s="18">
        <v>45515</v>
      </c>
      <c r="U326" s="17">
        <v>0.42708333333333331</v>
      </c>
      <c r="V326" s="12" t="str">
        <f t="shared" si="20"/>
        <v>0 г. 0 мес. 1 дн.</v>
      </c>
      <c r="W326" s="22"/>
      <c r="X326" s="72"/>
    </row>
    <row r="327" spans="1:24" ht="35.1" customHeight="1" x14ac:dyDescent="0.25">
      <c r="A327" s="12">
        <f t="shared" si="19"/>
        <v>326</v>
      </c>
      <c r="B327" s="12">
        <v>1215</v>
      </c>
      <c r="C327" s="20" t="s">
        <v>23</v>
      </c>
      <c r="D327" s="18">
        <v>45513</v>
      </c>
      <c r="E327" s="17">
        <v>0.71527777777777779</v>
      </c>
      <c r="F327" s="12" t="s">
        <v>969</v>
      </c>
      <c r="G327" s="18">
        <v>42037</v>
      </c>
      <c r="H327" s="12" t="str">
        <f t="shared" si="21"/>
        <v>9 г. 6 мес. 7 дн.</v>
      </c>
      <c r="I327" s="12" t="s">
        <v>118</v>
      </c>
      <c r="K327" s="12" t="s">
        <v>970</v>
      </c>
      <c r="L327" s="12" t="s">
        <v>971</v>
      </c>
      <c r="M327" s="12" t="s">
        <v>52</v>
      </c>
      <c r="N327" s="21"/>
      <c r="O327" s="12" t="s">
        <v>73</v>
      </c>
      <c r="P327" s="21"/>
      <c r="Q327" s="21"/>
      <c r="R327" s="21"/>
      <c r="S327" s="12" t="s">
        <v>23</v>
      </c>
      <c r="T327" s="18">
        <v>45516</v>
      </c>
      <c r="U327" s="17">
        <v>0.66666666666666663</v>
      </c>
      <c r="V327" s="12" t="str">
        <f t="shared" si="20"/>
        <v>0 г. 0 мес. 3 дн.</v>
      </c>
      <c r="W327" s="22"/>
      <c r="X327" s="72"/>
    </row>
    <row r="328" spans="1:24" ht="35.1" customHeight="1" x14ac:dyDescent="0.25">
      <c r="A328" s="12">
        <f t="shared" ref="A328:A384" si="22">ROW(A327)</f>
        <v>327</v>
      </c>
      <c r="B328" s="12">
        <v>1216</v>
      </c>
      <c r="C328" s="20" t="s">
        <v>23</v>
      </c>
      <c r="D328" s="18">
        <v>45513</v>
      </c>
      <c r="E328" s="17">
        <v>0.76388888888888884</v>
      </c>
      <c r="F328" s="12" t="s">
        <v>972</v>
      </c>
      <c r="G328" s="18">
        <v>40916</v>
      </c>
      <c r="H328" s="12" t="str">
        <f t="shared" si="21"/>
        <v>12 г. 7 мес. 1 дн.</v>
      </c>
      <c r="I328" s="12" t="s">
        <v>118</v>
      </c>
      <c r="K328" s="12" t="s">
        <v>970</v>
      </c>
      <c r="L328" s="12" t="s">
        <v>973</v>
      </c>
      <c r="M328" s="12" t="s">
        <v>52</v>
      </c>
      <c r="N328" s="21"/>
      <c r="O328" s="12" t="s">
        <v>87</v>
      </c>
      <c r="P328" s="21"/>
      <c r="Q328" s="21" t="s">
        <v>100</v>
      </c>
      <c r="R328" s="21"/>
      <c r="S328" s="12" t="s">
        <v>23</v>
      </c>
      <c r="T328" s="18">
        <v>45520</v>
      </c>
      <c r="U328" s="17">
        <v>0.4916666666666667</v>
      </c>
      <c r="V328" s="12" t="str">
        <f t="shared" si="20"/>
        <v>0 г. 0 мес. 7 дн.</v>
      </c>
      <c r="W328" s="22"/>
      <c r="X328" s="72"/>
    </row>
    <row r="329" spans="1:24" ht="35.1" customHeight="1" x14ac:dyDescent="0.25">
      <c r="A329" s="12">
        <f t="shared" si="22"/>
        <v>328</v>
      </c>
      <c r="B329" s="12">
        <v>610</v>
      </c>
      <c r="C329" s="20" t="s">
        <v>26</v>
      </c>
      <c r="D329" s="18">
        <v>45515</v>
      </c>
      <c r="E329" s="17">
        <v>0.96875</v>
      </c>
      <c r="F329" s="12" t="s">
        <v>974</v>
      </c>
      <c r="G329" s="18">
        <v>40141</v>
      </c>
      <c r="H329" s="12" t="str">
        <f t="shared" si="21"/>
        <v>14 г. 8 мес. 18 дн.</v>
      </c>
      <c r="I329" s="12" t="s">
        <v>118</v>
      </c>
      <c r="K329" s="12" t="s">
        <v>975</v>
      </c>
      <c r="L329" s="12" t="s">
        <v>976</v>
      </c>
      <c r="M329" s="12" t="s">
        <v>55</v>
      </c>
      <c r="N329" s="21"/>
      <c r="O329" s="12" t="s">
        <v>87</v>
      </c>
      <c r="P329" s="21"/>
      <c r="Q329" s="21"/>
      <c r="R329" s="21"/>
      <c r="S329" s="12" t="s">
        <v>26</v>
      </c>
      <c r="T329" s="18">
        <v>45516</v>
      </c>
      <c r="U329" s="17">
        <v>0.5</v>
      </c>
      <c r="V329" s="12" t="str">
        <f t="shared" si="20"/>
        <v>0 г. 0 мес. 1 дн.</v>
      </c>
      <c r="W329" s="22"/>
      <c r="X329" s="72"/>
    </row>
    <row r="330" spans="1:24" ht="35.1" customHeight="1" x14ac:dyDescent="0.25">
      <c r="A330" s="12">
        <f t="shared" si="22"/>
        <v>329</v>
      </c>
      <c r="B330" s="12">
        <v>466</v>
      </c>
      <c r="C330" s="20" t="s">
        <v>25</v>
      </c>
      <c r="D330" s="18">
        <v>45517</v>
      </c>
      <c r="E330" s="17">
        <v>0.99305555555555547</v>
      </c>
      <c r="F330" s="12" t="s">
        <v>1011</v>
      </c>
      <c r="G330" s="18">
        <v>45517</v>
      </c>
      <c r="H330" s="12" t="str">
        <f t="shared" si="21"/>
        <v>0 г. 0 мес. 0 дн.</v>
      </c>
      <c r="I330" s="12" t="s">
        <v>122</v>
      </c>
      <c r="K330" s="12" t="s">
        <v>264</v>
      </c>
      <c r="L330" s="12" t="s">
        <v>977</v>
      </c>
      <c r="M330" s="12" t="s">
        <v>47</v>
      </c>
      <c r="N330" s="21"/>
      <c r="O330" s="12" t="s">
        <v>87</v>
      </c>
      <c r="P330" s="21"/>
      <c r="Q330" s="21"/>
      <c r="R330" s="21"/>
      <c r="S330" s="12" t="s">
        <v>25</v>
      </c>
      <c r="T330" s="18">
        <v>45518</v>
      </c>
      <c r="U330" s="17">
        <v>0.54166666666666663</v>
      </c>
      <c r="V330" s="12" t="str">
        <f t="shared" si="20"/>
        <v>0 г. 0 мес. 1 дн.</v>
      </c>
      <c r="W330" s="22"/>
      <c r="X330" s="72"/>
    </row>
    <row r="331" spans="1:24" ht="35.1" customHeight="1" x14ac:dyDescent="0.25">
      <c r="A331" s="12">
        <f t="shared" si="22"/>
        <v>330</v>
      </c>
      <c r="B331" s="12">
        <v>618</v>
      </c>
      <c r="C331" s="20" t="s">
        <v>80</v>
      </c>
      <c r="D331" s="18">
        <v>45518</v>
      </c>
      <c r="E331" s="17">
        <v>0.66666666666666663</v>
      </c>
      <c r="F331" s="12" t="s">
        <v>758</v>
      </c>
      <c r="G331" s="18">
        <v>42529</v>
      </c>
      <c r="H331" s="12" t="str">
        <f t="shared" si="21"/>
        <v>8 г. 2 мес. 6 дн.</v>
      </c>
      <c r="I331" s="12" t="s">
        <v>118</v>
      </c>
      <c r="K331" s="12" t="s">
        <v>172</v>
      </c>
      <c r="L331" s="12" t="s">
        <v>978</v>
      </c>
      <c r="M331" s="12" t="s">
        <v>48</v>
      </c>
      <c r="N331" s="21"/>
      <c r="O331" s="12" t="s">
        <v>87</v>
      </c>
      <c r="P331" s="21"/>
      <c r="Q331" s="21"/>
      <c r="R331" s="21"/>
      <c r="S331" s="12" t="s">
        <v>80</v>
      </c>
      <c r="T331" s="18">
        <v>45526</v>
      </c>
      <c r="U331" s="17">
        <v>0.3923611111111111</v>
      </c>
      <c r="V331" s="12" t="str">
        <f t="shared" si="20"/>
        <v>0 г. 0 мес. 8 дн.</v>
      </c>
      <c r="W331" s="22"/>
      <c r="X331" s="72"/>
    </row>
    <row r="332" spans="1:24" ht="35.1" customHeight="1" x14ac:dyDescent="0.25">
      <c r="A332" s="12">
        <f t="shared" si="22"/>
        <v>331</v>
      </c>
      <c r="B332" s="12">
        <v>1215</v>
      </c>
      <c r="C332" s="20" t="s">
        <v>23</v>
      </c>
      <c r="D332" s="18">
        <v>45518</v>
      </c>
      <c r="E332" s="17">
        <v>0.45833333333333331</v>
      </c>
      <c r="F332" s="12" t="s">
        <v>969</v>
      </c>
      <c r="G332" s="18">
        <v>42037</v>
      </c>
      <c r="H332" s="12" t="str">
        <f t="shared" si="21"/>
        <v>9 г. 6 мес. 12 дн.</v>
      </c>
      <c r="I332" s="12" t="s">
        <v>119</v>
      </c>
      <c r="J332" s="12" t="s">
        <v>23</v>
      </c>
      <c r="K332" s="12" t="s">
        <v>970</v>
      </c>
      <c r="L332" s="12" t="s">
        <v>979</v>
      </c>
      <c r="M332" s="12" t="s">
        <v>52</v>
      </c>
      <c r="N332" s="21"/>
      <c r="O332" s="12" t="s">
        <v>73</v>
      </c>
      <c r="P332" s="21" t="s">
        <v>94</v>
      </c>
      <c r="Q332" s="21"/>
      <c r="R332" s="21"/>
      <c r="S332" s="12" t="s">
        <v>23</v>
      </c>
      <c r="T332" s="18">
        <v>45519</v>
      </c>
      <c r="U332" s="17">
        <v>0.5</v>
      </c>
      <c r="V332" s="12" t="str">
        <f t="shared" si="20"/>
        <v>0 г. 0 мес. 1 дн.</v>
      </c>
      <c r="W332" s="22"/>
      <c r="X332" s="72"/>
    </row>
    <row r="333" spans="1:24" ht="35.1" customHeight="1" x14ac:dyDescent="0.25">
      <c r="A333" s="12">
        <f t="shared" si="22"/>
        <v>332</v>
      </c>
      <c r="B333" s="12">
        <v>620</v>
      </c>
      <c r="C333" s="20" t="s">
        <v>26</v>
      </c>
      <c r="D333" s="18">
        <v>45518</v>
      </c>
      <c r="E333" s="17">
        <v>0.57638888888888895</v>
      </c>
      <c r="F333" s="12" t="s">
        <v>1006</v>
      </c>
      <c r="G333" s="18">
        <v>44824</v>
      </c>
      <c r="H333" s="12" t="str">
        <f t="shared" si="21"/>
        <v>1 г. 10 мес. 25 дн.</v>
      </c>
      <c r="I333" s="12" t="s">
        <v>118</v>
      </c>
      <c r="K333" s="12" t="s">
        <v>980</v>
      </c>
      <c r="L333" s="12" t="s">
        <v>981</v>
      </c>
      <c r="M333" s="12" t="s">
        <v>55</v>
      </c>
      <c r="N333" s="21"/>
      <c r="O333" s="12" t="s">
        <v>87</v>
      </c>
      <c r="P333" s="21"/>
      <c r="Q333" s="21"/>
      <c r="R333" s="21"/>
      <c r="S333" s="12" t="s">
        <v>26</v>
      </c>
      <c r="T333" s="18">
        <v>45519</v>
      </c>
      <c r="U333" s="17">
        <v>0.79166666666666663</v>
      </c>
      <c r="V333" s="12" t="str">
        <f t="shared" si="20"/>
        <v>0 г. 0 мес. 1 дн.</v>
      </c>
      <c r="W333" s="22"/>
      <c r="X333" s="72"/>
    </row>
    <row r="334" spans="1:24" ht="35.1" customHeight="1" x14ac:dyDescent="0.25">
      <c r="A334" s="12">
        <f t="shared" si="22"/>
        <v>333</v>
      </c>
      <c r="B334" s="12">
        <v>622</v>
      </c>
      <c r="C334" s="20" t="s">
        <v>26</v>
      </c>
      <c r="D334" s="18">
        <v>45518</v>
      </c>
      <c r="E334" s="17">
        <v>0.65972222222222221</v>
      </c>
      <c r="F334" s="12" t="s">
        <v>1004</v>
      </c>
      <c r="G334" s="18">
        <v>40926</v>
      </c>
      <c r="H334" s="12" t="str">
        <f t="shared" si="21"/>
        <v>12 г. 6 мес. 27 дн.</v>
      </c>
      <c r="I334" s="12" t="s">
        <v>118</v>
      </c>
      <c r="K334" s="12" t="s">
        <v>982</v>
      </c>
      <c r="L334" s="12" t="s">
        <v>983</v>
      </c>
      <c r="M334" s="12" t="s">
        <v>43</v>
      </c>
      <c r="N334" s="21"/>
      <c r="O334" s="12" t="s">
        <v>87</v>
      </c>
      <c r="P334" s="21"/>
      <c r="Q334" s="21"/>
      <c r="R334" s="21"/>
      <c r="S334" s="12" t="s">
        <v>29</v>
      </c>
      <c r="T334" s="18">
        <v>45520</v>
      </c>
      <c r="U334" s="17">
        <v>0.55625000000000002</v>
      </c>
      <c r="V334" s="12" t="str">
        <f t="shared" si="20"/>
        <v>0 г. 0 мес. 2 дн.</v>
      </c>
      <c r="W334" s="22"/>
      <c r="X334" s="72"/>
    </row>
    <row r="335" spans="1:24" ht="35.1" customHeight="1" x14ac:dyDescent="0.25">
      <c r="A335" s="12">
        <f t="shared" si="22"/>
        <v>334</v>
      </c>
      <c r="B335" s="12">
        <v>1912</v>
      </c>
      <c r="C335" s="20" t="s">
        <v>28</v>
      </c>
      <c r="D335" s="18">
        <v>45520</v>
      </c>
      <c r="E335" s="17">
        <v>0.80902777777777779</v>
      </c>
      <c r="F335" s="12" t="s">
        <v>984</v>
      </c>
      <c r="G335" s="18">
        <v>41889</v>
      </c>
      <c r="H335" s="12" t="str">
        <f t="shared" si="21"/>
        <v>9 г. 11 мес. 9 дн.</v>
      </c>
      <c r="I335" s="12" t="s">
        <v>118</v>
      </c>
      <c r="K335" s="12" t="s">
        <v>147</v>
      </c>
      <c r="L335" s="12" t="s">
        <v>985</v>
      </c>
      <c r="M335" s="12" t="s">
        <v>46</v>
      </c>
      <c r="N335" s="21"/>
      <c r="O335" s="12" t="s">
        <v>87</v>
      </c>
      <c r="P335" s="21"/>
      <c r="Q335" s="21"/>
      <c r="R335" s="21"/>
      <c r="S335" s="12" t="s">
        <v>77</v>
      </c>
      <c r="T335" s="18">
        <v>45521</v>
      </c>
      <c r="U335" s="17">
        <v>0.5</v>
      </c>
      <c r="V335" s="12" t="str">
        <f t="shared" si="20"/>
        <v>0 г. 0 мес. 1 дн.</v>
      </c>
      <c r="W335" s="22"/>
      <c r="X335" s="72"/>
    </row>
    <row r="336" spans="1:24" ht="35.1" customHeight="1" x14ac:dyDescent="0.25">
      <c r="A336" s="12">
        <f t="shared" si="22"/>
        <v>335</v>
      </c>
      <c r="B336" s="12">
        <v>470</v>
      </c>
      <c r="C336" s="20" t="s">
        <v>25</v>
      </c>
      <c r="D336" s="18">
        <v>45520</v>
      </c>
      <c r="E336" s="17">
        <v>0.92222222222222217</v>
      </c>
      <c r="F336" s="12" t="s">
        <v>986</v>
      </c>
      <c r="G336" s="18">
        <v>45520</v>
      </c>
      <c r="H336" s="12" t="str">
        <f t="shared" si="21"/>
        <v>0 г. 0 мес. 0 дн.</v>
      </c>
      <c r="I336" s="12" t="s">
        <v>118</v>
      </c>
      <c r="K336" s="12" t="s">
        <v>493</v>
      </c>
      <c r="L336" s="12" t="s">
        <v>987</v>
      </c>
      <c r="M336" s="12" t="s">
        <v>48</v>
      </c>
      <c r="N336" s="21"/>
      <c r="O336" s="12" t="s">
        <v>87</v>
      </c>
      <c r="P336" s="21"/>
      <c r="Q336" s="21" t="s">
        <v>100</v>
      </c>
      <c r="R336" s="21"/>
      <c r="S336" s="12" t="s">
        <v>25</v>
      </c>
      <c r="T336" s="18">
        <v>45522</v>
      </c>
      <c r="U336" s="17">
        <v>0.5</v>
      </c>
      <c r="V336" s="12" t="str">
        <f t="shared" si="20"/>
        <v>0 г. 0 мес. 2 дн.</v>
      </c>
      <c r="W336" s="22"/>
      <c r="X336" s="72"/>
    </row>
    <row r="337" spans="1:24" ht="35.1" customHeight="1" x14ac:dyDescent="0.25">
      <c r="A337" s="12">
        <f t="shared" si="22"/>
        <v>336</v>
      </c>
      <c r="B337" s="12">
        <v>1915</v>
      </c>
      <c r="C337" s="20" t="s">
        <v>77</v>
      </c>
      <c r="D337" s="18">
        <v>45520</v>
      </c>
      <c r="E337" s="17">
        <v>0.94444444444444453</v>
      </c>
      <c r="F337" s="12" t="s">
        <v>988</v>
      </c>
      <c r="G337" s="18">
        <v>41142</v>
      </c>
      <c r="H337" s="12" t="str">
        <f t="shared" si="21"/>
        <v>11 г. 11 мес. 26 дн.</v>
      </c>
      <c r="I337" s="12" t="s">
        <v>121</v>
      </c>
      <c r="K337" s="12" t="s">
        <v>989</v>
      </c>
      <c r="L337" s="12" t="s">
        <v>990</v>
      </c>
      <c r="M337" s="12" t="s">
        <v>46</v>
      </c>
      <c r="N337" s="21"/>
      <c r="O337" s="12" t="s">
        <v>87</v>
      </c>
      <c r="P337" s="21"/>
      <c r="Q337" s="21"/>
      <c r="R337" s="21"/>
      <c r="S337" s="12" t="s">
        <v>77</v>
      </c>
      <c r="T337" s="18">
        <v>45527</v>
      </c>
      <c r="U337" s="17">
        <v>0.5</v>
      </c>
      <c r="V337" s="12" t="str">
        <f t="shared" si="20"/>
        <v>0 г. 0 мес. 7 дн.</v>
      </c>
      <c r="W337" s="22"/>
      <c r="X337" s="72"/>
    </row>
    <row r="338" spans="1:24" ht="35.1" customHeight="1" x14ac:dyDescent="0.25">
      <c r="A338" s="12">
        <f t="shared" si="22"/>
        <v>337</v>
      </c>
      <c r="B338" s="12">
        <v>1914</v>
      </c>
      <c r="C338" s="20" t="s">
        <v>77</v>
      </c>
      <c r="D338" s="18">
        <v>45520</v>
      </c>
      <c r="E338" s="17">
        <v>0.92361111111111116</v>
      </c>
      <c r="F338" s="12" t="s">
        <v>991</v>
      </c>
      <c r="G338" s="18">
        <v>44572</v>
      </c>
      <c r="H338" s="12" t="str">
        <f t="shared" si="21"/>
        <v>2 г. 7 мес. 5 дн.</v>
      </c>
      <c r="I338" s="12" t="s">
        <v>118</v>
      </c>
      <c r="K338" s="12" t="s">
        <v>147</v>
      </c>
      <c r="L338" s="12" t="s">
        <v>992</v>
      </c>
      <c r="M338" s="12" t="s">
        <v>54</v>
      </c>
      <c r="N338" s="21"/>
      <c r="O338" s="12" t="s">
        <v>87</v>
      </c>
      <c r="P338" s="21"/>
      <c r="Q338" s="21"/>
      <c r="R338" s="21"/>
      <c r="S338" s="12" t="s">
        <v>77</v>
      </c>
      <c r="T338" s="18">
        <v>45522</v>
      </c>
      <c r="U338" s="17">
        <v>0.5</v>
      </c>
      <c r="V338" s="12" t="str">
        <f t="shared" si="20"/>
        <v>0 г. 0 мес. 2 дн.</v>
      </c>
      <c r="W338" s="22"/>
      <c r="X338" s="72"/>
    </row>
    <row r="339" spans="1:24" ht="35.1" customHeight="1" x14ac:dyDescent="0.25">
      <c r="A339" s="12">
        <f t="shared" si="22"/>
        <v>338</v>
      </c>
      <c r="B339" s="12">
        <v>1916</v>
      </c>
      <c r="C339" s="20" t="s">
        <v>77</v>
      </c>
      <c r="D339" s="18">
        <v>45521</v>
      </c>
      <c r="E339" s="17">
        <v>0.46527777777777773</v>
      </c>
      <c r="F339" s="12" t="s">
        <v>993</v>
      </c>
      <c r="G339" s="18">
        <v>43140</v>
      </c>
      <c r="H339" s="12" t="str">
        <f t="shared" si="21"/>
        <v>6 г. 6 мес. 8 дн.</v>
      </c>
      <c r="I339" s="12" t="s">
        <v>118</v>
      </c>
      <c r="K339" s="12" t="s">
        <v>147</v>
      </c>
      <c r="L339" s="12" t="s">
        <v>994</v>
      </c>
      <c r="M339" s="12" t="s">
        <v>49</v>
      </c>
      <c r="N339" s="21"/>
      <c r="O339" s="12" t="s">
        <v>87</v>
      </c>
      <c r="P339" s="21"/>
      <c r="Q339" s="21"/>
      <c r="R339" s="21"/>
      <c r="S339" s="12" t="s">
        <v>77</v>
      </c>
      <c r="T339" s="16">
        <v>45523</v>
      </c>
      <c r="U339" s="17">
        <v>0.5</v>
      </c>
      <c r="V339" s="12" t="str">
        <f t="shared" si="20"/>
        <v>0 г. 0 мес. 2 дн.</v>
      </c>
      <c r="W339" s="22"/>
      <c r="X339" s="72"/>
    </row>
    <row r="340" spans="1:24" ht="35.1" customHeight="1" x14ac:dyDescent="0.25">
      <c r="A340" s="12">
        <f t="shared" si="22"/>
        <v>339</v>
      </c>
      <c r="B340" s="12">
        <v>1775</v>
      </c>
      <c r="C340" s="20" t="s">
        <v>77</v>
      </c>
      <c r="D340" s="18">
        <v>45521</v>
      </c>
      <c r="E340" s="17">
        <v>0.875</v>
      </c>
      <c r="F340" s="12" t="s">
        <v>995</v>
      </c>
      <c r="G340" s="18">
        <v>45513</v>
      </c>
      <c r="H340" s="12" t="str">
        <f t="shared" si="21"/>
        <v>0 г. 0 мес. 8 дн.</v>
      </c>
      <c r="I340" s="12" t="s">
        <v>120</v>
      </c>
      <c r="J340" s="12" t="s">
        <v>77</v>
      </c>
      <c r="K340" s="12" t="s">
        <v>996</v>
      </c>
      <c r="L340" s="12" t="s">
        <v>997</v>
      </c>
      <c r="M340" s="12" t="s">
        <v>49</v>
      </c>
      <c r="N340" s="21"/>
      <c r="O340" s="12" t="s">
        <v>86</v>
      </c>
      <c r="P340" s="21"/>
      <c r="Q340" s="21"/>
      <c r="R340" s="21"/>
      <c r="S340" s="12" t="s">
        <v>25</v>
      </c>
      <c r="T340" s="18">
        <v>45522</v>
      </c>
      <c r="U340" s="17">
        <v>0.5</v>
      </c>
      <c r="V340" s="12" t="str">
        <f t="shared" si="20"/>
        <v>0 г. 0 мес. 1 дн.</v>
      </c>
      <c r="W340" s="22"/>
      <c r="X340" s="72"/>
    </row>
    <row r="341" spans="1:24" ht="35.1" customHeight="1" x14ac:dyDescent="0.25">
      <c r="A341" s="12">
        <f t="shared" si="22"/>
        <v>340</v>
      </c>
      <c r="B341" s="13">
        <v>479</v>
      </c>
      <c r="C341" s="14" t="s">
        <v>28</v>
      </c>
      <c r="D341" s="18">
        <v>45522</v>
      </c>
      <c r="E341" s="15">
        <v>0.625</v>
      </c>
      <c r="F341" s="13" t="s">
        <v>998</v>
      </c>
      <c r="G341" s="16">
        <v>39332</v>
      </c>
      <c r="H341" s="12" t="str">
        <f t="shared" si="21"/>
        <v>16 г. 11 мес. 11 дн.</v>
      </c>
      <c r="I341" s="12" t="s">
        <v>118</v>
      </c>
      <c r="K341" s="13" t="s">
        <v>296</v>
      </c>
      <c r="L341" s="13" t="s">
        <v>351</v>
      </c>
      <c r="M341" s="13" t="s">
        <v>46</v>
      </c>
      <c r="N341" s="19"/>
      <c r="O341" s="12" t="s">
        <v>87</v>
      </c>
      <c r="P341" s="19"/>
      <c r="Q341" s="19"/>
      <c r="R341" s="19"/>
      <c r="S341" s="12" t="s">
        <v>28</v>
      </c>
      <c r="T341" s="16">
        <v>45523</v>
      </c>
      <c r="U341" s="17">
        <v>0.58333333333333337</v>
      </c>
      <c r="V341" s="12" t="str">
        <f t="shared" si="20"/>
        <v>0 г. 0 мес. 1 дн.</v>
      </c>
      <c r="W341" s="22"/>
      <c r="X341" s="72"/>
    </row>
    <row r="342" spans="1:24" ht="35.1" customHeight="1" x14ac:dyDescent="0.25">
      <c r="A342" s="12">
        <f t="shared" si="22"/>
        <v>341</v>
      </c>
      <c r="B342" s="12">
        <v>982</v>
      </c>
      <c r="C342" s="20" t="s">
        <v>27</v>
      </c>
      <c r="D342" s="18">
        <v>45523</v>
      </c>
      <c r="E342" s="17">
        <v>0.11805555555555557</v>
      </c>
      <c r="F342" s="12" t="s">
        <v>999</v>
      </c>
      <c r="G342" s="18">
        <v>41787</v>
      </c>
      <c r="H342" s="12" t="str">
        <f t="shared" si="21"/>
        <v>10 г. 2 мес. 22 дн.</v>
      </c>
      <c r="I342" s="12" t="s">
        <v>118</v>
      </c>
      <c r="K342" s="12" t="s">
        <v>245</v>
      </c>
      <c r="L342" s="12" t="s">
        <v>381</v>
      </c>
      <c r="M342" s="12" t="s">
        <v>48</v>
      </c>
      <c r="N342" s="21"/>
      <c r="O342" s="12" t="s">
        <v>87</v>
      </c>
      <c r="P342" s="21"/>
      <c r="Q342" s="21"/>
      <c r="R342" s="21"/>
      <c r="S342" s="12" t="s">
        <v>27</v>
      </c>
      <c r="T342" s="16">
        <v>45524</v>
      </c>
      <c r="U342" s="17">
        <v>0.55138888888888882</v>
      </c>
      <c r="V342" s="12" t="str">
        <f t="shared" si="20"/>
        <v>0 г. 0 мес. 1 дн.</v>
      </c>
      <c r="W342" s="22"/>
      <c r="X342" s="72"/>
    </row>
    <row r="343" spans="1:24" ht="35.1" customHeight="1" x14ac:dyDescent="0.25">
      <c r="A343" s="12">
        <f t="shared" si="22"/>
        <v>342</v>
      </c>
      <c r="B343" s="12">
        <v>1935</v>
      </c>
      <c r="C343" s="20" t="s">
        <v>77</v>
      </c>
      <c r="D343" s="18">
        <v>45523</v>
      </c>
      <c r="E343" s="17">
        <v>0.5</v>
      </c>
      <c r="F343" s="12" t="s">
        <v>1119</v>
      </c>
      <c r="G343" s="18">
        <v>45501</v>
      </c>
      <c r="H343" s="12" t="str">
        <f t="shared" si="21"/>
        <v>0 г. 0 мес. 22 дн.</v>
      </c>
      <c r="I343" s="12" t="s">
        <v>118</v>
      </c>
      <c r="K343" s="12" t="s">
        <v>187</v>
      </c>
      <c r="L343" s="12" t="s">
        <v>1000</v>
      </c>
      <c r="M343" s="12" t="s">
        <v>49</v>
      </c>
      <c r="N343" s="21"/>
      <c r="O343" s="12" t="s">
        <v>87</v>
      </c>
      <c r="P343" s="21"/>
      <c r="Q343" s="21"/>
      <c r="R343" s="21"/>
      <c r="S343" s="12" t="s">
        <v>77</v>
      </c>
      <c r="T343" s="18">
        <v>45526</v>
      </c>
      <c r="U343" s="17">
        <v>0.5</v>
      </c>
      <c r="V343" s="12" t="str">
        <f t="shared" si="20"/>
        <v>0 г. 0 мес. 3 дн.</v>
      </c>
      <c r="W343" s="22"/>
      <c r="X343" s="72"/>
    </row>
    <row r="344" spans="1:24" ht="35.1" customHeight="1" x14ac:dyDescent="0.25">
      <c r="A344" s="12">
        <f t="shared" si="22"/>
        <v>343</v>
      </c>
      <c r="B344" s="12">
        <v>632</v>
      </c>
      <c r="C344" s="20" t="s">
        <v>26</v>
      </c>
      <c r="D344" s="18">
        <v>45525</v>
      </c>
      <c r="E344" s="17">
        <v>6.25E-2</v>
      </c>
      <c r="F344" s="12" t="s">
        <v>1001</v>
      </c>
      <c r="G344" s="18">
        <v>40322</v>
      </c>
      <c r="H344" s="12" t="str">
        <f t="shared" si="21"/>
        <v>14 г. 2 мес. 28 дн.</v>
      </c>
      <c r="I344" s="12" t="s">
        <v>118</v>
      </c>
      <c r="K344" s="12" t="s">
        <v>1002</v>
      </c>
      <c r="L344" s="12" t="s">
        <v>1003</v>
      </c>
      <c r="M344" s="12" t="s">
        <v>55</v>
      </c>
      <c r="N344" s="21"/>
      <c r="O344" s="12" t="s">
        <v>87</v>
      </c>
      <c r="P344" s="21"/>
      <c r="Q344" s="21"/>
      <c r="R344" s="21"/>
      <c r="S344" s="12" t="s">
        <v>26</v>
      </c>
      <c r="T344" s="16">
        <v>45525</v>
      </c>
      <c r="U344" s="17">
        <v>0.54166666666666663</v>
      </c>
      <c r="V344" s="12" t="str">
        <f t="shared" si="20"/>
        <v>0 г. 0 мес. 0 дн.</v>
      </c>
      <c r="W344" s="22"/>
      <c r="X344" s="72"/>
    </row>
    <row r="345" spans="1:24" ht="35.1" customHeight="1" x14ac:dyDescent="0.25">
      <c r="A345" s="12">
        <f t="shared" si="22"/>
        <v>344</v>
      </c>
      <c r="B345" s="12">
        <v>598</v>
      </c>
      <c r="C345" s="20" t="s">
        <v>26</v>
      </c>
      <c r="D345" s="18">
        <v>45506</v>
      </c>
      <c r="E345" s="17">
        <v>0.54861111111111105</v>
      </c>
      <c r="F345" s="12" t="s">
        <v>1007</v>
      </c>
      <c r="G345" s="18">
        <v>42358</v>
      </c>
      <c r="H345" s="12" t="str">
        <f t="shared" si="21"/>
        <v>8 г. 7 мес. 13 дн.</v>
      </c>
      <c r="I345" s="12" t="s">
        <v>118</v>
      </c>
      <c r="K345" s="12" t="s">
        <v>1008</v>
      </c>
      <c r="L345" s="12" t="s">
        <v>234</v>
      </c>
      <c r="M345" s="12" t="s">
        <v>43</v>
      </c>
      <c r="N345" s="21"/>
      <c r="O345" s="12" t="s">
        <v>87</v>
      </c>
      <c r="P345" s="21"/>
      <c r="Q345" s="21"/>
      <c r="R345" s="21"/>
      <c r="S345" s="12" t="s">
        <v>26</v>
      </c>
      <c r="T345" s="18">
        <v>45507</v>
      </c>
      <c r="U345" s="17">
        <v>0.40138888888888885</v>
      </c>
      <c r="V345" s="12" t="str">
        <f t="shared" si="20"/>
        <v>0 г. 0 мес. 1 дн.</v>
      </c>
      <c r="W345" s="22"/>
      <c r="X345" s="72"/>
    </row>
    <row r="346" spans="1:24" ht="35.1" customHeight="1" x14ac:dyDescent="0.25">
      <c r="A346" s="12">
        <f t="shared" si="22"/>
        <v>345</v>
      </c>
      <c r="B346" s="12">
        <v>618</v>
      </c>
      <c r="C346" s="20" t="s">
        <v>26</v>
      </c>
      <c r="D346" s="18">
        <v>45516</v>
      </c>
      <c r="E346" s="17">
        <v>0.87569444444444444</v>
      </c>
      <c r="F346" s="12" t="s">
        <v>1009</v>
      </c>
      <c r="G346" s="18">
        <v>42012</v>
      </c>
      <c r="H346" s="12" t="str">
        <f t="shared" si="21"/>
        <v>9 г. 7 мес. 4 дн.</v>
      </c>
      <c r="I346" s="12" t="s">
        <v>118</v>
      </c>
      <c r="K346" s="12" t="s">
        <v>1010</v>
      </c>
      <c r="L346" s="12" t="s">
        <v>1003</v>
      </c>
      <c r="M346" s="12" t="s">
        <v>55</v>
      </c>
      <c r="N346" s="21"/>
      <c r="O346" s="12" t="s">
        <v>87</v>
      </c>
      <c r="P346" s="21"/>
      <c r="Q346" s="21"/>
      <c r="R346" s="21"/>
      <c r="S346" s="12" t="s">
        <v>26</v>
      </c>
      <c r="T346" s="18">
        <v>45517</v>
      </c>
      <c r="U346" s="17">
        <v>0.4291666666666667</v>
      </c>
      <c r="V346" s="12" t="str">
        <f t="shared" si="20"/>
        <v>0 г. 0 мес. 1 дн.</v>
      </c>
      <c r="W346" s="22"/>
      <c r="X346" s="72"/>
    </row>
    <row r="347" spans="1:24" ht="35.1" customHeight="1" x14ac:dyDescent="0.25">
      <c r="A347" s="12">
        <f t="shared" si="22"/>
        <v>346</v>
      </c>
      <c r="B347" s="12">
        <v>387</v>
      </c>
      <c r="C347" s="20" t="s">
        <v>25</v>
      </c>
      <c r="D347" s="18">
        <v>45523</v>
      </c>
      <c r="E347" s="17">
        <v>0.61527777777777781</v>
      </c>
      <c r="F347" s="12" t="s">
        <v>1012</v>
      </c>
      <c r="G347" s="18">
        <v>45475</v>
      </c>
      <c r="H347" s="12" t="str">
        <f t="shared" si="21"/>
        <v>0 г. 1 мес. 17 дн.</v>
      </c>
      <c r="I347" s="12" t="s">
        <v>120</v>
      </c>
      <c r="J347" s="12" t="s">
        <v>25</v>
      </c>
      <c r="K347" s="12" t="s">
        <v>748</v>
      </c>
      <c r="L347" s="12" t="s">
        <v>1013</v>
      </c>
      <c r="M347" s="12" t="s">
        <v>56</v>
      </c>
      <c r="N347" s="21"/>
      <c r="O347" s="12" t="s">
        <v>87</v>
      </c>
      <c r="P347" s="21"/>
      <c r="Q347" s="21" t="s">
        <v>100</v>
      </c>
      <c r="R347" s="21"/>
      <c r="S347" s="12" t="s">
        <v>25</v>
      </c>
      <c r="T347" s="18">
        <v>45523</v>
      </c>
      <c r="U347" s="17">
        <v>0.92361111111111116</v>
      </c>
      <c r="V347" s="12" t="str">
        <f t="shared" si="20"/>
        <v>0 г. 0 мес. 0 дн.</v>
      </c>
      <c r="W347" s="22"/>
      <c r="X347" s="72"/>
    </row>
    <row r="348" spans="1:24" ht="35.1" customHeight="1" x14ac:dyDescent="0.25">
      <c r="A348" s="12">
        <f t="shared" si="22"/>
        <v>347</v>
      </c>
      <c r="B348" s="12">
        <v>636</v>
      </c>
      <c r="C348" s="20" t="s">
        <v>26</v>
      </c>
      <c r="D348" s="18">
        <v>45527</v>
      </c>
      <c r="E348" s="17">
        <v>0.39583333333333331</v>
      </c>
      <c r="F348" s="12" t="s">
        <v>1014</v>
      </c>
      <c r="G348" s="18">
        <v>40687</v>
      </c>
      <c r="H348" s="12" t="str">
        <f t="shared" si="21"/>
        <v>13 г. 2 мес. 30 дн.</v>
      </c>
      <c r="I348" s="12" t="s">
        <v>118</v>
      </c>
      <c r="K348" s="12" t="s">
        <v>1015</v>
      </c>
      <c r="L348" s="12" t="s">
        <v>1016</v>
      </c>
      <c r="M348" s="12" t="s">
        <v>49</v>
      </c>
      <c r="N348" s="21"/>
      <c r="O348" s="12" t="s">
        <v>87</v>
      </c>
      <c r="P348" s="21"/>
      <c r="Q348" s="21"/>
      <c r="R348" s="21"/>
      <c r="S348" s="12" t="s">
        <v>29</v>
      </c>
      <c r="T348" s="18">
        <v>45528</v>
      </c>
      <c r="U348" s="17">
        <v>0.52083333333333337</v>
      </c>
      <c r="V348" s="12" t="str">
        <f t="shared" si="20"/>
        <v>0 г. 0 мес. 1 дн.</v>
      </c>
      <c r="W348" s="22"/>
      <c r="X348" s="72"/>
    </row>
    <row r="349" spans="1:24" ht="35.1" customHeight="1" x14ac:dyDescent="0.25">
      <c r="A349" s="12">
        <f t="shared" si="22"/>
        <v>348</v>
      </c>
      <c r="B349" s="12">
        <v>639</v>
      </c>
      <c r="C349" s="20" t="s">
        <v>26</v>
      </c>
      <c r="D349" s="18">
        <v>45528</v>
      </c>
      <c r="E349" s="17">
        <v>0.79166666666666663</v>
      </c>
      <c r="F349" s="12" t="s">
        <v>1019</v>
      </c>
      <c r="G349" s="18">
        <v>40779</v>
      </c>
      <c r="H349" s="12" t="str">
        <f t="shared" si="21"/>
        <v>13 г. 0 мес. 0 дн.</v>
      </c>
      <c r="I349" s="12" t="s">
        <v>118</v>
      </c>
      <c r="K349" s="12" t="s">
        <v>1017</v>
      </c>
      <c r="L349" s="12" t="s">
        <v>1018</v>
      </c>
      <c r="M349" s="12" t="s">
        <v>55</v>
      </c>
      <c r="N349" s="21"/>
      <c r="O349" s="12" t="s">
        <v>87</v>
      </c>
      <c r="P349" s="21"/>
      <c r="Q349" s="21"/>
      <c r="R349" s="21"/>
      <c r="S349" s="12" t="s">
        <v>26</v>
      </c>
      <c r="T349" s="18">
        <v>45529</v>
      </c>
      <c r="U349" s="17">
        <v>0.47916666666666669</v>
      </c>
      <c r="V349" s="12" t="str">
        <f t="shared" si="20"/>
        <v>0 г. 0 мес. 1 дн.</v>
      </c>
      <c r="W349" s="22"/>
      <c r="X349" s="72"/>
    </row>
    <row r="350" spans="1:24" ht="35.1" customHeight="1" x14ac:dyDescent="0.25">
      <c r="A350" s="12">
        <f t="shared" si="22"/>
        <v>349</v>
      </c>
      <c r="B350" s="12">
        <v>641</v>
      </c>
      <c r="C350" s="20" t="s">
        <v>26</v>
      </c>
      <c r="D350" s="18">
        <v>45529</v>
      </c>
      <c r="E350" s="17">
        <v>0.5</v>
      </c>
      <c r="F350" s="12" t="s">
        <v>548</v>
      </c>
      <c r="G350" s="18">
        <v>40406</v>
      </c>
      <c r="H350" s="12" t="str">
        <f t="shared" si="21"/>
        <v>14 г. 0 мес. 9 дн.</v>
      </c>
      <c r="I350" s="12" t="s">
        <v>118</v>
      </c>
      <c r="K350" s="12" t="s">
        <v>549</v>
      </c>
      <c r="L350" s="12" t="s">
        <v>297</v>
      </c>
      <c r="M350" s="12" t="s">
        <v>43</v>
      </c>
      <c r="N350" s="21"/>
      <c r="O350" s="12" t="s">
        <v>87</v>
      </c>
      <c r="P350" s="21"/>
      <c r="Q350" s="21"/>
      <c r="R350" s="21"/>
      <c r="S350" s="12" t="s">
        <v>29</v>
      </c>
      <c r="T350" s="18">
        <v>45531</v>
      </c>
      <c r="U350" s="17">
        <v>0.47222222222222227</v>
      </c>
      <c r="V350" s="12" t="str">
        <f t="shared" si="20"/>
        <v>0 г. 0 мес. 2 дн.</v>
      </c>
      <c r="W350" s="22"/>
      <c r="X350" s="72"/>
    </row>
    <row r="351" spans="1:24" ht="35.1" customHeight="1" x14ac:dyDescent="0.25">
      <c r="A351" s="12">
        <f t="shared" si="22"/>
        <v>350</v>
      </c>
      <c r="B351" s="12">
        <v>1293</v>
      </c>
      <c r="C351" s="20" t="s">
        <v>23</v>
      </c>
      <c r="D351" s="18">
        <v>45529</v>
      </c>
      <c r="E351" s="17">
        <v>0.64583333333333337</v>
      </c>
      <c r="F351" s="12" t="s">
        <v>1020</v>
      </c>
      <c r="G351" s="18">
        <v>39497</v>
      </c>
      <c r="H351" s="12" t="str">
        <f t="shared" si="21"/>
        <v>16 г. 6 мес. 6 дн.</v>
      </c>
      <c r="I351" s="12" t="s">
        <v>118</v>
      </c>
      <c r="K351" s="12" t="s">
        <v>1021</v>
      </c>
      <c r="L351" s="12" t="s">
        <v>1022</v>
      </c>
      <c r="M351" s="12" t="s">
        <v>52</v>
      </c>
      <c r="N351" s="21"/>
      <c r="O351" s="12" t="s">
        <v>73</v>
      </c>
      <c r="P351" s="21" t="s">
        <v>94</v>
      </c>
      <c r="Q351" s="21" t="s">
        <v>100</v>
      </c>
      <c r="R351" s="21"/>
      <c r="S351" s="12" t="s">
        <v>29</v>
      </c>
      <c r="T351" s="18">
        <v>45540</v>
      </c>
      <c r="U351" s="17">
        <v>0.91666666666666663</v>
      </c>
      <c r="V351" s="12" t="str">
        <f t="shared" si="20"/>
        <v>0 г. 0 мес. 11 дн.</v>
      </c>
      <c r="W351" s="22"/>
      <c r="X351" s="72"/>
    </row>
    <row r="352" spans="1:24" ht="35.1" customHeight="1" x14ac:dyDescent="0.25">
      <c r="A352" s="12">
        <f t="shared" si="22"/>
        <v>351</v>
      </c>
      <c r="B352" s="12">
        <v>1294</v>
      </c>
      <c r="C352" s="20" t="s">
        <v>23</v>
      </c>
      <c r="D352" s="18">
        <v>45529</v>
      </c>
      <c r="E352" s="17">
        <v>0.65277777777777779</v>
      </c>
      <c r="F352" s="12" t="s">
        <v>1023</v>
      </c>
      <c r="G352" s="18">
        <v>40560</v>
      </c>
      <c r="H352" s="12" t="str">
        <f t="shared" si="21"/>
        <v>13 г. 7 мес. 8 дн.</v>
      </c>
      <c r="I352" s="12" t="s">
        <v>118</v>
      </c>
      <c r="K352" s="12" t="s">
        <v>1024</v>
      </c>
      <c r="L352" s="12" t="s">
        <v>1025</v>
      </c>
      <c r="M352" s="12" t="s">
        <v>52</v>
      </c>
      <c r="N352" s="21"/>
      <c r="O352" s="12" t="s">
        <v>73</v>
      </c>
      <c r="P352" s="21"/>
      <c r="Q352" s="21"/>
      <c r="R352" s="21"/>
      <c r="S352" s="12" t="s">
        <v>23</v>
      </c>
      <c r="T352" s="18">
        <v>45535</v>
      </c>
      <c r="U352" s="17">
        <v>0.54166666666666663</v>
      </c>
      <c r="V352" s="12" t="str">
        <f t="shared" si="20"/>
        <v>0 г. 0 мес. 6 дн.</v>
      </c>
      <c r="W352" s="22"/>
      <c r="X352" s="72"/>
    </row>
    <row r="353" spans="1:24" ht="35.1" customHeight="1" x14ac:dyDescent="0.25">
      <c r="A353" s="12">
        <f t="shared" si="22"/>
        <v>352</v>
      </c>
      <c r="B353" s="12">
        <v>1976</v>
      </c>
      <c r="C353" s="20" t="s">
        <v>77</v>
      </c>
      <c r="D353" s="18">
        <v>45529</v>
      </c>
      <c r="E353" s="17">
        <v>0.83333333333333337</v>
      </c>
      <c r="F353" s="12" t="s">
        <v>1026</v>
      </c>
      <c r="G353" s="18">
        <v>45498</v>
      </c>
      <c r="H353" s="12" t="str">
        <f t="shared" si="21"/>
        <v>0 г. 1 мес. 0 дн.</v>
      </c>
      <c r="I353" s="12" t="s">
        <v>120</v>
      </c>
      <c r="J353" s="12" t="s">
        <v>77</v>
      </c>
      <c r="K353" s="12" t="s">
        <v>1027</v>
      </c>
      <c r="L353" s="12" t="s">
        <v>1028</v>
      </c>
      <c r="M353" s="12" t="s">
        <v>56</v>
      </c>
      <c r="N353" s="21"/>
      <c r="O353" s="12" t="s">
        <v>87</v>
      </c>
      <c r="P353" s="21"/>
      <c r="Q353" s="21"/>
      <c r="R353" s="21"/>
      <c r="S353" s="12" t="s">
        <v>26</v>
      </c>
      <c r="T353" s="18">
        <v>45531</v>
      </c>
      <c r="U353" s="17">
        <v>0.625</v>
      </c>
      <c r="V353" s="12" t="str">
        <f t="shared" si="20"/>
        <v>0 г. 0 мес. 2 дн.</v>
      </c>
      <c r="W353" s="22"/>
      <c r="X353" s="72"/>
    </row>
    <row r="354" spans="1:24" ht="35.1" customHeight="1" x14ac:dyDescent="0.25">
      <c r="A354" s="12">
        <f t="shared" si="22"/>
        <v>353</v>
      </c>
      <c r="B354" s="12">
        <v>1306</v>
      </c>
      <c r="C354" s="20" t="s">
        <v>23</v>
      </c>
      <c r="D354" s="18">
        <v>45531</v>
      </c>
      <c r="E354" s="17">
        <v>3.472222222222222E-3</v>
      </c>
      <c r="F354" s="12" t="s">
        <v>1031</v>
      </c>
      <c r="G354" s="18">
        <v>39076</v>
      </c>
      <c r="H354" s="12" t="str">
        <f t="shared" si="21"/>
        <v>17 г. 8 мес. 2 дн.</v>
      </c>
      <c r="I354" s="12" t="s">
        <v>118</v>
      </c>
      <c r="K354" s="12" t="s">
        <v>1029</v>
      </c>
      <c r="L354" s="12" t="s">
        <v>1030</v>
      </c>
      <c r="M354" s="12" t="s">
        <v>52</v>
      </c>
      <c r="N354" s="21"/>
      <c r="O354" s="12" t="s">
        <v>87</v>
      </c>
      <c r="P354" s="21"/>
      <c r="Q354" s="21"/>
      <c r="R354" s="21"/>
      <c r="S354" s="12" t="s">
        <v>23</v>
      </c>
      <c r="T354" s="18">
        <v>45531</v>
      </c>
      <c r="U354" s="17">
        <v>0.45833333333333331</v>
      </c>
      <c r="V354" s="12" t="str">
        <f t="shared" si="20"/>
        <v>0 г. 0 мес. 0 дн.</v>
      </c>
      <c r="W354" s="22"/>
      <c r="X354" s="72"/>
    </row>
    <row r="355" spans="1:24" ht="35.1" customHeight="1" x14ac:dyDescent="0.25">
      <c r="A355" s="12">
        <f t="shared" si="22"/>
        <v>354</v>
      </c>
      <c r="B355" s="12">
        <v>648</v>
      </c>
      <c r="C355" s="20" t="s">
        <v>26</v>
      </c>
      <c r="D355" s="18">
        <v>45532</v>
      </c>
      <c r="E355" s="17">
        <v>0.375</v>
      </c>
      <c r="F355" s="12" t="s">
        <v>1032</v>
      </c>
      <c r="G355" s="18">
        <v>41632</v>
      </c>
      <c r="H355" s="12" t="str">
        <f t="shared" si="21"/>
        <v>10 г. 8 мес. 4 дн.</v>
      </c>
      <c r="I355" s="12" t="s">
        <v>118</v>
      </c>
      <c r="K355" s="12" t="s">
        <v>1033</v>
      </c>
      <c r="L355" s="12" t="s">
        <v>297</v>
      </c>
      <c r="M355" s="12" t="s">
        <v>43</v>
      </c>
      <c r="N355" s="21"/>
      <c r="O355" s="12" t="s">
        <v>87</v>
      </c>
      <c r="P355" s="21"/>
      <c r="Q355" s="21"/>
      <c r="R355" s="21"/>
      <c r="S355" s="12" t="s">
        <v>29</v>
      </c>
      <c r="T355" s="18">
        <v>45533</v>
      </c>
      <c r="U355" s="17">
        <v>0.5</v>
      </c>
      <c r="V355" s="12" t="str">
        <f t="shared" si="20"/>
        <v>0 г. 0 мес. 1 дн.</v>
      </c>
      <c r="W355" s="22"/>
      <c r="X355" s="72"/>
    </row>
    <row r="356" spans="1:24" ht="35.1" customHeight="1" x14ac:dyDescent="0.25">
      <c r="A356" s="12">
        <f t="shared" si="22"/>
        <v>355</v>
      </c>
      <c r="B356" s="12">
        <v>1309</v>
      </c>
      <c r="C356" s="20" t="s">
        <v>23</v>
      </c>
      <c r="D356" s="18">
        <v>45533</v>
      </c>
      <c r="E356" s="17">
        <v>0.5</v>
      </c>
      <c r="F356" s="12" t="s">
        <v>1034</v>
      </c>
      <c r="G356" s="18">
        <v>39276</v>
      </c>
      <c r="H356" s="12" t="str">
        <f t="shared" si="21"/>
        <v>17 г. 1 мес. 16 дн.</v>
      </c>
      <c r="I356" s="12" t="s">
        <v>119</v>
      </c>
      <c r="J356" s="12" t="s">
        <v>77</v>
      </c>
      <c r="K356" s="12" t="s">
        <v>1035</v>
      </c>
      <c r="L356" s="12" t="s">
        <v>795</v>
      </c>
      <c r="M356" s="12" t="s">
        <v>51</v>
      </c>
      <c r="N356" s="21"/>
      <c r="O356" s="12" t="s">
        <v>87</v>
      </c>
      <c r="P356" s="21" t="s">
        <v>94</v>
      </c>
      <c r="Q356" s="21"/>
      <c r="R356" s="21"/>
      <c r="S356" s="12" t="s">
        <v>23</v>
      </c>
      <c r="T356" s="18">
        <v>45535</v>
      </c>
      <c r="U356" s="17">
        <v>0.41666666666666669</v>
      </c>
      <c r="V356" s="12" t="str">
        <f t="shared" si="20"/>
        <v>0 г. 0 мес. 2 дн.</v>
      </c>
      <c r="W356" s="22"/>
      <c r="X356" s="72"/>
    </row>
    <row r="357" spans="1:24" ht="35.1" customHeight="1" x14ac:dyDescent="0.25">
      <c r="A357" s="12">
        <f t="shared" si="22"/>
        <v>356</v>
      </c>
      <c r="B357" s="12">
        <v>654</v>
      </c>
      <c r="C357" s="20" t="s">
        <v>26</v>
      </c>
      <c r="D357" s="18">
        <v>45533</v>
      </c>
      <c r="E357" s="17">
        <v>0.78125</v>
      </c>
      <c r="F357" s="12" t="s">
        <v>1036</v>
      </c>
      <c r="G357" s="18">
        <v>44692</v>
      </c>
      <c r="H357" s="12" t="str">
        <f t="shared" si="21"/>
        <v>2 г. 3 мес. 18 дн.</v>
      </c>
      <c r="I357" s="12" t="s">
        <v>118</v>
      </c>
      <c r="K357" s="12" t="s">
        <v>1037</v>
      </c>
      <c r="L357" s="12" t="s">
        <v>1038</v>
      </c>
      <c r="M357" s="12" t="s">
        <v>43</v>
      </c>
      <c r="N357" s="21"/>
      <c r="O357" s="12" t="s">
        <v>87</v>
      </c>
      <c r="P357" s="21"/>
      <c r="Q357" s="21"/>
      <c r="R357" s="21"/>
      <c r="S357" s="12" t="s">
        <v>26</v>
      </c>
      <c r="T357" s="18">
        <v>45535</v>
      </c>
      <c r="U357" s="17">
        <v>0.45833333333333331</v>
      </c>
      <c r="V357" s="12" t="str">
        <f t="shared" si="20"/>
        <v>0 г. 0 мес. 2 дн.</v>
      </c>
      <c r="W357" s="22"/>
      <c r="X357" s="72"/>
    </row>
    <row r="358" spans="1:24" ht="35.1" customHeight="1" x14ac:dyDescent="0.25">
      <c r="A358" s="12">
        <f t="shared" si="22"/>
        <v>357</v>
      </c>
      <c r="B358" s="12">
        <v>2033</v>
      </c>
      <c r="C358" s="20" t="s">
        <v>77</v>
      </c>
      <c r="D358" s="18">
        <v>45535</v>
      </c>
      <c r="E358" s="17">
        <v>0.79861111111111116</v>
      </c>
      <c r="F358" s="12" t="s">
        <v>1039</v>
      </c>
      <c r="G358" s="18">
        <v>44533</v>
      </c>
      <c r="H358" s="12" t="str">
        <f t="shared" si="21"/>
        <v>2 г. 8 мес. 28 дн.</v>
      </c>
      <c r="I358" s="12" t="s">
        <v>75</v>
      </c>
      <c r="K358" s="12" t="s">
        <v>1040</v>
      </c>
      <c r="L358" s="12" t="s">
        <v>1041</v>
      </c>
      <c r="M358" s="12" t="s">
        <v>54</v>
      </c>
      <c r="N358" s="21"/>
      <c r="O358" s="12" t="s">
        <v>87</v>
      </c>
      <c r="P358" s="21"/>
      <c r="Q358" s="21"/>
      <c r="R358" s="21"/>
      <c r="S358" s="20" t="s">
        <v>77</v>
      </c>
      <c r="T358" s="18">
        <v>45536</v>
      </c>
      <c r="U358" s="17">
        <v>0.45833333333333331</v>
      </c>
      <c r="V358" s="12" t="str">
        <f t="shared" si="20"/>
        <v>0 г. 0 мес. 1 дн.</v>
      </c>
      <c r="W358" s="22"/>
      <c r="X358" s="72"/>
    </row>
    <row r="359" spans="1:24" ht="35.1" customHeight="1" x14ac:dyDescent="0.25">
      <c r="A359" s="12">
        <f t="shared" si="22"/>
        <v>358</v>
      </c>
      <c r="B359" s="12">
        <v>2037</v>
      </c>
      <c r="C359" s="20" t="s">
        <v>77</v>
      </c>
      <c r="D359" s="18">
        <v>45535</v>
      </c>
      <c r="E359" s="17">
        <v>0.90972222222222221</v>
      </c>
      <c r="F359" s="12" t="s">
        <v>1042</v>
      </c>
      <c r="G359" s="18">
        <v>39261</v>
      </c>
      <c r="H359" s="12" t="str">
        <f t="shared" si="21"/>
        <v>17 г. 2 мес. 3 дн.</v>
      </c>
      <c r="I359" s="12" t="s">
        <v>118</v>
      </c>
      <c r="K359" s="12" t="s">
        <v>1043</v>
      </c>
      <c r="L359" s="12" t="s">
        <v>1044</v>
      </c>
      <c r="M359" s="12" t="s">
        <v>52</v>
      </c>
      <c r="N359" s="21"/>
      <c r="O359" s="12" t="s">
        <v>87</v>
      </c>
      <c r="P359" s="21"/>
      <c r="Q359" s="21"/>
      <c r="R359" s="21"/>
      <c r="S359" s="12" t="s">
        <v>23</v>
      </c>
      <c r="T359" s="18">
        <v>45536</v>
      </c>
      <c r="U359" s="17">
        <v>0.45833333333333331</v>
      </c>
      <c r="V359" s="12" t="str">
        <f t="shared" si="20"/>
        <v>0 г. 0 мес. 1 дн.</v>
      </c>
      <c r="W359" s="22"/>
      <c r="X359" s="72"/>
    </row>
    <row r="360" spans="1:24" ht="35.1" customHeight="1" x14ac:dyDescent="0.25">
      <c r="A360" s="12">
        <f t="shared" si="22"/>
        <v>359</v>
      </c>
      <c r="B360" s="12">
        <v>2029</v>
      </c>
      <c r="C360" s="20" t="s">
        <v>77</v>
      </c>
      <c r="D360" s="18">
        <v>45535</v>
      </c>
      <c r="E360" s="17">
        <v>0.4375</v>
      </c>
      <c r="F360" s="12" t="s">
        <v>857</v>
      </c>
      <c r="G360" s="18">
        <v>43603</v>
      </c>
      <c r="H360" s="12" t="str">
        <f t="shared" si="21"/>
        <v>5 г. 3 мес. 13 дн.</v>
      </c>
      <c r="I360" s="12" t="s">
        <v>120</v>
      </c>
      <c r="J360" s="12" t="s">
        <v>77</v>
      </c>
      <c r="K360" s="12" t="s">
        <v>1045</v>
      </c>
      <c r="L360" s="12" t="s">
        <v>811</v>
      </c>
      <c r="M360" s="12" t="s">
        <v>49</v>
      </c>
      <c r="N360" s="21"/>
      <c r="O360" s="12" t="s">
        <v>87</v>
      </c>
      <c r="P360" s="21"/>
      <c r="Q360" s="21"/>
      <c r="R360" s="21"/>
      <c r="S360" s="20" t="s">
        <v>77</v>
      </c>
      <c r="T360" s="18">
        <v>45536</v>
      </c>
      <c r="U360" s="17">
        <v>0.45833333333333331</v>
      </c>
      <c r="V360" s="12" t="str">
        <f t="shared" si="20"/>
        <v>0 г. 0 мес. 1 дн.</v>
      </c>
      <c r="W360" s="22"/>
      <c r="X360" s="72"/>
    </row>
    <row r="361" spans="1:24" ht="35.1" customHeight="1" x14ac:dyDescent="0.25">
      <c r="A361" s="12">
        <f t="shared" si="22"/>
        <v>360</v>
      </c>
      <c r="B361" s="12">
        <v>2036</v>
      </c>
      <c r="C361" s="20" t="s">
        <v>77</v>
      </c>
      <c r="D361" s="18">
        <v>45535</v>
      </c>
      <c r="E361" s="17">
        <v>0.89583333333333337</v>
      </c>
      <c r="F361" s="12" t="s">
        <v>1046</v>
      </c>
      <c r="G361" s="18">
        <v>42383</v>
      </c>
      <c r="H361" s="12" t="str">
        <f t="shared" si="21"/>
        <v>8 г. 7 мес. 17 дн.</v>
      </c>
      <c r="I361" s="12" t="s">
        <v>118</v>
      </c>
      <c r="K361" s="12" t="s">
        <v>1047</v>
      </c>
      <c r="L361" s="12" t="s">
        <v>1048</v>
      </c>
      <c r="M361" s="12" t="s">
        <v>54</v>
      </c>
      <c r="N361" s="21"/>
      <c r="O361" s="12" t="s">
        <v>73</v>
      </c>
      <c r="P361" s="21"/>
      <c r="Q361" s="21"/>
      <c r="R361" s="21"/>
      <c r="S361" s="20" t="s">
        <v>77</v>
      </c>
      <c r="T361" s="18">
        <v>45536</v>
      </c>
      <c r="U361" s="17">
        <v>0.45833333333333331</v>
      </c>
      <c r="V361" s="12" t="str">
        <f t="shared" si="20"/>
        <v>0 г. 0 мес. 1 дн.</v>
      </c>
      <c r="W361" s="22"/>
      <c r="X361" s="72"/>
    </row>
    <row r="362" spans="1:24" ht="35.1" customHeight="1" x14ac:dyDescent="0.25">
      <c r="A362" s="12">
        <f t="shared" si="22"/>
        <v>361</v>
      </c>
      <c r="B362" s="12">
        <v>659</v>
      </c>
      <c r="C362" s="20" t="s">
        <v>26</v>
      </c>
      <c r="D362" s="18">
        <v>45536</v>
      </c>
      <c r="E362" s="17">
        <v>2.0833333333333332E-2</v>
      </c>
      <c r="F362" s="12" t="s">
        <v>1049</v>
      </c>
      <c r="G362" s="18">
        <v>39380</v>
      </c>
      <c r="H362" s="12" t="str">
        <f t="shared" si="21"/>
        <v>16 г. 10 мес. 7 дн.</v>
      </c>
      <c r="I362" s="12" t="s">
        <v>118</v>
      </c>
      <c r="K362" s="12" t="s">
        <v>1050</v>
      </c>
      <c r="L362" s="12" t="s">
        <v>1051</v>
      </c>
      <c r="M362" s="12" t="s">
        <v>55</v>
      </c>
      <c r="N362" s="21"/>
      <c r="O362" s="12" t="s">
        <v>87</v>
      </c>
      <c r="P362" s="21"/>
      <c r="Q362" s="21"/>
      <c r="R362" s="21"/>
      <c r="S362" s="12" t="s">
        <v>26</v>
      </c>
      <c r="T362" s="18">
        <v>45536</v>
      </c>
      <c r="U362" s="17">
        <v>0.45833333333333331</v>
      </c>
      <c r="V362" s="12" t="str">
        <f t="shared" si="20"/>
        <v>0 г. 0 мес. 0 дн.</v>
      </c>
      <c r="W362" s="22"/>
      <c r="X362" s="72"/>
    </row>
    <row r="363" spans="1:24" ht="35.1" customHeight="1" x14ac:dyDescent="0.25">
      <c r="A363" s="12">
        <f t="shared" si="22"/>
        <v>362</v>
      </c>
      <c r="B363" s="12">
        <v>662</v>
      </c>
      <c r="C363" s="20" t="s">
        <v>26</v>
      </c>
      <c r="D363" s="18">
        <v>45538</v>
      </c>
      <c r="E363" s="17">
        <v>0.55555555555555558</v>
      </c>
      <c r="F363" s="12" t="s">
        <v>1052</v>
      </c>
      <c r="G363" s="18">
        <v>43406</v>
      </c>
      <c r="H363" s="12" t="str">
        <f t="shared" si="21"/>
        <v>5 г. 10 мес. 1 дн.</v>
      </c>
      <c r="I363" s="12" t="s">
        <v>118</v>
      </c>
      <c r="K363" s="12" t="s">
        <v>1059</v>
      </c>
      <c r="L363" s="12" t="s">
        <v>1053</v>
      </c>
      <c r="M363" s="12" t="s">
        <v>43</v>
      </c>
      <c r="N363" s="21"/>
      <c r="O363" s="12" t="s">
        <v>73</v>
      </c>
      <c r="P363" s="21"/>
      <c r="Q363" s="21"/>
      <c r="R363" s="21"/>
      <c r="S363" s="12" t="s">
        <v>29</v>
      </c>
      <c r="T363" s="18">
        <v>45540</v>
      </c>
      <c r="U363" s="17">
        <v>0.65138888888888891</v>
      </c>
      <c r="V363" s="12" t="str">
        <f t="shared" si="20"/>
        <v>0 г. 0 мес. 2 дн.</v>
      </c>
      <c r="W363" s="22"/>
      <c r="X363" s="72"/>
    </row>
    <row r="364" spans="1:24" ht="35.1" customHeight="1" x14ac:dyDescent="0.25">
      <c r="A364" s="12">
        <f t="shared" si="22"/>
        <v>363</v>
      </c>
      <c r="B364" s="12">
        <v>1340</v>
      </c>
      <c r="C364" s="20" t="s">
        <v>23</v>
      </c>
      <c r="D364" s="18">
        <v>45538</v>
      </c>
      <c r="E364" s="17">
        <v>0.56597222222222221</v>
      </c>
      <c r="F364" s="12" t="s">
        <v>1054</v>
      </c>
      <c r="G364" s="18">
        <v>39829</v>
      </c>
      <c r="H364" s="12" t="str">
        <f t="shared" si="21"/>
        <v>15 г. 7 мес. 18 дн.</v>
      </c>
      <c r="I364" s="12" t="s">
        <v>119</v>
      </c>
      <c r="J364" s="12" t="s">
        <v>77</v>
      </c>
      <c r="K364" s="12" t="s">
        <v>1057</v>
      </c>
      <c r="L364" s="12" t="s">
        <v>1055</v>
      </c>
      <c r="M364" s="12" t="s">
        <v>51</v>
      </c>
      <c r="N364" s="21"/>
      <c r="O364" s="12" t="s">
        <v>87</v>
      </c>
      <c r="P364" s="21" t="s">
        <v>94</v>
      </c>
      <c r="Q364" s="21"/>
      <c r="R364" s="21"/>
      <c r="S364" s="12" t="s">
        <v>77</v>
      </c>
      <c r="T364" s="18">
        <v>45540</v>
      </c>
      <c r="U364" s="17">
        <v>0.52083333333333337</v>
      </c>
      <c r="V364" s="12" t="str">
        <f t="shared" si="20"/>
        <v>0 г. 0 мес. 2 дн.</v>
      </c>
      <c r="W364" s="22"/>
      <c r="X364" s="72"/>
    </row>
    <row r="365" spans="1:24" ht="35.1" customHeight="1" x14ac:dyDescent="0.25">
      <c r="A365" s="12">
        <f t="shared" si="22"/>
        <v>364</v>
      </c>
      <c r="B365" s="12">
        <v>2018</v>
      </c>
      <c r="C365" s="20" t="s">
        <v>77</v>
      </c>
      <c r="D365" s="18">
        <v>45538</v>
      </c>
      <c r="E365" s="17"/>
      <c r="F365" s="12" t="s">
        <v>1056</v>
      </c>
      <c r="G365" s="18">
        <v>42019</v>
      </c>
      <c r="H365" s="12" t="str">
        <f t="shared" si="21"/>
        <v>9 г. 7 мес. 19 дн.</v>
      </c>
      <c r="I365" s="12" t="s">
        <v>119</v>
      </c>
      <c r="J365" s="12" t="s">
        <v>77</v>
      </c>
      <c r="K365" s="12" t="s">
        <v>1058</v>
      </c>
      <c r="L365" s="12" t="s">
        <v>1061</v>
      </c>
      <c r="M365" s="12" t="s">
        <v>44</v>
      </c>
      <c r="N365" s="21"/>
      <c r="O365" s="12" t="s">
        <v>73</v>
      </c>
      <c r="P365" s="21" t="s">
        <v>94</v>
      </c>
      <c r="Q365" s="21"/>
      <c r="R365" s="21"/>
      <c r="S365" s="12" t="s">
        <v>77</v>
      </c>
      <c r="T365" s="18">
        <v>45542</v>
      </c>
      <c r="U365" s="17">
        <v>0.54166666666666663</v>
      </c>
      <c r="V365" s="12" t="str">
        <f t="shared" si="20"/>
        <v>0 г. 0 мес. 4 дн.</v>
      </c>
      <c r="W365" s="22"/>
      <c r="X365" s="72"/>
    </row>
    <row r="366" spans="1:24" ht="35.1" customHeight="1" x14ac:dyDescent="0.25">
      <c r="A366" s="12">
        <f t="shared" si="22"/>
        <v>365</v>
      </c>
      <c r="B366" s="12">
        <v>667</v>
      </c>
      <c r="C366" s="20" t="s">
        <v>26</v>
      </c>
      <c r="D366" s="18">
        <v>45541</v>
      </c>
      <c r="E366" s="17">
        <v>0.92361111111111116</v>
      </c>
      <c r="F366" s="12" t="s">
        <v>1060</v>
      </c>
      <c r="G366" s="18">
        <v>40035</v>
      </c>
      <c r="H366" s="12" t="str">
        <f t="shared" si="21"/>
        <v>15 г. 0 мес. 27 дн.</v>
      </c>
      <c r="I366" s="12" t="s">
        <v>118</v>
      </c>
      <c r="K366" s="12" t="s">
        <v>748</v>
      </c>
      <c r="L366" s="12" t="s">
        <v>968</v>
      </c>
      <c r="M366" s="12" t="s">
        <v>55</v>
      </c>
      <c r="N366" s="21"/>
      <c r="O366" s="12" t="s">
        <v>87</v>
      </c>
      <c r="P366" s="21"/>
      <c r="Q366" s="21"/>
      <c r="R366" s="21"/>
      <c r="S366" s="12" t="s">
        <v>26</v>
      </c>
      <c r="T366" s="18">
        <v>45542</v>
      </c>
      <c r="U366" s="17">
        <v>0.5</v>
      </c>
      <c r="V366" s="12" t="str">
        <f t="shared" si="20"/>
        <v>0 г. 0 мес. 1 дн.</v>
      </c>
      <c r="W366" s="22"/>
      <c r="X366" s="72"/>
    </row>
    <row r="367" spans="1:24" ht="35.1" customHeight="1" x14ac:dyDescent="0.25">
      <c r="A367" s="12">
        <f t="shared" si="22"/>
        <v>366</v>
      </c>
      <c r="B367" s="13">
        <v>2076</v>
      </c>
      <c r="C367" s="14" t="s">
        <v>77</v>
      </c>
      <c r="D367" s="18">
        <v>45541</v>
      </c>
      <c r="E367" s="15">
        <v>0.95833333333333337</v>
      </c>
      <c r="F367" s="13" t="s">
        <v>1117</v>
      </c>
      <c r="G367" s="16">
        <v>41824</v>
      </c>
      <c r="H367" s="12" t="str">
        <f t="shared" si="21"/>
        <v>10 г. 2 мес. 2 дн.</v>
      </c>
      <c r="I367" s="12" t="s">
        <v>119</v>
      </c>
      <c r="J367" s="12" t="s">
        <v>77</v>
      </c>
      <c r="K367" s="13" t="s">
        <v>1062</v>
      </c>
      <c r="L367" s="13" t="s">
        <v>1063</v>
      </c>
      <c r="M367" s="13" t="s">
        <v>49</v>
      </c>
      <c r="N367" s="19"/>
      <c r="O367" s="12" t="s">
        <v>73</v>
      </c>
      <c r="P367" s="19" t="s">
        <v>94</v>
      </c>
      <c r="Q367" s="19"/>
      <c r="R367" s="19"/>
      <c r="S367" s="13" t="s">
        <v>29</v>
      </c>
      <c r="T367" s="16">
        <v>45553</v>
      </c>
      <c r="U367" s="15">
        <v>0.37986111111111115</v>
      </c>
      <c r="V367" s="12" t="str">
        <f t="shared" si="20"/>
        <v>0 г. 0 мес. 12 дн.</v>
      </c>
      <c r="W367" s="22" t="s">
        <v>132</v>
      </c>
      <c r="X367" s="72"/>
    </row>
    <row r="368" spans="1:24" ht="35.1" customHeight="1" x14ac:dyDescent="0.25">
      <c r="A368" s="12">
        <f t="shared" si="22"/>
        <v>367</v>
      </c>
      <c r="B368" s="12">
        <v>668</v>
      </c>
      <c r="C368" s="20" t="s">
        <v>26</v>
      </c>
      <c r="D368" s="18">
        <v>45542</v>
      </c>
      <c r="E368" s="17">
        <v>0.22222222222222221</v>
      </c>
      <c r="F368" s="12" t="s">
        <v>1064</v>
      </c>
      <c r="G368" s="18">
        <v>40219</v>
      </c>
      <c r="H368" s="12" t="str">
        <f t="shared" si="21"/>
        <v>14 г. 6 мес. 28 дн.</v>
      </c>
      <c r="I368" s="12" t="s">
        <v>118</v>
      </c>
      <c r="K368" s="12" t="s">
        <v>1065</v>
      </c>
      <c r="L368" s="12" t="s">
        <v>968</v>
      </c>
      <c r="M368" s="12" t="s">
        <v>55</v>
      </c>
      <c r="N368" s="21"/>
      <c r="O368" s="12" t="s">
        <v>87</v>
      </c>
      <c r="P368" s="21"/>
      <c r="Q368" s="21"/>
      <c r="R368" s="21"/>
      <c r="S368" s="12" t="s">
        <v>26</v>
      </c>
      <c r="T368" s="18">
        <v>45543</v>
      </c>
      <c r="U368" s="17">
        <v>0.48125000000000001</v>
      </c>
      <c r="V368" s="12" t="str">
        <f t="shared" si="20"/>
        <v>0 г. 0 мес. 1 дн.</v>
      </c>
      <c r="W368" s="22"/>
      <c r="X368" s="72"/>
    </row>
    <row r="369" spans="1:24" ht="35.1" customHeight="1" x14ac:dyDescent="0.25">
      <c r="A369" s="12">
        <f t="shared" si="22"/>
        <v>368</v>
      </c>
      <c r="B369" s="12">
        <v>1049</v>
      </c>
      <c r="C369" s="20" t="s">
        <v>27</v>
      </c>
      <c r="D369" s="18">
        <v>45542</v>
      </c>
      <c r="E369" s="17">
        <v>0.71527777777777779</v>
      </c>
      <c r="F369" s="12" t="s">
        <v>930</v>
      </c>
      <c r="G369" s="18">
        <v>45353</v>
      </c>
      <c r="H369" s="12" t="str">
        <f t="shared" si="21"/>
        <v>0 г. 6 мес. 5 дн.</v>
      </c>
      <c r="I369" s="12" t="s">
        <v>118</v>
      </c>
      <c r="K369" s="12" t="s">
        <v>1066</v>
      </c>
      <c r="L369" s="12" t="s">
        <v>325</v>
      </c>
      <c r="M369" s="12" t="s">
        <v>49</v>
      </c>
      <c r="N369" s="21"/>
      <c r="O369" s="12" t="s">
        <v>87</v>
      </c>
      <c r="P369" s="21"/>
      <c r="Q369" s="21"/>
      <c r="R369" s="21"/>
      <c r="S369" s="12" t="s">
        <v>27</v>
      </c>
      <c r="T369" s="18">
        <v>45546</v>
      </c>
      <c r="U369" s="17">
        <v>0.63124999999999998</v>
      </c>
      <c r="V369" s="12" t="str">
        <f t="shared" si="20"/>
        <v>0 г. 0 мес. 4 дн.</v>
      </c>
      <c r="W369" s="22"/>
      <c r="X369" s="72"/>
    </row>
    <row r="370" spans="1:24" ht="35.1" customHeight="1" x14ac:dyDescent="0.25">
      <c r="A370" s="12">
        <f t="shared" si="22"/>
        <v>369</v>
      </c>
      <c r="B370" s="12">
        <v>2082</v>
      </c>
      <c r="C370" s="20" t="s">
        <v>77</v>
      </c>
      <c r="D370" s="18">
        <v>45542</v>
      </c>
      <c r="E370" s="17">
        <v>0.88194444444444453</v>
      </c>
      <c r="F370" s="12" t="s">
        <v>1067</v>
      </c>
      <c r="G370" s="18">
        <v>43637</v>
      </c>
      <c r="H370" s="12" t="str">
        <f t="shared" si="21"/>
        <v>5 г. 2 мес. 17 дн.</v>
      </c>
      <c r="I370" s="12" t="s">
        <v>118</v>
      </c>
      <c r="K370" s="12" t="s">
        <v>1068</v>
      </c>
      <c r="L370" s="12" t="s">
        <v>1069</v>
      </c>
      <c r="M370" s="12" t="s">
        <v>52</v>
      </c>
      <c r="N370" s="21"/>
      <c r="O370" s="12" t="s">
        <v>87</v>
      </c>
      <c r="P370" s="21"/>
      <c r="Q370" s="21"/>
      <c r="R370" s="21"/>
      <c r="S370" s="12" t="s">
        <v>77</v>
      </c>
      <c r="T370" s="18">
        <v>45543</v>
      </c>
      <c r="U370" s="17">
        <v>0.5</v>
      </c>
      <c r="V370" s="12" t="str">
        <f t="shared" si="20"/>
        <v>0 г. 0 мес. 1 дн.</v>
      </c>
      <c r="W370" s="22"/>
      <c r="X370" s="72"/>
    </row>
    <row r="371" spans="1:24" ht="35.1" customHeight="1" x14ac:dyDescent="0.25">
      <c r="A371" s="12">
        <f t="shared" si="22"/>
        <v>370</v>
      </c>
      <c r="B371" s="12">
        <v>1059</v>
      </c>
      <c r="C371" s="20" t="s">
        <v>27</v>
      </c>
      <c r="D371" s="18">
        <v>45544</v>
      </c>
      <c r="E371" s="17">
        <v>0.57986111111111105</v>
      </c>
      <c r="F371" s="12" t="s">
        <v>1070</v>
      </c>
      <c r="G371" s="18">
        <v>42562</v>
      </c>
      <c r="H371" s="12" t="str">
        <f t="shared" si="21"/>
        <v>8 г. 1 мес. 29 дн.</v>
      </c>
      <c r="I371" s="12" t="s">
        <v>121</v>
      </c>
      <c r="K371" s="12" t="s">
        <v>1072</v>
      </c>
      <c r="L371" s="12" t="s">
        <v>1071</v>
      </c>
      <c r="M371" s="12" t="s">
        <v>48</v>
      </c>
      <c r="N371" s="21"/>
      <c r="O371" s="12" t="s">
        <v>87</v>
      </c>
      <c r="P371" s="21"/>
      <c r="Q371" s="21"/>
      <c r="R371" s="21"/>
      <c r="S371" s="12" t="s">
        <v>27</v>
      </c>
      <c r="T371" s="18">
        <v>45545</v>
      </c>
      <c r="U371" s="17">
        <v>0.45208333333333334</v>
      </c>
      <c r="V371" s="12" t="str">
        <f t="shared" si="20"/>
        <v>0 г. 0 мес. 1 дн.</v>
      </c>
      <c r="W371" s="22"/>
      <c r="X371" s="72"/>
    </row>
    <row r="372" spans="1:24" ht="35.1" customHeight="1" x14ac:dyDescent="0.25">
      <c r="A372" s="12">
        <f t="shared" si="22"/>
        <v>371</v>
      </c>
      <c r="B372" s="12">
        <v>533</v>
      </c>
      <c r="C372" s="20" t="s">
        <v>28</v>
      </c>
      <c r="D372" s="18">
        <v>45548</v>
      </c>
      <c r="E372" s="17">
        <v>8.3333333333333329E-2</v>
      </c>
      <c r="F372" s="12" t="s">
        <v>1121</v>
      </c>
      <c r="G372" s="18">
        <v>40074</v>
      </c>
      <c r="H372" s="12" t="str">
        <f t="shared" si="21"/>
        <v>14 г. 11 мес. 26 дн.</v>
      </c>
      <c r="I372" s="12" t="s">
        <v>118</v>
      </c>
      <c r="K372" s="12" t="s">
        <v>1073</v>
      </c>
      <c r="L372" s="12" t="s">
        <v>351</v>
      </c>
      <c r="M372" s="12" t="s">
        <v>46</v>
      </c>
      <c r="N372" s="21"/>
      <c r="O372" s="12" t="s">
        <v>87</v>
      </c>
      <c r="P372" s="21"/>
      <c r="Q372" s="21"/>
      <c r="R372" s="21"/>
      <c r="S372" s="12" t="s">
        <v>28</v>
      </c>
      <c r="T372" s="18">
        <v>45548</v>
      </c>
      <c r="U372" s="17">
        <v>0.54166666666666663</v>
      </c>
      <c r="V372" s="12" t="str">
        <f t="shared" si="20"/>
        <v>0 г. 0 мес. 0 дн.</v>
      </c>
      <c r="W372" s="22"/>
      <c r="X372" s="72"/>
    </row>
    <row r="373" spans="1:24" ht="35.1" customHeight="1" x14ac:dyDescent="0.25">
      <c r="A373" s="12">
        <f t="shared" si="22"/>
        <v>372</v>
      </c>
      <c r="B373" s="12">
        <v>678</v>
      </c>
      <c r="C373" s="20" t="s">
        <v>26</v>
      </c>
      <c r="D373" s="18">
        <v>45548</v>
      </c>
      <c r="E373" s="17">
        <v>0.95833333333333337</v>
      </c>
      <c r="F373" s="12" t="s">
        <v>1074</v>
      </c>
      <c r="G373" s="18">
        <v>41700</v>
      </c>
      <c r="H373" s="12" t="str">
        <f t="shared" si="21"/>
        <v>10 г. 6 мес. 11 дн.</v>
      </c>
      <c r="I373" s="12" t="s">
        <v>118</v>
      </c>
      <c r="K373" s="12" t="s">
        <v>139</v>
      </c>
      <c r="L373" s="12" t="s">
        <v>1075</v>
      </c>
      <c r="M373" s="12" t="s">
        <v>43</v>
      </c>
      <c r="N373" s="21"/>
      <c r="O373" s="12" t="s">
        <v>87</v>
      </c>
      <c r="P373" s="21"/>
      <c r="Q373" s="21"/>
      <c r="R373" s="21"/>
      <c r="S373" s="12" t="s">
        <v>29</v>
      </c>
      <c r="T373" s="18">
        <v>45550</v>
      </c>
      <c r="U373" s="17">
        <v>0.60416666666666663</v>
      </c>
      <c r="V373" s="12" t="str">
        <f t="shared" si="20"/>
        <v>0 г. 0 мес. 2 дн.</v>
      </c>
      <c r="W373" s="22"/>
      <c r="X373" s="72"/>
    </row>
    <row r="374" spans="1:24" ht="35.1" customHeight="1" x14ac:dyDescent="0.25">
      <c r="A374" s="12">
        <f t="shared" si="22"/>
        <v>373</v>
      </c>
      <c r="B374" s="12">
        <v>2136</v>
      </c>
      <c r="C374" s="20" t="s">
        <v>77</v>
      </c>
      <c r="D374" s="18">
        <v>45549</v>
      </c>
      <c r="E374" s="17">
        <v>3.472222222222222E-3</v>
      </c>
      <c r="F374" s="12" t="s">
        <v>1076</v>
      </c>
      <c r="G374" s="18">
        <v>39317</v>
      </c>
      <c r="H374" s="12" t="str">
        <f t="shared" si="21"/>
        <v>17 г. 0 мес. 22 дн.</v>
      </c>
      <c r="I374" s="12" t="s">
        <v>119</v>
      </c>
      <c r="J374" s="12" t="s">
        <v>77</v>
      </c>
      <c r="K374" s="12" t="s">
        <v>1077</v>
      </c>
      <c r="L374" s="12" t="s">
        <v>1063</v>
      </c>
      <c r="M374" s="12" t="s">
        <v>49</v>
      </c>
      <c r="N374" s="21"/>
      <c r="O374" s="12" t="s">
        <v>87</v>
      </c>
      <c r="P374" s="21" t="s">
        <v>94</v>
      </c>
      <c r="Q374" s="21" t="s">
        <v>100</v>
      </c>
      <c r="R374" s="21"/>
      <c r="S374" s="12" t="s">
        <v>77</v>
      </c>
      <c r="T374" s="18">
        <v>45553</v>
      </c>
      <c r="U374" s="17">
        <v>0.56874999999999998</v>
      </c>
      <c r="V374" s="12" t="str">
        <f t="shared" si="20"/>
        <v>0 г. 0 мес. 4 дн.</v>
      </c>
      <c r="W374" s="22"/>
      <c r="X374" s="72"/>
    </row>
    <row r="375" spans="1:24" ht="35.1" customHeight="1" x14ac:dyDescent="0.25">
      <c r="A375" s="12">
        <f t="shared" si="22"/>
        <v>374</v>
      </c>
      <c r="B375" s="12">
        <v>1400</v>
      </c>
      <c r="C375" s="20" t="s">
        <v>23</v>
      </c>
      <c r="D375" s="18">
        <v>45549</v>
      </c>
      <c r="E375" s="17">
        <v>0.49305555555555558</v>
      </c>
      <c r="F375" s="12" t="s">
        <v>1125</v>
      </c>
      <c r="G375" s="18">
        <v>40535</v>
      </c>
      <c r="H375" s="12" t="str">
        <f t="shared" si="21"/>
        <v>13 г. 8 мес. 22 дн.</v>
      </c>
      <c r="I375" s="12" t="s">
        <v>118</v>
      </c>
      <c r="K375" s="12" t="s">
        <v>1126</v>
      </c>
      <c r="L375" s="12" t="s">
        <v>1078</v>
      </c>
      <c r="M375" s="12" t="s">
        <v>52</v>
      </c>
      <c r="N375" s="21"/>
      <c r="O375" s="12" t="s">
        <v>73</v>
      </c>
      <c r="P375" s="21"/>
      <c r="Q375" s="21"/>
      <c r="R375" s="21"/>
      <c r="S375" s="12" t="s">
        <v>23</v>
      </c>
      <c r="T375" s="18">
        <v>45551</v>
      </c>
      <c r="U375" s="17">
        <v>0.5</v>
      </c>
      <c r="V375" s="12" t="str">
        <f t="shared" si="20"/>
        <v>0 г. 0 мес. 2 дн.</v>
      </c>
      <c r="W375" s="22"/>
      <c r="X375" s="72"/>
    </row>
    <row r="376" spans="1:24" ht="35.1" customHeight="1" x14ac:dyDescent="0.25">
      <c r="A376" s="12">
        <f t="shared" si="22"/>
        <v>375</v>
      </c>
      <c r="B376" s="56">
        <v>2148</v>
      </c>
      <c r="C376" s="20" t="s">
        <v>77</v>
      </c>
      <c r="D376" s="18">
        <v>45550</v>
      </c>
      <c r="E376" s="17">
        <v>0.5625</v>
      </c>
      <c r="F376" s="12" t="s">
        <v>1079</v>
      </c>
      <c r="G376" s="18">
        <v>45550</v>
      </c>
      <c r="H376" s="12" t="str">
        <f t="shared" si="21"/>
        <v>0 г. 0 мес. 0 дн.</v>
      </c>
      <c r="I376" s="12" t="s">
        <v>118</v>
      </c>
      <c r="K376" s="12" t="s">
        <v>1080</v>
      </c>
      <c r="L376" s="12" t="s">
        <v>1069</v>
      </c>
      <c r="M376" s="12" t="s">
        <v>46</v>
      </c>
      <c r="N376" s="21"/>
      <c r="O376" s="12" t="s">
        <v>88</v>
      </c>
      <c r="P376" s="21"/>
      <c r="Q376" s="21"/>
      <c r="R376" s="21"/>
      <c r="S376" s="12" t="s">
        <v>77</v>
      </c>
      <c r="T376" s="18">
        <v>45551</v>
      </c>
      <c r="U376" s="17">
        <v>0.5</v>
      </c>
      <c r="V376" s="12" t="str">
        <f t="shared" si="20"/>
        <v>0 г. 0 мес. 1 дн.</v>
      </c>
      <c r="W376" s="22"/>
      <c r="X376" s="72"/>
    </row>
    <row r="377" spans="1:24" s="40" customFormat="1" ht="35.1" customHeight="1" x14ac:dyDescent="0.25">
      <c r="A377" s="40">
        <f t="shared" si="22"/>
        <v>376</v>
      </c>
      <c r="B377" s="67">
        <v>765</v>
      </c>
      <c r="C377" s="41" t="s">
        <v>26</v>
      </c>
      <c r="D377" s="38">
        <v>45546</v>
      </c>
      <c r="E377" s="39">
        <v>0.77777777777777779</v>
      </c>
      <c r="F377" s="40" t="s">
        <v>1081</v>
      </c>
      <c r="G377" s="38">
        <v>40410</v>
      </c>
      <c r="H377" s="40" t="str">
        <f t="shared" si="21"/>
        <v>14 г. 0 мес. 22 дн.</v>
      </c>
      <c r="I377" s="40" t="s">
        <v>118</v>
      </c>
      <c r="K377" s="40" t="s">
        <v>1082</v>
      </c>
      <c r="L377" s="40" t="s">
        <v>1083</v>
      </c>
      <c r="M377" s="40" t="s">
        <v>47</v>
      </c>
      <c r="N377" s="62">
        <v>0.25</v>
      </c>
      <c r="O377" s="40" t="s">
        <v>92</v>
      </c>
      <c r="P377" s="62"/>
      <c r="Q377" s="62" t="s">
        <v>100</v>
      </c>
      <c r="R377" s="62"/>
      <c r="S377" s="40" t="s">
        <v>30</v>
      </c>
      <c r="T377" s="38">
        <v>45550</v>
      </c>
      <c r="U377" s="39">
        <v>0.96180555555555547</v>
      </c>
      <c r="V377" s="40" t="str">
        <f t="shared" si="20"/>
        <v>0 г. 0 мес. 4 дн.</v>
      </c>
      <c r="W377" s="42"/>
      <c r="X377" s="74"/>
    </row>
    <row r="378" spans="1:24" ht="35.1" customHeight="1" x14ac:dyDescent="0.25">
      <c r="A378" s="12">
        <f t="shared" si="22"/>
        <v>377</v>
      </c>
      <c r="B378" s="56">
        <v>681</v>
      </c>
      <c r="C378" s="20" t="s">
        <v>26</v>
      </c>
      <c r="D378" s="18">
        <v>45550</v>
      </c>
      <c r="E378" s="17">
        <v>0.88541666666666663</v>
      </c>
      <c r="F378" s="12" t="s">
        <v>1084</v>
      </c>
      <c r="G378" s="18">
        <v>40198</v>
      </c>
      <c r="H378" s="12" t="str">
        <f t="shared" si="21"/>
        <v>14 г. 7 мес. 26 дн.</v>
      </c>
      <c r="I378" s="12" t="s">
        <v>118</v>
      </c>
      <c r="K378" s="12" t="s">
        <v>1085</v>
      </c>
      <c r="L378" s="12" t="s">
        <v>1086</v>
      </c>
      <c r="M378" s="12" t="s">
        <v>55</v>
      </c>
      <c r="N378" s="21"/>
      <c r="O378" s="12" t="s">
        <v>87</v>
      </c>
      <c r="P378" s="21"/>
      <c r="Q378" s="21"/>
      <c r="R378" s="21"/>
      <c r="S378" s="12" t="s">
        <v>26</v>
      </c>
      <c r="T378" s="18">
        <v>45551</v>
      </c>
      <c r="U378" s="17">
        <v>0.5</v>
      </c>
      <c r="V378" s="12" t="str">
        <f t="shared" si="20"/>
        <v>0 г. 0 мес. 1 дн.</v>
      </c>
      <c r="W378" s="22"/>
      <c r="X378" s="72"/>
    </row>
    <row r="379" spans="1:24" ht="35.1" customHeight="1" x14ac:dyDescent="0.25">
      <c r="A379" s="12">
        <f t="shared" si="22"/>
        <v>378</v>
      </c>
      <c r="B379" s="12">
        <v>2149</v>
      </c>
      <c r="C379" s="20" t="s">
        <v>77</v>
      </c>
      <c r="D379" s="18">
        <v>45550</v>
      </c>
      <c r="E379" s="17">
        <v>0.60069444444444442</v>
      </c>
      <c r="F379" s="12" t="s">
        <v>1087</v>
      </c>
      <c r="G379" s="18">
        <v>45100</v>
      </c>
      <c r="H379" s="12" t="str">
        <f t="shared" si="21"/>
        <v>1 г. 2 мес. 23 дн.</v>
      </c>
      <c r="I379" s="12" t="s">
        <v>118</v>
      </c>
      <c r="K379" s="12" t="s">
        <v>1088</v>
      </c>
      <c r="L379" s="12" t="s">
        <v>1089</v>
      </c>
      <c r="M379" s="12" t="s">
        <v>54</v>
      </c>
      <c r="N379" s="21"/>
      <c r="O379" s="12" t="s">
        <v>87</v>
      </c>
      <c r="P379" s="21"/>
      <c r="Q379" s="21"/>
      <c r="R379" s="21"/>
      <c r="S379" s="12" t="s">
        <v>77</v>
      </c>
      <c r="T379" s="18">
        <v>45551</v>
      </c>
      <c r="U379" s="17">
        <v>0.5</v>
      </c>
      <c r="V379" s="12" t="str">
        <f t="shared" si="20"/>
        <v>0 г. 0 мес. 1 дн.</v>
      </c>
      <c r="W379" s="22"/>
      <c r="X379" s="72"/>
    </row>
    <row r="380" spans="1:24" ht="35.1" customHeight="1" x14ac:dyDescent="0.25">
      <c r="A380" s="12">
        <f t="shared" si="22"/>
        <v>379</v>
      </c>
      <c r="B380" s="12">
        <v>683</v>
      </c>
      <c r="C380" s="20" t="s">
        <v>26</v>
      </c>
      <c r="D380" s="18">
        <v>45551</v>
      </c>
      <c r="E380" s="17">
        <v>0.61458333333333337</v>
      </c>
      <c r="F380" s="12" t="s">
        <v>1090</v>
      </c>
      <c r="G380" s="18">
        <v>43278</v>
      </c>
      <c r="H380" s="12" t="str">
        <f t="shared" si="21"/>
        <v>6 г. 2 мес. 20 дн.</v>
      </c>
      <c r="I380" s="12" t="s">
        <v>118</v>
      </c>
      <c r="K380" s="12" t="s">
        <v>1091</v>
      </c>
      <c r="L380" s="12" t="s">
        <v>619</v>
      </c>
      <c r="M380" s="12" t="s">
        <v>43</v>
      </c>
      <c r="N380" s="21"/>
      <c r="O380" s="12" t="s">
        <v>87</v>
      </c>
      <c r="P380" s="21"/>
      <c r="Q380" s="21"/>
      <c r="R380" s="21"/>
      <c r="S380" s="12" t="s">
        <v>26</v>
      </c>
      <c r="T380" s="18">
        <v>45551</v>
      </c>
      <c r="U380" s="17">
        <v>0.5</v>
      </c>
      <c r="V380" s="12" t="str">
        <f t="shared" si="20"/>
        <v>0 г. 0 мес. 0 дн.</v>
      </c>
      <c r="W380" s="22"/>
      <c r="X380" s="72"/>
    </row>
    <row r="381" spans="1:24" ht="35.1" customHeight="1" x14ac:dyDescent="0.25">
      <c r="A381" s="12">
        <f t="shared" si="22"/>
        <v>380</v>
      </c>
      <c r="B381" s="12">
        <v>2057</v>
      </c>
      <c r="C381" s="20" t="s">
        <v>77</v>
      </c>
      <c r="D381" s="18">
        <v>45545</v>
      </c>
      <c r="E381" s="17">
        <v>0.57291666666666663</v>
      </c>
      <c r="F381" s="12" t="s">
        <v>1127</v>
      </c>
      <c r="G381" s="18">
        <v>43966</v>
      </c>
      <c r="H381" s="12" t="str">
        <f t="shared" si="21"/>
        <v>4 г. 3 мес. 26 дн.</v>
      </c>
      <c r="I381" s="12" t="s">
        <v>119</v>
      </c>
      <c r="J381" s="12" t="s">
        <v>77</v>
      </c>
      <c r="K381" s="12" t="s">
        <v>1092</v>
      </c>
      <c r="L381" s="12" t="s">
        <v>1093</v>
      </c>
      <c r="M381" s="12" t="s">
        <v>49</v>
      </c>
      <c r="N381" s="21"/>
      <c r="O381" s="12" t="s">
        <v>73</v>
      </c>
      <c r="P381" s="21"/>
      <c r="Q381" s="21" t="s">
        <v>124</v>
      </c>
      <c r="R381" s="21"/>
      <c r="S381" s="12" t="s">
        <v>77</v>
      </c>
      <c r="T381" s="18">
        <v>45553</v>
      </c>
      <c r="U381" s="17">
        <v>0.47083333333333338</v>
      </c>
      <c r="V381" s="12" t="str">
        <f t="shared" si="20"/>
        <v>0 г. 0 мес. 8 дн.</v>
      </c>
      <c r="W381" s="22" t="s">
        <v>132</v>
      </c>
      <c r="X381" s="72"/>
    </row>
    <row r="382" spans="1:24" ht="35.1" customHeight="1" x14ac:dyDescent="0.25">
      <c r="A382" s="12">
        <f t="shared" si="22"/>
        <v>381</v>
      </c>
      <c r="B382" s="12">
        <v>686</v>
      </c>
      <c r="C382" s="20" t="s">
        <v>27</v>
      </c>
      <c r="D382" s="18">
        <v>45552</v>
      </c>
      <c r="E382" s="17">
        <v>0.96180555555555547</v>
      </c>
      <c r="F382" s="12" t="s">
        <v>1094</v>
      </c>
      <c r="G382" s="18">
        <v>42113</v>
      </c>
      <c r="H382" s="12" t="str">
        <f t="shared" si="21"/>
        <v>9 г. 4 мес. 29 дн.</v>
      </c>
      <c r="I382" s="12" t="s">
        <v>118</v>
      </c>
      <c r="K382" s="12" t="s">
        <v>1095</v>
      </c>
      <c r="L382" s="12" t="s">
        <v>1071</v>
      </c>
      <c r="M382" s="12" t="s">
        <v>48</v>
      </c>
      <c r="N382" s="21"/>
      <c r="O382" s="12" t="s">
        <v>87</v>
      </c>
      <c r="P382" s="21"/>
      <c r="Q382" s="21"/>
      <c r="R382" s="21"/>
      <c r="S382" s="12" t="s">
        <v>27</v>
      </c>
      <c r="T382" s="18">
        <v>45554</v>
      </c>
      <c r="U382" s="17">
        <v>0.66666666666666663</v>
      </c>
      <c r="V382" s="12" t="str">
        <f t="shared" si="20"/>
        <v>0 г. 0 мес. 2 дн.</v>
      </c>
      <c r="W382" s="22"/>
      <c r="X382" s="72"/>
    </row>
    <row r="383" spans="1:24" ht="35.1" customHeight="1" x14ac:dyDescent="0.25">
      <c r="A383" s="12">
        <f t="shared" si="22"/>
        <v>382</v>
      </c>
      <c r="B383" s="12">
        <v>1408</v>
      </c>
      <c r="C383" s="20" t="s">
        <v>23</v>
      </c>
      <c r="D383" s="18">
        <v>45554</v>
      </c>
      <c r="E383" s="17">
        <v>0.48958333333333331</v>
      </c>
      <c r="F383" s="12" t="s">
        <v>1096</v>
      </c>
      <c r="G383" s="18">
        <v>39983</v>
      </c>
      <c r="H383" s="12" t="str">
        <f t="shared" si="21"/>
        <v>15 г. 3 мес. 0 дн.</v>
      </c>
      <c r="I383" s="12" t="s">
        <v>119</v>
      </c>
      <c r="J383" s="12" t="s">
        <v>77</v>
      </c>
      <c r="K383" s="12" t="s">
        <v>1097</v>
      </c>
      <c r="L383" s="12" t="s">
        <v>1106</v>
      </c>
      <c r="M383" s="12" t="s">
        <v>51</v>
      </c>
      <c r="N383" s="21"/>
      <c r="O383" s="12" t="s">
        <v>87</v>
      </c>
      <c r="P383" s="21" t="s">
        <v>94</v>
      </c>
      <c r="Q383" s="21"/>
      <c r="R383" s="21"/>
      <c r="S383" s="12" t="s">
        <v>77</v>
      </c>
      <c r="T383" s="18">
        <v>45557</v>
      </c>
      <c r="U383" s="17">
        <v>0.45833333333333331</v>
      </c>
      <c r="V383" s="12" t="str">
        <f t="shared" si="20"/>
        <v>0 г. 0 мес. 3 дн.</v>
      </c>
      <c r="W383" s="22"/>
      <c r="X383" s="72"/>
    </row>
    <row r="384" spans="1:24" ht="35.1" customHeight="1" x14ac:dyDescent="0.25">
      <c r="A384" s="12">
        <f t="shared" si="22"/>
        <v>383</v>
      </c>
      <c r="B384" s="12">
        <v>2188</v>
      </c>
      <c r="C384" s="20" t="s">
        <v>77</v>
      </c>
      <c r="D384" s="18">
        <v>45554</v>
      </c>
      <c r="E384" s="17">
        <v>0.875</v>
      </c>
      <c r="F384" s="12" t="s">
        <v>1098</v>
      </c>
      <c r="G384" s="18">
        <v>44131</v>
      </c>
      <c r="H384" s="12" t="str">
        <f t="shared" si="21"/>
        <v>3 г. 10 мес. 23 дн.</v>
      </c>
      <c r="I384" s="12" t="s">
        <v>118</v>
      </c>
      <c r="K384" s="12" t="s">
        <v>1099</v>
      </c>
      <c r="L384" s="12" t="s">
        <v>1100</v>
      </c>
      <c r="M384" s="12" t="s">
        <v>54</v>
      </c>
      <c r="N384" s="21"/>
      <c r="O384" s="12" t="s">
        <v>87</v>
      </c>
      <c r="P384" s="21"/>
      <c r="Q384" s="21"/>
      <c r="R384" s="21"/>
      <c r="S384" s="12" t="s">
        <v>77</v>
      </c>
      <c r="T384" s="18">
        <v>45555</v>
      </c>
      <c r="U384" s="17">
        <v>0.69513888888888886</v>
      </c>
      <c r="V384" s="12" t="str">
        <f t="shared" si="20"/>
        <v>0 г. 0 мес. 1 дн.</v>
      </c>
      <c r="W384" s="22"/>
      <c r="X384" s="72"/>
    </row>
    <row r="385" spans="1:24" ht="35.1" customHeight="1" x14ac:dyDescent="0.25">
      <c r="A385" s="12">
        <f t="shared" ref="A385:A448" si="23">ROW(A384)</f>
        <v>384</v>
      </c>
      <c r="B385" s="12">
        <v>2155</v>
      </c>
      <c r="C385" s="20" t="s">
        <v>77</v>
      </c>
      <c r="D385" s="18">
        <v>45555</v>
      </c>
      <c r="E385" s="17">
        <v>0.46875</v>
      </c>
      <c r="F385" s="12" t="s">
        <v>1101</v>
      </c>
      <c r="G385" s="18">
        <v>39346</v>
      </c>
      <c r="H385" s="12" t="str">
        <f t="shared" si="21"/>
        <v>16 г. 11 мес. 30 дн.</v>
      </c>
      <c r="I385" s="12" t="s">
        <v>119</v>
      </c>
      <c r="J385" s="12" t="s">
        <v>77</v>
      </c>
      <c r="K385" s="12" t="s">
        <v>1102</v>
      </c>
      <c r="L385" s="12" t="s">
        <v>1103</v>
      </c>
      <c r="M385" s="12" t="s">
        <v>51</v>
      </c>
      <c r="N385" s="21"/>
      <c r="O385" s="12" t="s">
        <v>87</v>
      </c>
      <c r="P385" s="21"/>
      <c r="Q385" s="21" t="s">
        <v>100</v>
      </c>
      <c r="R385" s="21"/>
      <c r="S385" s="12" t="s">
        <v>77</v>
      </c>
      <c r="T385" s="18">
        <v>45555</v>
      </c>
      <c r="U385" s="17">
        <v>0.69513888888888886</v>
      </c>
      <c r="V385" s="12" t="str">
        <f t="shared" si="20"/>
        <v>0 г. 0 мес. 0 дн.</v>
      </c>
      <c r="W385" s="22"/>
      <c r="X385" s="72"/>
    </row>
    <row r="386" spans="1:24" ht="35.1" customHeight="1" x14ac:dyDescent="0.25">
      <c r="A386" s="12">
        <f t="shared" si="23"/>
        <v>385</v>
      </c>
      <c r="B386" s="12">
        <v>694</v>
      </c>
      <c r="C386" s="20" t="s">
        <v>23</v>
      </c>
      <c r="D386" s="18">
        <v>45555</v>
      </c>
      <c r="E386" s="17">
        <v>0.72916666666666663</v>
      </c>
      <c r="F386" s="12" t="s">
        <v>1104</v>
      </c>
      <c r="G386" s="18">
        <v>39729</v>
      </c>
      <c r="H386" s="12" t="str">
        <f t="shared" si="21"/>
        <v>15 г. 11 мес. 12 дн.</v>
      </c>
      <c r="I386" s="12" t="s">
        <v>118</v>
      </c>
      <c r="K386" s="12" t="s">
        <v>1105</v>
      </c>
      <c r="L386" s="12" t="s">
        <v>144</v>
      </c>
      <c r="M386" s="12" t="s">
        <v>55</v>
      </c>
      <c r="N386" s="21"/>
      <c r="O386" s="12" t="s">
        <v>87</v>
      </c>
      <c r="P386" s="21"/>
      <c r="Q386" s="21"/>
      <c r="R386" s="21"/>
      <c r="S386" s="12" t="s">
        <v>26</v>
      </c>
      <c r="T386" s="18">
        <v>45556</v>
      </c>
      <c r="U386" s="17">
        <v>0.45833333333333331</v>
      </c>
      <c r="V386" s="12" t="str">
        <f t="shared" ref="V386:V407" si="24">DATEDIF(D386,T386,"y") &amp; " г. " &amp; DATEDIF(D386,T386,"ym") &amp; " мес. " &amp; DATEDIF(D386,T386,"md") &amp; " дн."</f>
        <v>0 г. 0 мес. 1 дн.</v>
      </c>
      <c r="W386" s="22"/>
      <c r="X386" s="72"/>
    </row>
    <row r="387" spans="1:24" ht="35.1" customHeight="1" x14ac:dyDescent="0.25">
      <c r="A387" s="12">
        <f t="shared" si="23"/>
        <v>386</v>
      </c>
      <c r="B387" s="12">
        <v>699</v>
      </c>
      <c r="C387" s="20" t="s">
        <v>80</v>
      </c>
      <c r="D387" s="18">
        <v>45540</v>
      </c>
      <c r="E387" s="17">
        <v>1.1111111111111112E-2</v>
      </c>
      <c r="F387" s="12" t="s">
        <v>1107</v>
      </c>
      <c r="G387" s="18">
        <v>39830</v>
      </c>
      <c r="H387" s="12" t="str">
        <f t="shared" si="21"/>
        <v>15 г. 7 мес. 19 дн.</v>
      </c>
      <c r="I387" s="12" t="s">
        <v>118</v>
      </c>
      <c r="K387" s="12" t="s">
        <v>1108</v>
      </c>
      <c r="L387" s="12" t="s">
        <v>843</v>
      </c>
      <c r="M387" s="12" t="s">
        <v>48</v>
      </c>
      <c r="N387" s="21">
        <v>210</v>
      </c>
      <c r="O387" s="12" t="s">
        <v>87</v>
      </c>
      <c r="P387" s="21"/>
      <c r="Q387" s="21"/>
      <c r="R387" s="21"/>
      <c r="S387" s="12" t="s">
        <v>80</v>
      </c>
      <c r="T387" s="18">
        <v>45549</v>
      </c>
      <c r="U387" s="17">
        <v>0.57638888888888895</v>
      </c>
      <c r="V387" s="12" t="str">
        <f t="shared" si="24"/>
        <v>0 г. 0 мес. 9 дн.</v>
      </c>
      <c r="W387" s="22"/>
      <c r="X387" s="72"/>
    </row>
    <row r="388" spans="1:24" ht="35.1" customHeight="1" x14ac:dyDescent="0.25">
      <c r="A388" s="12">
        <f t="shared" si="23"/>
        <v>387</v>
      </c>
      <c r="B388" s="12">
        <v>1915</v>
      </c>
      <c r="C388" s="20" t="s">
        <v>77</v>
      </c>
      <c r="D388" s="18">
        <v>45539</v>
      </c>
      <c r="E388" s="17">
        <v>0.51041666666666663</v>
      </c>
      <c r="F388" s="12" t="s">
        <v>988</v>
      </c>
      <c r="G388" s="18">
        <v>41142</v>
      </c>
      <c r="H388" s="12" t="str">
        <f t="shared" si="21"/>
        <v>12 г. 0 мес. 14 дн.</v>
      </c>
      <c r="I388" s="12" t="s">
        <v>119</v>
      </c>
      <c r="J388" s="12" t="s">
        <v>77</v>
      </c>
      <c r="K388" s="12" t="s">
        <v>1109</v>
      </c>
      <c r="L388" s="12" t="s">
        <v>1110</v>
      </c>
      <c r="M388" s="12" t="s">
        <v>40</v>
      </c>
      <c r="N388" s="21"/>
      <c r="O388" s="12" t="s">
        <v>87</v>
      </c>
      <c r="P388" s="21"/>
      <c r="Q388" s="21"/>
      <c r="R388" s="21"/>
      <c r="S388" s="12" t="s">
        <v>77</v>
      </c>
      <c r="T388" s="18">
        <v>45540</v>
      </c>
      <c r="U388" s="17">
        <v>0.49027777777777781</v>
      </c>
      <c r="V388" s="12" t="str">
        <f t="shared" si="24"/>
        <v>0 г. 0 мес. 1 дн.</v>
      </c>
      <c r="W388" s="22"/>
      <c r="X388" s="72"/>
    </row>
    <row r="389" spans="1:24" ht="35.1" customHeight="1" x14ac:dyDescent="0.25">
      <c r="A389" s="12">
        <f t="shared" si="23"/>
        <v>388</v>
      </c>
      <c r="B389" s="12">
        <v>1309</v>
      </c>
      <c r="C389" s="20" t="s">
        <v>23</v>
      </c>
      <c r="D389" s="18">
        <v>45543</v>
      </c>
      <c r="E389" s="17">
        <v>0.80555555555555547</v>
      </c>
      <c r="F389" s="12" t="s">
        <v>1111</v>
      </c>
      <c r="G389" s="18">
        <v>42851</v>
      </c>
      <c r="H389" s="12" t="str">
        <f t="shared" si="21"/>
        <v>7 г. 4 мес. 13 дн.</v>
      </c>
      <c r="I389" s="12" t="s">
        <v>118</v>
      </c>
      <c r="K389" s="12" t="s">
        <v>1112</v>
      </c>
      <c r="L389" s="12" t="s">
        <v>1113</v>
      </c>
      <c r="M389" s="12" t="s">
        <v>52</v>
      </c>
      <c r="N389" s="21"/>
      <c r="O389" s="12" t="s">
        <v>87</v>
      </c>
      <c r="P389" s="21"/>
      <c r="Q389" s="21"/>
      <c r="R389" s="21"/>
      <c r="S389" s="12" t="s">
        <v>23</v>
      </c>
      <c r="T389" s="18">
        <v>45544</v>
      </c>
      <c r="U389" s="17">
        <v>0.41666666666666669</v>
      </c>
      <c r="V389" s="12" t="str">
        <f t="shared" si="24"/>
        <v>0 г. 0 мес. 1 дн.</v>
      </c>
      <c r="W389" s="22"/>
      <c r="X389" s="72"/>
    </row>
    <row r="390" spans="1:24" ht="35.1" customHeight="1" x14ac:dyDescent="0.25">
      <c r="A390" s="12">
        <f t="shared" si="23"/>
        <v>389</v>
      </c>
      <c r="B390" s="12">
        <v>2070</v>
      </c>
      <c r="C390" s="20" t="s">
        <v>77</v>
      </c>
      <c r="D390" s="18">
        <v>45540</v>
      </c>
      <c r="E390" s="17">
        <v>0.73402777777777783</v>
      </c>
      <c r="F390" s="12" t="s">
        <v>1114</v>
      </c>
      <c r="G390" s="18">
        <v>44162</v>
      </c>
      <c r="H390" s="12" t="str">
        <f t="shared" ref="H390:H453" si="25">DATEDIF(G390,D390,"y") &amp; " г. " &amp; DATEDIF(G390,D390,"ym") &amp; " мес. " &amp; DATEDIF(G390,D390,"md") &amp; " дн."</f>
        <v>3 г. 9 мес. 9 дн.</v>
      </c>
      <c r="I390" s="12" t="s">
        <v>119</v>
      </c>
      <c r="J390" s="12" t="s">
        <v>77</v>
      </c>
      <c r="K390" s="12" t="s">
        <v>1115</v>
      </c>
      <c r="L390" s="12" t="s">
        <v>1116</v>
      </c>
      <c r="M390" s="12" t="s">
        <v>52</v>
      </c>
      <c r="N390" s="21"/>
      <c r="O390" s="12" t="s">
        <v>87</v>
      </c>
      <c r="P390" s="21"/>
      <c r="Q390" s="21"/>
      <c r="R390" s="21"/>
      <c r="S390" s="12" t="s">
        <v>77</v>
      </c>
      <c r="T390" s="18">
        <v>45541</v>
      </c>
      <c r="U390" s="17">
        <v>0.52013888888888882</v>
      </c>
      <c r="V390" s="12" t="str">
        <f t="shared" si="24"/>
        <v>0 г. 0 мес. 1 дн.</v>
      </c>
      <c r="W390" s="22"/>
      <c r="X390" s="72"/>
    </row>
    <row r="391" spans="1:24" ht="35.1" customHeight="1" x14ac:dyDescent="0.25">
      <c r="A391" s="12">
        <f t="shared" si="23"/>
        <v>390</v>
      </c>
      <c r="B391" s="12">
        <v>695</v>
      </c>
      <c r="C391" s="20" t="s">
        <v>80</v>
      </c>
      <c r="D391" s="18">
        <v>45544</v>
      </c>
      <c r="E391" s="17">
        <v>0.50624999999999998</v>
      </c>
      <c r="F391" s="12" t="s">
        <v>138</v>
      </c>
      <c r="G391" s="18">
        <v>45024</v>
      </c>
      <c r="H391" s="12" t="str">
        <f t="shared" si="25"/>
        <v>1 г. 5 мес. 1 дн.</v>
      </c>
      <c r="I391" s="12" t="s">
        <v>120</v>
      </c>
      <c r="J391" s="12" t="s">
        <v>80</v>
      </c>
      <c r="K391" s="12" t="s">
        <v>268</v>
      </c>
      <c r="L391" s="12" t="s">
        <v>843</v>
      </c>
      <c r="M391" s="12" t="s">
        <v>48</v>
      </c>
      <c r="N391" s="21"/>
      <c r="O391" s="12" t="s">
        <v>87</v>
      </c>
      <c r="P391" s="21"/>
      <c r="Q391" s="21"/>
      <c r="R391" s="21"/>
      <c r="S391" s="20" t="s">
        <v>80</v>
      </c>
      <c r="T391" s="18">
        <v>45545</v>
      </c>
      <c r="U391" s="17">
        <v>0.52916666666666667</v>
      </c>
      <c r="V391" s="12" t="str">
        <f t="shared" si="24"/>
        <v>0 г. 0 мес. 1 дн.</v>
      </c>
      <c r="W391" s="22"/>
      <c r="X391" s="72"/>
    </row>
    <row r="392" spans="1:24" ht="35.1" customHeight="1" x14ac:dyDescent="0.25">
      <c r="A392" s="12">
        <f t="shared" si="23"/>
        <v>391</v>
      </c>
      <c r="B392" s="12">
        <v>2104</v>
      </c>
      <c r="C392" s="20" t="s">
        <v>77</v>
      </c>
      <c r="D392" s="18">
        <v>45545</v>
      </c>
      <c r="E392" s="17">
        <v>0.33333333333333331</v>
      </c>
      <c r="F392" s="12" t="s">
        <v>1026</v>
      </c>
      <c r="G392" s="18">
        <v>45498</v>
      </c>
      <c r="H392" s="12" t="str">
        <f t="shared" si="25"/>
        <v>0 г. 1 мес. 16 дн.</v>
      </c>
      <c r="I392" s="12" t="s">
        <v>120</v>
      </c>
      <c r="J392" s="12" t="s">
        <v>77</v>
      </c>
      <c r="K392" s="12" t="s">
        <v>1027</v>
      </c>
      <c r="L392" s="12" t="s">
        <v>1122</v>
      </c>
      <c r="M392" s="12" t="s">
        <v>56</v>
      </c>
      <c r="N392" s="21"/>
      <c r="O392" s="12" t="s">
        <v>87</v>
      </c>
      <c r="P392" s="21"/>
      <c r="Q392" s="21"/>
      <c r="R392" s="21"/>
      <c r="S392" s="20" t="s">
        <v>77</v>
      </c>
      <c r="T392" s="18">
        <v>45547</v>
      </c>
      <c r="U392" s="17">
        <v>0.44305555555555554</v>
      </c>
      <c r="V392" s="12" t="str">
        <f t="shared" si="24"/>
        <v>0 г. 0 мес. 2 дн.</v>
      </c>
      <c r="W392" s="22"/>
      <c r="X392" s="72"/>
    </row>
    <row r="393" spans="1:24" ht="35.1" customHeight="1" x14ac:dyDescent="0.25">
      <c r="A393" s="12">
        <f t="shared" si="23"/>
        <v>392</v>
      </c>
      <c r="B393" s="12">
        <v>682</v>
      </c>
      <c r="C393" s="20" t="s">
        <v>26</v>
      </c>
      <c r="D393" s="18">
        <v>45544</v>
      </c>
      <c r="E393" s="17">
        <v>0.57638888888888895</v>
      </c>
      <c r="F393" s="12" t="s">
        <v>1124</v>
      </c>
      <c r="G393" s="18">
        <v>39687</v>
      </c>
      <c r="H393" s="12" t="str">
        <f t="shared" si="25"/>
        <v>16 г. 0 мес. 13 дн.</v>
      </c>
      <c r="I393" s="12" t="s">
        <v>118</v>
      </c>
      <c r="K393" s="12" t="s">
        <v>1123</v>
      </c>
      <c r="L393" s="12" t="s">
        <v>373</v>
      </c>
      <c r="M393" s="12" t="s">
        <v>43</v>
      </c>
      <c r="N393" s="21"/>
      <c r="O393" s="12" t="s">
        <v>87</v>
      </c>
      <c r="P393" s="21"/>
      <c r="Q393" s="21"/>
      <c r="R393" s="21"/>
      <c r="S393" s="12" t="s">
        <v>29</v>
      </c>
      <c r="T393" s="18">
        <v>45545</v>
      </c>
      <c r="U393" s="17">
        <v>0.5</v>
      </c>
      <c r="V393" s="12" t="str">
        <f t="shared" si="24"/>
        <v>0 г. 0 мес. 1 дн.</v>
      </c>
      <c r="W393" s="22"/>
      <c r="X393" s="72"/>
    </row>
    <row r="394" spans="1:24" ht="35.1" customHeight="1" x14ac:dyDescent="0.25">
      <c r="A394" s="12">
        <f t="shared" si="23"/>
        <v>393</v>
      </c>
      <c r="B394" s="12">
        <v>656</v>
      </c>
      <c r="C394" s="20" t="s">
        <v>26</v>
      </c>
      <c r="D394" s="18">
        <v>45534</v>
      </c>
      <c r="E394" s="17">
        <v>0.69861111111111107</v>
      </c>
      <c r="F394" s="12" t="s">
        <v>1128</v>
      </c>
      <c r="G394" s="18">
        <v>45128</v>
      </c>
      <c r="H394" s="12" t="str">
        <f t="shared" si="25"/>
        <v>1 г. 1 мес. 9 дн.</v>
      </c>
      <c r="I394" s="12" t="s">
        <v>118</v>
      </c>
      <c r="K394" s="60" t="s">
        <v>1130</v>
      </c>
      <c r="L394" s="12" t="s">
        <v>1129</v>
      </c>
      <c r="M394" s="12" t="s">
        <v>55</v>
      </c>
      <c r="N394" s="21"/>
      <c r="O394" s="12" t="s">
        <v>87</v>
      </c>
      <c r="P394" s="21"/>
      <c r="Q394" s="21"/>
      <c r="R394" s="21"/>
      <c r="S394" s="12" t="s">
        <v>26</v>
      </c>
      <c r="T394" s="18">
        <v>45535</v>
      </c>
      <c r="U394" s="17">
        <v>0.47222222222222227</v>
      </c>
      <c r="V394" s="12" t="str">
        <f t="shared" si="24"/>
        <v>0 г. 0 мес. 1 дн.</v>
      </c>
      <c r="W394" s="22"/>
      <c r="X394" s="72"/>
    </row>
    <row r="395" spans="1:24" ht="35.1" customHeight="1" x14ac:dyDescent="0.25">
      <c r="A395" s="12">
        <f t="shared" si="23"/>
        <v>394</v>
      </c>
      <c r="B395" s="12">
        <v>1104</v>
      </c>
      <c r="C395" s="20" t="s">
        <v>27</v>
      </c>
      <c r="D395" s="18">
        <v>45556</v>
      </c>
      <c r="E395" s="17">
        <v>3.472222222222222E-3</v>
      </c>
      <c r="F395" s="12" t="s">
        <v>600</v>
      </c>
      <c r="G395" s="18">
        <v>45376</v>
      </c>
      <c r="H395" s="12" t="str">
        <f t="shared" si="25"/>
        <v>0 г. 5 мес. 27 дн.</v>
      </c>
      <c r="I395" s="12" t="s">
        <v>123</v>
      </c>
      <c r="J395" s="12" t="s">
        <v>28</v>
      </c>
      <c r="K395" s="12" t="s">
        <v>601</v>
      </c>
      <c r="L395" s="12" t="s">
        <v>1134</v>
      </c>
      <c r="M395" s="12" t="s">
        <v>48</v>
      </c>
      <c r="N395" s="21">
        <v>275</v>
      </c>
      <c r="O395" s="12" t="s">
        <v>73</v>
      </c>
      <c r="P395" s="21"/>
      <c r="Q395" s="21" t="s">
        <v>102</v>
      </c>
      <c r="R395" s="21"/>
      <c r="S395" s="12" t="s">
        <v>31</v>
      </c>
      <c r="T395" s="18">
        <v>45567</v>
      </c>
      <c r="U395" s="17">
        <v>0.53819444444444442</v>
      </c>
      <c r="V395" s="12" t="str">
        <f t="shared" si="24"/>
        <v>0 г. 0 мес. 11 дн.</v>
      </c>
      <c r="W395" s="22"/>
      <c r="X395" s="72"/>
    </row>
    <row r="396" spans="1:24" ht="35.1" customHeight="1" x14ac:dyDescent="0.25">
      <c r="A396" s="12">
        <f t="shared" si="23"/>
        <v>395</v>
      </c>
      <c r="B396" s="12">
        <v>657</v>
      </c>
      <c r="C396" s="20" t="s">
        <v>80</v>
      </c>
      <c r="D396" s="18">
        <v>45534</v>
      </c>
      <c r="E396" s="17">
        <v>0.93958333333333333</v>
      </c>
      <c r="F396" s="12" t="s">
        <v>1131</v>
      </c>
      <c r="G396" s="18">
        <v>43654</v>
      </c>
      <c r="H396" s="12" t="str">
        <f t="shared" si="25"/>
        <v>5 г. 1 мес. 22 дн.</v>
      </c>
      <c r="I396" s="12" t="s">
        <v>118</v>
      </c>
      <c r="K396" s="12" t="s">
        <v>1132</v>
      </c>
      <c r="L396" s="12" t="s">
        <v>1133</v>
      </c>
      <c r="M396" s="12" t="s">
        <v>56</v>
      </c>
      <c r="N396" s="21"/>
      <c r="O396" s="12" t="s">
        <v>87</v>
      </c>
      <c r="P396" s="21"/>
      <c r="Q396" s="21"/>
      <c r="R396" s="21"/>
      <c r="S396" s="12" t="s">
        <v>31</v>
      </c>
      <c r="T396" s="18">
        <v>45540</v>
      </c>
      <c r="U396" s="17">
        <v>0.66319444444444442</v>
      </c>
      <c r="V396" s="12" t="str">
        <f t="shared" si="24"/>
        <v>0 г. 0 мес. 6 дн.</v>
      </c>
      <c r="W396" s="22"/>
      <c r="X396" s="72"/>
    </row>
    <row r="397" spans="1:24" ht="35.1" customHeight="1" x14ac:dyDescent="0.25">
      <c r="A397" s="12">
        <f t="shared" si="23"/>
        <v>396</v>
      </c>
      <c r="B397" s="12">
        <v>699</v>
      </c>
      <c r="C397" s="20" t="s">
        <v>80</v>
      </c>
      <c r="D397" s="18">
        <v>45556</v>
      </c>
      <c r="E397" s="17">
        <v>0.68888888888888899</v>
      </c>
      <c r="F397" s="12" t="s">
        <v>1107</v>
      </c>
      <c r="G397" s="18">
        <v>39830</v>
      </c>
      <c r="H397" s="12" t="str">
        <f t="shared" si="25"/>
        <v>15 г. 8 мес. 4 дн.</v>
      </c>
      <c r="I397" s="12" t="s">
        <v>118</v>
      </c>
      <c r="K397" s="12" t="s">
        <v>1108</v>
      </c>
      <c r="L397" s="12" t="s">
        <v>1135</v>
      </c>
      <c r="M397" s="12" t="s">
        <v>48</v>
      </c>
      <c r="N397" s="21">
        <v>200</v>
      </c>
      <c r="O397" s="12" t="s">
        <v>87</v>
      </c>
      <c r="P397" s="21"/>
      <c r="Q397" s="21"/>
      <c r="R397" s="21"/>
      <c r="S397" s="12" t="s">
        <v>31</v>
      </c>
      <c r="T397" s="18">
        <v>45567</v>
      </c>
      <c r="U397" s="17">
        <v>0.42708333333333331</v>
      </c>
      <c r="V397" s="12" t="str">
        <f t="shared" si="24"/>
        <v>0 г. 0 мес. 11 дн.</v>
      </c>
      <c r="W397" s="22"/>
      <c r="X397" s="72"/>
    </row>
    <row r="398" spans="1:24" ht="35.1" customHeight="1" x14ac:dyDescent="0.25">
      <c r="A398" s="12">
        <f t="shared" si="23"/>
        <v>397</v>
      </c>
      <c r="B398" s="21">
        <v>2057</v>
      </c>
      <c r="C398" s="20" t="s">
        <v>77</v>
      </c>
      <c r="D398" s="18">
        <v>45554</v>
      </c>
      <c r="E398" s="17">
        <v>0.5625</v>
      </c>
      <c r="F398" s="12" t="s">
        <v>1127</v>
      </c>
      <c r="G398" s="18">
        <v>43966</v>
      </c>
      <c r="H398" s="12" t="str">
        <f t="shared" si="25"/>
        <v>4 г. 4 мес. 4 дн.</v>
      </c>
      <c r="I398" s="12" t="s">
        <v>123</v>
      </c>
      <c r="J398" s="12" t="s">
        <v>77</v>
      </c>
      <c r="K398" s="12" t="s">
        <v>1092</v>
      </c>
      <c r="L398" s="12" t="s">
        <v>1093</v>
      </c>
      <c r="M398" s="12" t="s">
        <v>49</v>
      </c>
      <c r="N398" s="21"/>
      <c r="O398" s="12" t="s">
        <v>73</v>
      </c>
      <c r="P398" s="21"/>
      <c r="Q398" s="21" t="s">
        <v>124</v>
      </c>
      <c r="R398" s="21"/>
      <c r="S398" s="12" t="s">
        <v>77</v>
      </c>
      <c r="T398" s="18">
        <v>45558</v>
      </c>
      <c r="U398" s="17">
        <v>0.5</v>
      </c>
      <c r="V398" s="12" t="str">
        <f t="shared" si="24"/>
        <v>0 г. 0 мес. 4 дн.</v>
      </c>
      <c r="W398" s="22"/>
      <c r="X398" s="72"/>
    </row>
    <row r="399" spans="1:24" ht="35.1" customHeight="1" x14ac:dyDescent="0.25">
      <c r="A399" s="12">
        <f t="shared" si="23"/>
        <v>398</v>
      </c>
      <c r="B399" s="12">
        <v>1431</v>
      </c>
      <c r="C399" s="20" t="s">
        <v>23</v>
      </c>
      <c r="D399" s="18">
        <v>45555</v>
      </c>
      <c r="E399" s="17">
        <v>0.96458333333333324</v>
      </c>
      <c r="F399" s="12" t="s">
        <v>1136</v>
      </c>
      <c r="G399" s="18">
        <v>41250</v>
      </c>
      <c r="H399" s="12" t="str">
        <f t="shared" si="25"/>
        <v>11 г. 9 мес. 13 дн.</v>
      </c>
      <c r="I399" s="12" t="s">
        <v>119</v>
      </c>
      <c r="J399" s="12" t="s">
        <v>23</v>
      </c>
      <c r="K399" s="12" t="s">
        <v>1137</v>
      </c>
      <c r="L399" s="12" t="s">
        <v>1138</v>
      </c>
      <c r="M399" s="12" t="s">
        <v>52</v>
      </c>
      <c r="N399" s="21"/>
      <c r="O399" s="12" t="s">
        <v>87</v>
      </c>
      <c r="P399" s="21" t="s">
        <v>94</v>
      </c>
      <c r="Q399" s="21"/>
      <c r="R399" s="21"/>
      <c r="S399" s="12" t="s">
        <v>23</v>
      </c>
      <c r="T399" s="18">
        <v>45561</v>
      </c>
      <c r="U399" s="17">
        <v>0.4993055555555555</v>
      </c>
      <c r="V399" s="12" t="str">
        <f t="shared" si="24"/>
        <v>0 г. 0 мес. 6 дн.</v>
      </c>
      <c r="W399" s="22"/>
      <c r="X399" s="72"/>
    </row>
    <row r="400" spans="1:24" ht="35.1" customHeight="1" x14ac:dyDescent="0.25">
      <c r="A400" s="12">
        <f t="shared" si="23"/>
        <v>399</v>
      </c>
      <c r="B400" s="12">
        <v>706</v>
      </c>
      <c r="C400" s="20" t="s">
        <v>26</v>
      </c>
      <c r="D400" s="18">
        <v>45558</v>
      </c>
      <c r="E400" s="17">
        <v>0.63541666666666663</v>
      </c>
      <c r="F400" s="12" t="s">
        <v>1139</v>
      </c>
      <c r="G400" s="18">
        <v>45293</v>
      </c>
      <c r="H400" s="12" t="str">
        <f t="shared" si="25"/>
        <v>0 г. 8 мес. 21 дн.</v>
      </c>
      <c r="I400" s="12" t="s">
        <v>118</v>
      </c>
      <c r="K400" s="12" t="s">
        <v>1140</v>
      </c>
      <c r="L400" s="12" t="s">
        <v>1141</v>
      </c>
      <c r="M400" s="12" t="s">
        <v>55</v>
      </c>
      <c r="N400" s="21"/>
      <c r="O400" s="12" t="s">
        <v>87</v>
      </c>
      <c r="P400" s="21"/>
      <c r="Q400" s="21"/>
      <c r="R400" s="21"/>
      <c r="S400" s="12" t="s">
        <v>26</v>
      </c>
      <c r="T400" s="18">
        <v>45559</v>
      </c>
      <c r="U400" s="17">
        <v>0.5</v>
      </c>
      <c r="V400" s="12" t="str">
        <f t="shared" si="24"/>
        <v>0 г. 0 мес. 1 дн.</v>
      </c>
      <c r="W400" s="22"/>
      <c r="X400" s="72"/>
    </row>
    <row r="401" spans="1:24" ht="35.1" customHeight="1" x14ac:dyDescent="0.25">
      <c r="A401" s="12">
        <f t="shared" si="23"/>
        <v>400</v>
      </c>
      <c r="B401" s="12">
        <v>1417</v>
      </c>
      <c r="C401" s="20" t="s">
        <v>23</v>
      </c>
      <c r="D401" s="18">
        <v>45559</v>
      </c>
      <c r="E401" s="17">
        <v>0.54513888888888895</v>
      </c>
      <c r="F401" s="12" t="s">
        <v>1146</v>
      </c>
      <c r="G401" s="18">
        <v>39953</v>
      </c>
      <c r="H401" s="12" t="str">
        <f t="shared" si="25"/>
        <v>15 г. 4 мес. 4 дн.</v>
      </c>
      <c r="I401" s="12" t="s">
        <v>119</v>
      </c>
      <c r="J401" s="12" t="s">
        <v>23</v>
      </c>
      <c r="K401" s="12" t="s">
        <v>1142</v>
      </c>
      <c r="L401" s="12" t="s">
        <v>1144</v>
      </c>
      <c r="M401" s="12" t="s">
        <v>51</v>
      </c>
      <c r="N401" s="21"/>
      <c r="O401" s="12" t="s">
        <v>87</v>
      </c>
      <c r="P401" s="21" t="s">
        <v>94</v>
      </c>
      <c r="Q401" s="21"/>
      <c r="R401" s="21"/>
      <c r="S401" s="12" t="s">
        <v>77</v>
      </c>
      <c r="T401" s="18">
        <v>45562</v>
      </c>
      <c r="U401" s="17">
        <v>0.63888888888888895</v>
      </c>
      <c r="V401" s="12" t="str">
        <f t="shared" si="24"/>
        <v>0 г. 0 мес. 3 дн.</v>
      </c>
      <c r="W401" s="22"/>
      <c r="X401" s="72"/>
    </row>
    <row r="402" spans="1:24" ht="35.1" customHeight="1" x14ac:dyDescent="0.25">
      <c r="A402" s="12">
        <f t="shared" si="23"/>
        <v>401</v>
      </c>
      <c r="B402" s="12">
        <v>708</v>
      </c>
      <c r="C402" s="20" t="s">
        <v>26</v>
      </c>
      <c r="D402" s="18">
        <v>45559</v>
      </c>
      <c r="E402" s="17">
        <v>0.53472222222222221</v>
      </c>
      <c r="F402" s="12" t="s">
        <v>857</v>
      </c>
      <c r="G402" s="18">
        <v>43603</v>
      </c>
      <c r="H402" s="12" t="str">
        <f t="shared" si="25"/>
        <v>5 г. 4 мес. 6 дн.</v>
      </c>
      <c r="I402" s="12" t="s">
        <v>118</v>
      </c>
      <c r="K402" s="12" t="s">
        <v>1143</v>
      </c>
      <c r="L402" s="12" t="s">
        <v>1145</v>
      </c>
      <c r="M402" s="12" t="s">
        <v>40</v>
      </c>
      <c r="N402" s="21"/>
      <c r="O402" s="12" t="s">
        <v>73</v>
      </c>
      <c r="P402" s="21"/>
      <c r="Q402" s="21" t="s">
        <v>101</v>
      </c>
      <c r="R402" s="21"/>
      <c r="S402" s="12" t="s">
        <v>29</v>
      </c>
      <c r="T402" s="18">
        <v>45565</v>
      </c>
      <c r="U402" s="17">
        <v>0.99652777777777779</v>
      </c>
      <c r="V402" s="12" t="str">
        <f t="shared" si="24"/>
        <v>0 г. 0 мес. 6 дн.</v>
      </c>
      <c r="W402" s="22"/>
      <c r="X402" s="72"/>
    </row>
    <row r="403" spans="1:24" ht="35.1" customHeight="1" x14ac:dyDescent="0.25">
      <c r="A403" s="12">
        <f t="shared" si="23"/>
        <v>402</v>
      </c>
      <c r="B403" s="12">
        <v>2226</v>
      </c>
      <c r="C403" s="20" t="s">
        <v>77</v>
      </c>
      <c r="D403" s="18">
        <v>45559</v>
      </c>
      <c r="E403" s="17">
        <v>0.76666666666666661</v>
      </c>
      <c r="F403" s="12" t="s">
        <v>1147</v>
      </c>
      <c r="G403" s="18">
        <v>39325</v>
      </c>
      <c r="H403" s="12" t="str">
        <f t="shared" si="25"/>
        <v>17 г. 0 мес. 24 дн.</v>
      </c>
      <c r="I403" s="12" t="s">
        <v>118</v>
      </c>
      <c r="K403" s="12" t="s">
        <v>1148</v>
      </c>
      <c r="L403" s="12" t="s">
        <v>1149</v>
      </c>
      <c r="M403" s="12" t="s">
        <v>52</v>
      </c>
      <c r="N403" s="21"/>
      <c r="O403" s="12" t="s">
        <v>87</v>
      </c>
      <c r="P403" s="21"/>
      <c r="Q403" s="21"/>
      <c r="R403" s="21"/>
      <c r="S403" s="12" t="s">
        <v>77</v>
      </c>
      <c r="T403" s="18">
        <v>45560</v>
      </c>
      <c r="U403" s="17">
        <v>0.43055555555555558</v>
      </c>
      <c r="V403" s="12" t="str">
        <f t="shared" si="24"/>
        <v>0 г. 0 мес. 1 дн.</v>
      </c>
      <c r="W403" s="22"/>
      <c r="X403" s="72"/>
    </row>
    <row r="404" spans="1:24" ht="35.1" customHeight="1" x14ac:dyDescent="0.25">
      <c r="A404" s="12">
        <f t="shared" si="23"/>
        <v>403</v>
      </c>
      <c r="B404" s="12">
        <v>724</v>
      </c>
      <c r="C404" s="20" t="s">
        <v>26</v>
      </c>
      <c r="D404" s="18">
        <v>45563</v>
      </c>
      <c r="E404" s="17">
        <v>0.79166666666666663</v>
      </c>
      <c r="F404" s="12" t="s">
        <v>1163</v>
      </c>
      <c r="G404" s="18">
        <v>41736</v>
      </c>
      <c r="H404" s="12" t="str">
        <f t="shared" si="25"/>
        <v>10 г. 5 мес. 21 дн.</v>
      </c>
      <c r="I404" s="12" t="s">
        <v>118</v>
      </c>
      <c r="K404" s="12" t="s">
        <v>1150</v>
      </c>
      <c r="L404" s="12" t="s">
        <v>698</v>
      </c>
      <c r="M404" s="12" t="s">
        <v>55</v>
      </c>
      <c r="N404" s="21"/>
      <c r="O404" s="12" t="s">
        <v>87</v>
      </c>
      <c r="P404" s="21"/>
      <c r="Q404" s="21"/>
      <c r="R404" s="21"/>
      <c r="S404" s="12" t="s">
        <v>26</v>
      </c>
      <c r="T404" s="18">
        <v>45564</v>
      </c>
      <c r="U404" s="17">
        <v>0.5625</v>
      </c>
      <c r="V404" s="12" t="str">
        <f t="shared" si="24"/>
        <v>0 г. 0 мес. 1 дн.</v>
      </c>
      <c r="W404" s="22"/>
      <c r="X404" s="72"/>
    </row>
    <row r="405" spans="1:24" ht="35.1" customHeight="1" x14ac:dyDescent="0.25">
      <c r="A405" s="12">
        <f t="shared" si="23"/>
        <v>404</v>
      </c>
      <c r="B405" s="66">
        <v>2057</v>
      </c>
      <c r="C405" s="63" t="s">
        <v>77</v>
      </c>
      <c r="D405" s="64">
        <v>45564</v>
      </c>
      <c r="E405" s="65">
        <v>0.77083333333333337</v>
      </c>
      <c r="F405" s="12" t="s">
        <v>1127</v>
      </c>
      <c r="G405" s="58">
        <v>43966</v>
      </c>
      <c r="H405" s="56" t="str">
        <f t="shared" si="25"/>
        <v>4 г. 4 мес. 14 дн.</v>
      </c>
      <c r="I405" s="56" t="s">
        <v>119</v>
      </c>
      <c r="J405" s="12" t="s">
        <v>77</v>
      </c>
      <c r="K405" s="60" t="s">
        <v>147</v>
      </c>
      <c r="L405" s="60" t="s">
        <v>1153</v>
      </c>
      <c r="M405" s="60" t="s">
        <v>49</v>
      </c>
      <c r="N405" s="56"/>
      <c r="O405" s="12" t="s">
        <v>93</v>
      </c>
      <c r="P405" s="21" t="s">
        <v>94</v>
      </c>
      <c r="Q405" s="21" t="s">
        <v>100</v>
      </c>
      <c r="R405" s="21" t="s">
        <v>107</v>
      </c>
      <c r="S405" s="12" t="s">
        <v>77</v>
      </c>
      <c r="T405" s="18">
        <v>45573</v>
      </c>
      <c r="U405" s="17">
        <v>0.5</v>
      </c>
      <c r="V405" s="12" t="str">
        <f t="shared" si="24"/>
        <v>0 г. 0 мес. 9 дн.</v>
      </c>
      <c r="W405" s="22" t="s">
        <v>132</v>
      </c>
      <c r="X405" s="72"/>
    </row>
    <row r="406" spans="1:24" ht="35.1" customHeight="1" x14ac:dyDescent="0.25">
      <c r="A406" s="12">
        <f t="shared" si="23"/>
        <v>405</v>
      </c>
      <c r="B406" s="66">
        <v>722</v>
      </c>
      <c r="C406" s="63" t="s">
        <v>26</v>
      </c>
      <c r="D406" s="64">
        <v>45562</v>
      </c>
      <c r="E406" s="65">
        <v>0.55902777777777779</v>
      </c>
      <c r="F406" s="12" t="s">
        <v>1159</v>
      </c>
      <c r="G406" s="58">
        <v>41464</v>
      </c>
      <c r="H406" s="56" t="str">
        <f t="shared" si="25"/>
        <v>11 г. 2 мес. 18 дн.</v>
      </c>
      <c r="I406" s="56" t="s">
        <v>118</v>
      </c>
      <c r="K406" s="60" t="s">
        <v>1151</v>
      </c>
      <c r="L406" s="60" t="s">
        <v>619</v>
      </c>
      <c r="M406" s="60" t="s">
        <v>43</v>
      </c>
      <c r="N406" s="56"/>
      <c r="O406" s="12" t="s">
        <v>87</v>
      </c>
      <c r="P406" s="60"/>
      <c r="Q406" s="60"/>
      <c r="R406" s="60"/>
      <c r="S406" s="12" t="s">
        <v>26</v>
      </c>
      <c r="T406" s="18">
        <v>45563</v>
      </c>
      <c r="U406" s="17">
        <v>0.58333333333333337</v>
      </c>
      <c r="V406" s="12" t="str">
        <f t="shared" si="24"/>
        <v>0 г. 0 мес. 1 дн.</v>
      </c>
      <c r="W406" s="22"/>
      <c r="X406" s="72"/>
    </row>
    <row r="407" spans="1:24" ht="35.1" customHeight="1" x14ac:dyDescent="0.25">
      <c r="A407" s="12">
        <f t="shared" si="23"/>
        <v>406</v>
      </c>
      <c r="B407" s="66">
        <v>723</v>
      </c>
      <c r="C407" s="63" t="s">
        <v>26</v>
      </c>
      <c r="D407" s="64">
        <v>45562</v>
      </c>
      <c r="E407" s="65">
        <v>0.63888888888888895</v>
      </c>
      <c r="F407" s="12" t="s">
        <v>1160</v>
      </c>
      <c r="G407" s="58">
        <v>42631</v>
      </c>
      <c r="H407" s="56" t="str">
        <f t="shared" si="25"/>
        <v>8 г. 0 мес. 9 дн.</v>
      </c>
      <c r="I407" s="56" t="s">
        <v>118</v>
      </c>
      <c r="K407" s="60" t="s">
        <v>1152</v>
      </c>
      <c r="L407" s="60" t="s">
        <v>619</v>
      </c>
      <c r="M407" s="60" t="s">
        <v>43</v>
      </c>
      <c r="N407" s="56"/>
      <c r="O407" s="12" t="s">
        <v>87</v>
      </c>
      <c r="P407" s="60"/>
      <c r="Q407" s="60"/>
      <c r="R407" s="60"/>
      <c r="S407" s="12" t="s">
        <v>26</v>
      </c>
      <c r="T407" s="18">
        <v>45563</v>
      </c>
      <c r="U407" s="17">
        <v>0.58333333333333337</v>
      </c>
      <c r="V407" s="12" t="str">
        <f t="shared" si="24"/>
        <v>0 г. 0 мес. 1 дн.</v>
      </c>
      <c r="W407" s="22"/>
      <c r="X407" s="72"/>
    </row>
    <row r="408" spans="1:24" ht="35.1" customHeight="1" x14ac:dyDescent="0.25">
      <c r="A408" s="12">
        <f t="shared" si="23"/>
        <v>407</v>
      </c>
      <c r="B408" s="12">
        <v>2251</v>
      </c>
      <c r="C408" s="20" t="s">
        <v>77</v>
      </c>
      <c r="D408" s="18">
        <v>45564</v>
      </c>
      <c r="E408" s="17">
        <v>0.875</v>
      </c>
      <c r="F408" s="12" t="s">
        <v>1156</v>
      </c>
      <c r="G408" s="18">
        <v>41215</v>
      </c>
      <c r="H408" s="12" t="str">
        <f t="shared" si="25"/>
        <v>11 г. 10 мес. 27 дн.</v>
      </c>
      <c r="I408" s="12" t="s">
        <v>120</v>
      </c>
      <c r="J408" s="12" t="s">
        <v>77</v>
      </c>
      <c r="K408" s="12" t="s">
        <v>1154</v>
      </c>
      <c r="L408" s="12" t="s">
        <v>1155</v>
      </c>
      <c r="M408" s="12" t="s">
        <v>49</v>
      </c>
      <c r="N408" s="21"/>
      <c r="O408" s="12" t="s">
        <v>87</v>
      </c>
      <c r="P408" s="21"/>
      <c r="Q408" s="21" t="s">
        <v>124</v>
      </c>
      <c r="R408" s="21"/>
      <c r="S408" s="12" t="s">
        <v>77</v>
      </c>
      <c r="T408" s="18">
        <v>45567</v>
      </c>
      <c r="U408" s="17">
        <v>0.45833333333333331</v>
      </c>
      <c r="V408" s="12" t="str">
        <f t="shared" ref="V408:V471" si="26">DATEDIF(D408,T408,"y") &amp; " г. " &amp; DATEDIF(D408,T408,"ym") &amp; " мес. " &amp; DATEDIF(D408,T408,"md") &amp; " дн."</f>
        <v>0 г. 0 мес. 3 дн.</v>
      </c>
      <c r="W408" s="22"/>
      <c r="X408" s="72"/>
    </row>
    <row r="409" spans="1:24" ht="35.1" customHeight="1" x14ac:dyDescent="0.25">
      <c r="A409" s="12">
        <f t="shared" si="23"/>
        <v>408</v>
      </c>
      <c r="B409" s="12">
        <v>2272</v>
      </c>
      <c r="C409" s="20" t="s">
        <v>77</v>
      </c>
      <c r="D409" s="18">
        <v>45565</v>
      </c>
      <c r="E409" s="17">
        <v>0.42708333333333331</v>
      </c>
      <c r="F409" s="12" t="s">
        <v>1162</v>
      </c>
      <c r="G409" s="18">
        <v>43971</v>
      </c>
      <c r="H409" s="12" t="str">
        <f t="shared" si="25"/>
        <v>4 г. 4 мес. 10 дн.</v>
      </c>
      <c r="I409" s="12" t="s">
        <v>118</v>
      </c>
      <c r="J409"/>
      <c r="K409" s="12" t="s">
        <v>1157</v>
      </c>
      <c r="L409" s="12" t="s">
        <v>1158</v>
      </c>
      <c r="M409" s="12" t="s">
        <v>56</v>
      </c>
      <c r="N409" s="21"/>
      <c r="O409" s="12" t="s">
        <v>87</v>
      </c>
      <c r="P409" s="21" t="s">
        <v>94</v>
      </c>
      <c r="Q409" s="21"/>
      <c r="R409" s="21"/>
      <c r="S409" s="12" t="s">
        <v>77</v>
      </c>
      <c r="T409" s="18">
        <v>45567</v>
      </c>
      <c r="U409" s="17">
        <v>0.40625</v>
      </c>
      <c r="V409" s="12" t="str">
        <f t="shared" si="26"/>
        <v>0 г. 0 мес. 2 дн.</v>
      </c>
      <c r="W409" s="22"/>
      <c r="X409" s="72"/>
    </row>
    <row r="410" spans="1:24" ht="35.1" customHeight="1" x14ac:dyDescent="0.25">
      <c r="A410" s="12">
        <f t="shared" si="23"/>
        <v>409</v>
      </c>
      <c r="B410" s="12">
        <v>2208</v>
      </c>
      <c r="C410" s="20" t="s">
        <v>77</v>
      </c>
      <c r="D410" s="18">
        <v>45561</v>
      </c>
      <c r="E410" s="17">
        <v>0.63194444444444442</v>
      </c>
      <c r="F410" s="12" t="s">
        <v>315</v>
      </c>
      <c r="G410" s="18">
        <v>45308</v>
      </c>
      <c r="H410" s="12" t="str">
        <f t="shared" si="25"/>
        <v>0 г. 8 мес. 9 дн.</v>
      </c>
      <c r="I410" s="12" t="s">
        <v>119</v>
      </c>
      <c r="J410" s="12" t="s">
        <v>77</v>
      </c>
      <c r="K410" s="12" t="s">
        <v>306</v>
      </c>
      <c r="L410" s="12" t="s">
        <v>1161</v>
      </c>
      <c r="M410" s="12" t="s">
        <v>49</v>
      </c>
      <c r="N410" s="21"/>
      <c r="O410" s="12" t="s">
        <v>73</v>
      </c>
      <c r="P410" s="21" t="s">
        <v>94</v>
      </c>
      <c r="Q410" s="21"/>
      <c r="R410" s="21"/>
      <c r="S410" s="12" t="s">
        <v>77</v>
      </c>
      <c r="T410" s="18">
        <v>45566</v>
      </c>
      <c r="U410" s="17">
        <v>0.5</v>
      </c>
      <c r="V410" s="12" t="str">
        <f t="shared" si="26"/>
        <v>0 г. 0 мес. 5 дн.</v>
      </c>
      <c r="W410" s="22"/>
      <c r="X410" s="72"/>
    </row>
    <row r="411" spans="1:24" ht="35.1" customHeight="1" x14ac:dyDescent="0.25">
      <c r="A411" s="12">
        <f t="shared" si="23"/>
        <v>410</v>
      </c>
      <c r="B411" s="12">
        <v>2285</v>
      </c>
      <c r="C411" s="20" t="s">
        <v>77</v>
      </c>
      <c r="D411" s="18">
        <v>45566</v>
      </c>
      <c r="E411" s="17">
        <v>0.52777777777777779</v>
      </c>
      <c r="F411" s="12" t="s">
        <v>1165</v>
      </c>
      <c r="G411" s="18">
        <v>45118</v>
      </c>
      <c r="H411" s="12" t="str">
        <f t="shared" si="25"/>
        <v>1 г. 2 мес. 20 дн.</v>
      </c>
      <c r="I411" s="12" t="s">
        <v>75</v>
      </c>
      <c r="K411" s="12" t="s">
        <v>1166</v>
      </c>
      <c r="L411" s="12" t="s">
        <v>453</v>
      </c>
      <c r="M411" s="12" t="s">
        <v>54</v>
      </c>
      <c r="N411" s="21">
        <v>168</v>
      </c>
      <c r="O411" s="12" t="s">
        <v>73</v>
      </c>
      <c r="P411" s="21"/>
      <c r="Q411" s="21"/>
      <c r="R411" s="21"/>
      <c r="S411" s="12" t="s">
        <v>77</v>
      </c>
      <c r="T411" s="18">
        <v>45580</v>
      </c>
      <c r="U411" s="17">
        <v>0.74791666666666667</v>
      </c>
      <c r="V411" s="12" t="str">
        <f t="shared" si="26"/>
        <v>0 г. 0 мес. 14 дн.</v>
      </c>
      <c r="W411" s="22"/>
      <c r="X411" s="72"/>
    </row>
    <row r="412" spans="1:24" ht="35.1" customHeight="1" x14ac:dyDescent="0.25">
      <c r="A412" s="12">
        <f t="shared" si="23"/>
        <v>411</v>
      </c>
      <c r="B412" s="12">
        <v>574</v>
      </c>
      <c r="C412" s="20" t="s">
        <v>28</v>
      </c>
      <c r="D412" s="18">
        <v>45567</v>
      </c>
      <c r="E412" s="17">
        <v>0.79375000000000007</v>
      </c>
      <c r="F412" s="12" t="s">
        <v>1167</v>
      </c>
      <c r="G412" s="18">
        <v>40720</v>
      </c>
      <c r="H412" s="12" t="str">
        <f t="shared" si="25"/>
        <v>13 г. 3 мес. 6 дн.</v>
      </c>
      <c r="I412" s="12" t="s">
        <v>118</v>
      </c>
      <c r="K412" s="12" t="s">
        <v>1168</v>
      </c>
      <c r="L412" s="12" t="s">
        <v>1169</v>
      </c>
      <c r="M412" s="12" t="s">
        <v>55</v>
      </c>
      <c r="N412" s="21"/>
      <c r="O412" s="12" t="s">
        <v>87</v>
      </c>
      <c r="P412" s="21"/>
      <c r="Q412" s="21"/>
      <c r="R412" s="21"/>
      <c r="S412" s="12" t="s">
        <v>28</v>
      </c>
      <c r="T412" s="18">
        <v>45568</v>
      </c>
      <c r="U412" s="17">
        <v>0.6333333333333333</v>
      </c>
      <c r="V412" s="12" t="str">
        <f t="shared" si="26"/>
        <v>0 г. 0 мес. 1 дн.</v>
      </c>
      <c r="W412" s="22"/>
      <c r="X412" s="72"/>
    </row>
    <row r="413" spans="1:24" ht="35.1" customHeight="1" x14ac:dyDescent="0.25">
      <c r="A413" s="12">
        <f t="shared" si="23"/>
        <v>412</v>
      </c>
      <c r="B413" s="12">
        <v>738</v>
      </c>
      <c r="C413" s="20" t="s">
        <v>26</v>
      </c>
      <c r="D413" s="18">
        <v>45568</v>
      </c>
      <c r="E413" s="17">
        <v>0.60416666666666663</v>
      </c>
      <c r="F413" s="12" t="s">
        <v>1171</v>
      </c>
      <c r="G413" s="18">
        <v>45519</v>
      </c>
      <c r="H413" s="12" t="str">
        <f t="shared" si="25"/>
        <v>0 г. 1 мес. 18 дн.</v>
      </c>
      <c r="I413" s="12" t="s">
        <v>118</v>
      </c>
      <c r="K413" s="12" t="s">
        <v>1172</v>
      </c>
      <c r="L413" s="12" t="s">
        <v>1173</v>
      </c>
      <c r="M413" s="12" t="s">
        <v>49</v>
      </c>
      <c r="N413" s="21"/>
      <c r="O413" s="12" t="s">
        <v>87</v>
      </c>
      <c r="P413" s="21"/>
      <c r="Q413" s="21"/>
      <c r="R413" s="21"/>
      <c r="S413" s="12" t="s">
        <v>26</v>
      </c>
      <c r="T413" s="18">
        <v>45573</v>
      </c>
      <c r="U413" s="17">
        <v>0.5</v>
      </c>
      <c r="V413" s="12" t="str">
        <f t="shared" si="26"/>
        <v>0 г. 0 мес. 5 дн.</v>
      </c>
      <c r="W413" s="22"/>
      <c r="X413" s="72"/>
    </row>
    <row r="414" spans="1:24" ht="35.1" customHeight="1" x14ac:dyDescent="0.25">
      <c r="A414" s="12">
        <f t="shared" si="23"/>
        <v>413</v>
      </c>
      <c r="B414" s="12">
        <v>2311</v>
      </c>
      <c r="C414" s="20" t="s">
        <v>77</v>
      </c>
      <c r="D414" s="18">
        <v>45568</v>
      </c>
      <c r="E414" s="17">
        <v>0.9375</v>
      </c>
      <c r="F414" s="12" t="s">
        <v>1174</v>
      </c>
      <c r="G414" s="18">
        <v>45365</v>
      </c>
      <c r="H414" s="12" t="str">
        <f t="shared" si="25"/>
        <v>0 г. 6 мес. 19 дн.</v>
      </c>
      <c r="I414" s="12" t="s">
        <v>118</v>
      </c>
      <c r="K414" s="12" t="s">
        <v>1175</v>
      </c>
      <c r="L414" s="12" t="s">
        <v>1176</v>
      </c>
      <c r="M414" s="12" t="s">
        <v>41</v>
      </c>
      <c r="N414" s="21"/>
      <c r="O414" s="12" t="s">
        <v>87</v>
      </c>
      <c r="P414" s="21"/>
      <c r="Q414" s="21" t="s">
        <v>124</v>
      </c>
      <c r="R414" s="21"/>
      <c r="S414" s="12" t="s">
        <v>77</v>
      </c>
      <c r="T414" s="18">
        <v>45570</v>
      </c>
      <c r="U414" s="17">
        <v>0.5</v>
      </c>
      <c r="V414" s="12" t="str">
        <f t="shared" si="26"/>
        <v>0 г. 0 мес. 2 дн.</v>
      </c>
      <c r="W414" s="22"/>
      <c r="X414" s="72"/>
    </row>
    <row r="415" spans="1:24" ht="35.1" customHeight="1" x14ac:dyDescent="0.25">
      <c r="A415" s="12">
        <f t="shared" si="23"/>
        <v>414</v>
      </c>
      <c r="B415" s="12">
        <v>743</v>
      </c>
      <c r="C415" s="20" t="s">
        <v>26</v>
      </c>
      <c r="D415" s="18">
        <v>45570</v>
      </c>
      <c r="E415" s="17">
        <v>2.0833333333333332E-2</v>
      </c>
      <c r="F415" s="12" t="s">
        <v>1192</v>
      </c>
      <c r="G415" s="18">
        <v>39839</v>
      </c>
      <c r="H415" s="12" t="str">
        <f t="shared" si="25"/>
        <v>15 г. 8 мес. 9 дн.</v>
      </c>
      <c r="I415" s="12" t="s">
        <v>118</v>
      </c>
      <c r="K415" s="12" t="s">
        <v>1177</v>
      </c>
      <c r="L415" s="12" t="s">
        <v>1178</v>
      </c>
      <c r="M415" s="12" t="s">
        <v>55</v>
      </c>
      <c r="N415" s="21"/>
      <c r="O415" s="12" t="s">
        <v>87</v>
      </c>
      <c r="P415" s="21"/>
      <c r="Q415" s="21"/>
      <c r="R415" s="21"/>
      <c r="S415" s="12" t="s">
        <v>26</v>
      </c>
      <c r="T415" s="18">
        <v>45570</v>
      </c>
      <c r="U415" s="17">
        <v>0.5</v>
      </c>
      <c r="V415" s="12" t="str">
        <f t="shared" si="26"/>
        <v>0 г. 0 мес. 0 дн.</v>
      </c>
      <c r="W415" s="22"/>
      <c r="X415" s="72"/>
    </row>
    <row r="416" spans="1:24" ht="35.1" customHeight="1" x14ac:dyDescent="0.25">
      <c r="A416" s="12">
        <f t="shared" si="23"/>
        <v>415</v>
      </c>
      <c r="B416" s="12">
        <v>2313</v>
      </c>
      <c r="C416" s="20" t="s">
        <v>77</v>
      </c>
      <c r="D416" s="18">
        <v>45569</v>
      </c>
      <c r="E416" s="17">
        <v>0.63888888888888895</v>
      </c>
      <c r="F416" s="12" t="s">
        <v>1179</v>
      </c>
      <c r="G416" s="18">
        <v>45212</v>
      </c>
      <c r="H416" s="12" t="str">
        <f t="shared" si="25"/>
        <v>0 г. 11 мес. 21 дн.</v>
      </c>
      <c r="I416" s="12" t="s">
        <v>120</v>
      </c>
      <c r="J416" s="12" t="s">
        <v>77</v>
      </c>
      <c r="K416" s="12" t="s">
        <v>1180</v>
      </c>
      <c r="L416" s="12" t="s">
        <v>1181</v>
      </c>
      <c r="M416" s="12" t="s">
        <v>52</v>
      </c>
      <c r="N416" s="21"/>
      <c r="O416" s="12" t="s">
        <v>87</v>
      </c>
      <c r="P416" s="21"/>
      <c r="Q416" s="21"/>
      <c r="R416" s="21"/>
      <c r="S416" s="12" t="s">
        <v>77</v>
      </c>
      <c r="T416" s="18">
        <v>45573</v>
      </c>
      <c r="U416" s="17">
        <v>0.5</v>
      </c>
      <c r="V416" s="12" t="str">
        <f t="shared" si="26"/>
        <v>0 г. 0 мес. 4 дн.</v>
      </c>
      <c r="W416" s="22"/>
      <c r="X416" s="72"/>
    </row>
    <row r="417" spans="1:24" ht="35.1" customHeight="1" x14ac:dyDescent="0.25">
      <c r="A417" s="12">
        <f t="shared" si="23"/>
        <v>416</v>
      </c>
      <c r="B417" s="12">
        <v>1500</v>
      </c>
      <c r="C417" s="20" t="s">
        <v>23</v>
      </c>
      <c r="D417" s="18">
        <v>45569</v>
      </c>
      <c r="E417" s="17">
        <v>0.91666666666666663</v>
      </c>
      <c r="F417" s="12" t="s">
        <v>1182</v>
      </c>
      <c r="G417" s="18">
        <v>38996</v>
      </c>
      <c r="H417" s="12" t="str">
        <f t="shared" si="25"/>
        <v>17 г. 11 мес. 28 дн.</v>
      </c>
      <c r="I417" s="12" t="s">
        <v>118</v>
      </c>
      <c r="K417" s="12" t="s">
        <v>493</v>
      </c>
      <c r="L417" s="12" t="s">
        <v>1183</v>
      </c>
      <c r="M417" s="12" t="s">
        <v>52</v>
      </c>
      <c r="N417" s="21"/>
      <c r="O417" s="12" t="s">
        <v>87</v>
      </c>
      <c r="P417" s="21"/>
      <c r="Q417" s="21"/>
      <c r="R417" s="21"/>
      <c r="S417" s="12" t="s">
        <v>23</v>
      </c>
      <c r="T417" s="18">
        <v>45570</v>
      </c>
      <c r="U417" s="17">
        <v>0.5</v>
      </c>
      <c r="V417" s="12" t="str">
        <f t="shared" si="26"/>
        <v>0 г. 0 мес. 1 дн.</v>
      </c>
      <c r="W417" s="22"/>
      <c r="X417" s="72"/>
    </row>
    <row r="418" spans="1:24" ht="35.1" customHeight="1" x14ac:dyDescent="0.25">
      <c r="A418" s="12">
        <f t="shared" si="23"/>
        <v>417</v>
      </c>
      <c r="B418" s="12">
        <v>2314</v>
      </c>
      <c r="C418" s="20" t="s">
        <v>77</v>
      </c>
      <c r="D418" s="18">
        <v>45570</v>
      </c>
      <c r="E418" s="17">
        <v>0.60416666666666663</v>
      </c>
      <c r="F418" s="12" t="s">
        <v>1184</v>
      </c>
      <c r="G418" s="18">
        <v>39622</v>
      </c>
      <c r="H418" s="12" t="str">
        <f t="shared" si="25"/>
        <v>16 г. 3 мес. 12 дн.</v>
      </c>
      <c r="I418" s="12" t="s">
        <v>119</v>
      </c>
      <c r="J418" s="12" t="s">
        <v>77</v>
      </c>
      <c r="K418" s="12" t="s">
        <v>1185</v>
      </c>
      <c r="L418" s="12" t="s">
        <v>1186</v>
      </c>
      <c r="M418" s="12" t="s">
        <v>49</v>
      </c>
      <c r="N418" s="21"/>
      <c r="O418" s="12" t="s">
        <v>73</v>
      </c>
      <c r="P418" s="21"/>
      <c r="Q418" s="21"/>
      <c r="R418" s="21"/>
      <c r="S418" s="12" t="s">
        <v>77</v>
      </c>
      <c r="T418" s="18">
        <v>45573</v>
      </c>
      <c r="U418" s="17">
        <v>0.5</v>
      </c>
      <c r="V418" s="12" t="str">
        <f t="shared" si="26"/>
        <v>0 г. 0 мес. 3 дн.</v>
      </c>
      <c r="W418" s="22"/>
      <c r="X418" s="72"/>
    </row>
    <row r="419" spans="1:24" ht="35.1" customHeight="1" x14ac:dyDescent="0.25">
      <c r="A419" s="12">
        <f t="shared" si="23"/>
        <v>418</v>
      </c>
      <c r="B419" s="13">
        <v>2320</v>
      </c>
      <c r="C419" s="14" t="s">
        <v>77</v>
      </c>
      <c r="D419" s="18">
        <v>45570</v>
      </c>
      <c r="E419" s="15">
        <v>0.83333333333333337</v>
      </c>
      <c r="F419" s="12" t="s">
        <v>1187</v>
      </c>
      <c r="G419" s="16">
        <v>41536</v>
      </c>
      <c r="H419" s="12" t="str">
        <f t="shared" si="25"/>
        <v>11 г. 0 мес. 16 дн.</v>
      </c>
      <c r="I419" s="12" t="s">
        <v>119</v>
      </c>
      <c r="J419" s="12" t="s">
        <v>77</v>
      </c>
      <c r="K419" s="13" t="s">
        <v>1188</v>
      </c>
      <c r="L419" s="13" t="s">
        <v>1186</v>
      </c>
      <c r="M419" s="13" t="s">
        <v>49</v>
      </c>
      <c r="N419" s="19"/>
      <c r="O419" s="12" t="s">
        <v>73</v>
      </c>
      <c r="P419" s="19"/>
      <c r="Q419" s="19"/>
      <c r="R419" s="19"/>
      <c r="S419" s="13" t="s">
        <v>77</v>
      </c>
      <c r="T419" s="16">
        <v>45573</v>
      </c>
      <c r="U419" s="15">
        <v>0.5</v>
      </c>
      <c r="V419" s="12" t="str">
        <f t="shared" si="26"/>
        <v>0 г. 0 мес. 3 дн.</v>
      </c>
      <c r="W419" s="22"/>
      <c r="X419" s="72"/>
    </row>
    <row r="420" spans="1:24" ht="35.1" customHeight="1" x14ac:dyDescent="0.25">
      <c r="A420" s="12">
        <f t="shared" si="23"/>
        <v>419</v>
      </c>
      <c r="B420" s="12">
        <v>753</v>
      </c>
      <c r="C420" s="20" t="s">
        <v>26</v>
      </c>
      <c r="D420" s="18">
        <v>45573</v>
      </c>
      <c r="E420" s="17">
        <v>0.57638888888888895</v>
      </c>
      <c r="F420" s="12" t="s">
        <v>1189</v>
      </c>
      <c r="G420" s="18">
        <v>44781</v>
      </c>
      <c r="H420" s="12" t="str">
        <f t="shared" si="25"/>
        <v>2 г. 2 мес. 0 дн.</v>
      </c>
      <c r="I420" s="12" t="s">
        <v>121</v>
      </c>
      <c r="K420" s="12" t="s">
        <v>1190</v>
      </c>
      <c r="L420" s="12" t="s">
        <v>1191</v>
      </c>
      <c r="M420" s="12" t="s">
        <v>49</v>
      </c>
      <c r="N420" s="21"/>
      <c r="O420" s="12" t="s">
        <v>87</v>
      </c>
      <c r="P420" s="21"/>
      <c r="Q420" s="21"/>
      <c r="R420" s="21"/>
      <c r="S420" s="12" t="s">
        <v>26</v>
      </c>
      <c r="T420" s="18">
        <v>45574</v>
      </c>
      <c r="U420" s="17">
        <v>0.60416666666666663</v>
      </c>
      <c r="V420" s="12" t="str">
        <f t="shared" si="26"/>
        <v>0 г. 0 мес. 1 дн.</v>
      </c>
      <c r="W420" s="22"/>
      <c r="X420" s="72"/>
    </row>
    <row r="421" spans="1:24" ht="35.1" customHeight="1" x14ac:dyDescent="0.25">
      <c r="A421" s="12">
        <f t="shared" si="23"/>
        <v>420</v>
      </c>
      <c r="B421" s="12">
        <v>737</v>
      </c>
      <c r="C421" s="20" t="s">
        <v>26</v>
      </c>
      <c r="D421" s="18">
        <v>45568</v>
      </c>
      <c r="E421" s="17">
        <v>0.4861111111111111</v>
      </c>
      <c r="F421" s="12" t="s">
        <v>1194</v>
      </c>
      <c r="G421" s="18">
        <v>40787</v>
      </c>
      <c r="H421" s="12" t="str">
        <f t="shared" si="25"/>
        <v>13 г. 1 мес. 2 дн.</v>
      </c>
      <c r="I421" s="12" t="s">
        <v>118</v>
      </c>
      <c r="K421" s="12" t="s">
        <v>1193</v>
      </c>
      <c r="L421" s="12" t="s">
        <v>297</v>
      </c>
      <c r="M421" s="12" t="s">
        <v>43</v>
      </c>
      <c r="N421" s="21"/>
      <c r="O421" s="12" t="s">
        <v>87</v>
      </c>
      <c r="P421" s="21"/>
      <c r="Q421" s="21"/>
      <c r="R421" s="21"/>
      <c r="S421" s="12" t="s">
        <v>29</v>
      </c>
      <c r="T421" s="18">
        <v>45569</v>
      </c>
      <c r="U421" s="17">
        <v>0.43124999999999997</v>
      </c>
      <c r="V421" s="12" t="str">
        <f t="shared" si="26"/>
        <v>0 г. 0 мес. 1 дн.</v>
      </c>
      <c r="W421" s="22"/>
      <c r="X421" s="72"/>
    </row>
    <row r="422" spans="1:24" ht="35.1" customHeight="1" x14ac:dyDescent="0.25">
      <c r="A422" s="12">
        <f t="shared" si="23"/>
        <v>421</v>
      </c>
      <c r="B422" s="12">
        <v>746</v>
      </c>
      <c r="C422" s="20" t="s">
        <v>26</v>
      </c>
      <c r="D422" s="18">
        <v>45571</v>
      </c>
      <c r="E422" s="17">
        <v>0.98333333333333339</v>
      </c>
      <c r="F422" s="12" t="s">
        <v>1195</v>
      </c>
      <c r="G422" s="18">
        <v>39101</v>
      </c>
      <c r="H422" s="12" t="str">
        <f t="shared" si="25"/>
        <v>17 г. 8 мес. 17 дн.</v>
      </c>
      <c r="I422" s="12" t="s">
        <v>118</v>
      </c>
      <c r="K422" s="12" t="s">
        <v>1196</v>
      </c>
      <c r="L422" s="12" t="s">
        <v>1197</v>
      </c>
      <c r="M422" s="12" t="s">
        <v>47</v>
      </c>
      <c r="N422" s="21"/>
      <c r="O422" s="12" t="s">
        <v>87</v>
      </c>
      <c r="P422" s="21"/>
      <c r="Q422" s="21"/>
      <c r="R422" s="21"/>
      <c r="S422" s="12" t="s">
        <v>26</v>
      </c>
      <c r="T422" s="18">
        <v>45572</v>
      </c>
      <c r="U422" s="17">
        <v>0.5</v>
      </c>
      <c r="V422" s="12" t="str">
        <f t="shared" si="26"/>
        <v>0 г. 0 мес. 1 дн.</v>
      </c>
      <c r="W422" s="22"/>
      <c r="X422" s="72"/>
    </row>
    <row r="423" spans="1:24" ht="35.1" customHeight="1" x14ac:dyDescent="0.25">
      <c r="A423" s="12">
        <f t="shared" si="23"/>
        <v>422</v>
      </c>
      <c r="B423" s="12">
        <v>758</v>
      </c>
      <c r="C423" s="20" t="s">
        <v>26</v>
      </c>
      <c r="D423" s="18">
        <v>45577</v>
      </c>
      <c r="E423" s="17">
        <v>0.64583333333333337</v>
      </c>
      <c r="F423" s="12" t="s">
        <v>1198</v>
      </c>
      <c r="G423" s="18">
        <v>40361</v>
      </c>
      <c r="H423" s="12" t="str">
        <f t="shared" si="25"/>
        <v>14 г. 3 мес. 10 дн.</v>
      </c>
      <c r="I423" s="12" t="s">
        <v>118</v>
      </c>
      <c r="K423" s="12" t="s">
        <v>1199</v>
      </c>
      <c r="L423" s="12" t="s">
        <v>144</v>
      </c>
      <c r="M423" s="12" t="s">
        <v>55</v>
      </c>
      <c r="N423" s="21"/>
      <c r="O423" s="12" t="s">
        <v>87</v>
      </c>
      <c r="P423" s="21"/>
      <c r="Q423" s="21"/>
      <c r="R423" s="21"/>
      <c r="S423" s="12" t="s">
        <v>26</v>
      </c>
      <c r="T423" s="18">
        <v>45578</v>
      </c>
      <c r="U423" s="17">
        <v>0.4375</v>
      </c>
      <c r="V423" s="12" t="str">
        <f t="shared" si="26"/>
        <v>0 г. 0 мес. 1 дн.</v>
      </c>
      <c r="W423" s="22"/>
      <c r="X423" s="72"/>
    </row>
    <row r="424" spans="1:24" ht="35.1" customHeight="1" x14ac:dyDescent="0.25">
      <c r="A424" s="12">
        <f t="shared" si="23"/>
        <v>423</v>
      </c>
      <c r="B424" s="12">
        <v>757</v>
      </c>
      <c r="C424" s="20" t="s">
        <v>26</v>
      </c>
      <c r="D424" s="18">
        <v>45577</v>
      </c>
      <c r="E424" s="17">
        <v>0.63888888888888895</v>
      </c>
      <c r="F424" s="12" t="s">
        <v>1200</v>
      </c>
      <c r="G424" s="18">
        <v>40405</v>
      </c>
      <c r="H424" s="12" t="str">
        <f t="shared" si="25"/>
        <v>14 г. 1 мес. 27 дн.</v>
      </c>
      <c r="I424" s="12" t="s">
        <v>118</v>
      </c>
      <c r="K424" s="12" t="s">
        <v>1201</v>
      </c>
      <c r="L424" s="12" t="s">
        <v>148</v>
      </c>
      <c r="M424" s="12" t="s">
        <v>55</v>
      </c>
      <c r="N424" s="21"/>
      <c r="O424" s="12" t="s">
        <v>87</v>
      </c>
      <c r="P424" s="21"/>
      <c r="Q424" s="21"/>
      <c r="R424" s="21"/>
      <c r="S424" s="12" t="s">
        <v>26</v>
      </c>
      <c r="T424" s="18">
        <v>45578</v>
      </c>
      <c r="U424" s="17">
        <v>0.4375</v>
      </c>
      <c r="V424" s="12" t="str">
        <f t="shared" si="26"/>
        <v>0 г. 0 мес. 1 дн.</v>
      </c>
      <c r="W424" s="22"/>
      <c r="X424" s="72"/>
    </row>
    <row r="425" spans="1:24" ht="35.1" customHeight="1" x14ac:dyDescent="0.25">
      <c r="A425" s="12">
        <f t="shared" si="23"/>
        <v>424</v>
      </c>
      <c r="B425" s="21">
        <v>759</v>
      </c>
      <c r="C425" s="20" t="s">
        <v>26</v>
      </c>
      <c r="D425" s="18">
        <v>45578</v>
      </c>
      <c r="E425" s="17">
        <v>0.96180555555555547</v>
      </c>
      <c r="F425" s="12" t="s">
        <v>1202</v>
      </c>
      <c r="G425" s="18">
        <v>39224</v>
      </c>
      <c r="H425" s="12" t="str">
        <f t="shared" si="25"/>
        <v>17 г. 4 мес. 21 дн.</v>
      </c>
      <c r="I425" s="12" t="s">
        <v>118</v>
      </c>
      <c r="K425" s="12" t="s">
        <v>1203</v>
      </c>
      <c r="L425" s="12" t="s">
        <v>1204</v>
      </c>
      <c r="M425" s="12" t="s">
        <v>55</v>
      </c>
      <c r="N425" s="21"/>
      <c r="O425" s="12" t="s">
        <v>87</v>
      </c>
      <c r="P425" s="21"/>
      <c r="Q425" s="21"/>
      <c r="R425" s="21"/>
      <c r="S425" s="12" t="s">
        <v>26</v>
      </c>
      <c r="T425" s="18">
        <v>45580</v>
      </c>
      <c r="U425" s="17">
        <v>0.54166666666666663</v>
      </c>
      <c r="V425" s="12" t="str">
        <f t="shared" si="26"/>
        <v>0 г. 0 мес. 2 дн.</v>
      </c>
      <c r="W425" s="22"/>
      <c r="X425" s="72"/>
    </row>
    <row r="426" spans="1:24" ht="35.1" customHeight="1" x14ac:dyDescent="0.25">
      <c r="A426" s="12">
        <f t="shared" si="23"/>
        <v>425</v>
      </c>
      <c r="B426" s="12">
        <v>495</v>
      </c>
      <c r="C426" s="20" t="s">
        <v>24</v>
      </c>
      <c r="D426" s="18">
        <v>45580</v>
      </c>
      <c r="E426" s="17">
        <v>0.43055555555555558</v>
      </c>
      <c r="F426" s="12" t="s">
        <v>1205</v>
      </c>
      <c r="G426" s="18">
        <v>41787</v>
      </c>
      <c r="H426" s="12" t="str">
        <f t="shared" si="25"/>
        <v>10 г. 4 мес. 17 дн.</v>
      </c>
      <c r="I426" s="12" t="s">
        <v>118</v>
      </c>
      <c r="K426" s="12" t="s">
        <v>1206</v>
      </c>
      <c r="L426" s="12" t="s">
        <v>1207</v>
      </c>
      <c r="M426" s="12" t="s">
        <v>50</v>
      </c>
      <c r="N426" s="21"/>
      <c r="O426" s="12" t="s">
        <v>87</v>
      </c>
      <c r="P426" s="21"/>
      <c r="Q426" s="21"/>
      <c r="R426" s="21"/>
      <c r="S426" s="12" t="s">
        <v>24</v>
      </c>
      <c r="T426" s="18">
        <v>45587</v>
      </c>
      <c r="U426" s="17">
        <v>0.5</v>
      </c>
      <c r="V426" s="12" t="str">
        <f t="shared" si="26"/>
        <v>0 г. 0 мес. 7 дн.</v>
      </c>
      <c r="W426" s="22"/>
      <c r="X426" s="72"/>
    </row>
    <row r="427" spans="1:24" ht="35.1" customHeight="1" x14ac:dyDescent="0.25">
      <c r="A427" s="12">
        <f t="shared" si="23"/>
        <v>426</v>
      </c>
      <c r="B427" s="12">
        <v>767</v>
      </c>
      <c r="C427" s="20" t="s">
        <v>26</v>
      </c>
      <c r="D427" s="18">
        <v>45581</v>
      </c>
      <c r="E427" s="17">
        <v>0.56944444444444442</v>
      </c>
      <c r="F427" s="12" t="s">
        <v>1281</v>
      </c>
      <c r="G427" s="18">
        <v>42335</v>
      </c>
      <c r="H427" s="12" t="str">
        <f t="shared" si="25"/>
        <v>8 г. 10 мес. 19 дн.</v>
      </c>
      <c r="I427" s="12" t="s">
        <v>118</v>
      </c>
      <c r="K427" s="12" t="s">
        <v>1208</v>
      </c>
      <c r="L427" s="12" t="s">
        <v>373</v>
      </c>
      <c r="M427" s="12" t="s">
        <v>43</v>
      </c>
      <c r="N427" s="21"/>
      <c r="O427" s="12" t="s">
        <v>87</v>
      </c>
      <c r="P427" s="21"/>
      <c r="Q427" s="21"/>
      <c r="R427" s="21"/>
      <c r="S427" s="12" t="s">
        <v>29</v>
      </c>
      <c r="T427" s="18">
        <v>45582</v>
      </c>
      <c r="U427" s="17">
        <v>0.5625</v>
      </c>
      <c r="V427" s="12" t="str">
        <f t="shared" si="26"/>
        <v>0 г. 0 мес. 1 дн.</v>
      </c>
      <c r="W427" s="22"/>
      <c r="X427" s="72"/>
    </row>
    <row r="428" spans="1:24" ht="35.1" customHeight="1" x14ac:dyDescent="0.25">
      <c r="A428" s="12">
        <f t="shared" si="23"/>
        <v>427</v>
      </c>
      <c r="B428" s="12">
        <v>2405</v>
      </c>
      <c r="C428" s="20" t="s">
        <v>77</v>
      </c>
      <c r="D428" s="18">
        <v>45581</v>
      </c>
      <c r="E428" s="17">
        <v>0.53125</v>
      </c>
      <c r="F428" s="12" t="s">
        <v>1209</v>
      </c>
      <c r="G428" s="18">
        <v>42359</v>
      </c>
      <c r="H428" s="12" t="str">
        <f t="shared" si="25"/>
        <v>8 г. 9 мес. 25 дн.</v>
      </c>
      <c r="I428" s="12" t="s">
        <v>120</v>
      </c>
      <c r="J428" s="12" t="s">
        <v>77</v>
      </c>
      <c r="K428" s="12" t="s">
        <v>1210</v>
      </c>
      <c r="L428" s="12" t="s">
        <v>1211</v>
      </c>
      <c r="M428" s="12" t="s">
        <v>52</v>
      </c>
      <c r="N428" s="21"/>
      <c r="O428" s="12" t="s">
        <v>87</v>
      </c>
      <c r="P428" s="21"/>
      <c r="Q428" s="21"/>
      <c r="R428" s="21"/>
      <c r="S428" s="12" t="s">
        <v>77</v>
      </c>
      <c r="T428" s="18">
        <v>45582</v>
      </c>
      <c r="U428" s="17">
        <v>0.52083333333333337</v>
      </c>
      <c r="V428" s="12" t="str">
        <f t="shared" si="26"/>
        <v>0 г. 0 мес. 1 дн.</v>
      </c>
      <c r="W428" s="22"/>
      <c r="X428" s="72"/>
    </row>
    <row r="429" spans="1:24" ht="35.1" customHeight="1" x14ac:dyDescent="0.25">
      <c r="A429" s="12">
        <f t="shared" si="23"/>
        <v>428</v>
      </c>
      <c r="B429" s="12">
        <v>738</v>
      </c>
      <c r="C429" s="20" t="s">
        <v>26</v>
      </c>
      <c r="D429" s="18">
        <v>45579</v>
      </c>
      <c r="E429" s="17">
        <v>0.57638888888888895</v>
      </c>
      <c r="F429" s="12" t="s">
        <v>1171</v>
      </c>
      <c r="G429" s="18">
        <v>45519</v>
      </c>
      <c r="H429" s="12" t="str">
        <f t="shared" si="25"/>
        <v>0 г. 1 мес. 29 дн.</v>
      </c>
      <c r="I429" s="12" t="s">
        <v>120</v>
      </c>
      <c r="J429" s="12" t="s">
        <v>26</v>
      </c>
      <c r="K429" s="12" t="s">
        <v>1212</v>
      </c>
      <c r="L429" s="12" t="s">
        <v>1213</v>
      </c>
      <c r="M429" s="12" t="s">
        <v>56</v>
      </c>
      <c r="N429" s="21"/>
      <c r="O429" s="12" t="s">
        <v>87</v>
      </c>
      <c r="P429" s="21"/>
      <c r="Q429" s="21"/>
      <c r="R429" s="21"/>
      <c r="S429" s="12" t="s">
        <v>26</v>
      </c>
      <c r="T429" s="18">
        <v>45581</v>
      </c>
      <c r="U429" s="17">
        <v>0.52777777777777779</v>
      </c>
      <c r="V429" s="12" t="str">
        <f t="shared" si="26"/>
        <v>0 г. 0 мес. 2 дн.</v>
      </c>
      <c r="W429" s="22"/>
      <c r="X429" s="72"/>
    </row>
    <row r="430" spans="1:24" ht="35.1" customHeight="1" x14ac:dyDescent="0.25">
      <c r="A430" s="12">
        <f t="shared" si="23"/>
        <v>429</v>
      </c>
      <c r="B430" s="12">
        <v>1545</v>
      </c>
      <c r="C430" s="20" t="s">
        <v>23</v>
      </c>
      <c r="D430" s="18">
        <v>45581</v>
      </c>
      <c r="E430" s="17">
        <v>0.66319444444444442</v>
      </c>
      <c r="F430" s="12" t="s">
        <v>1277</v>
      </c>
      <c r="G430" s="18">
        <v>39079</v>
      </c>
      <c r="H430" s="12" t="str">
        <f t="shared" si="25"/>
        <v>17 г. 9 мес. 18 дн.</v>
      </c>
      <c r="I430" s="12" t="s">
        <v>119</v>
      </c>
      <c r="J430" s="12" t="s">
        <v>23</v>
      </c>
      <c r="K430" s="12" t="s">
        <v>1214</v>
      </c>
      <c r="L430" s="12" t="s">
        <v>404</v>
      </c>
      <c r="M430" s="12" t="s">
        <v>52</v>
      </c>
      <c r="N430" s="21"/>
      <c r="O430" s="12" t="s">
        <v>87</v>
      </c>
      <c r="P430" s="21"/>
      <c r="Q430" s="21"/>
      <c r="R430" s="21"/>
      <c r="S430" s="12" t="s">
        <v>23</v>
      </c>
      <c r="T430" s="18">
        <v>45582</v>
      </c>
      <c r="U430" s="17">
        <v>0.47916666666666669</v>
      </c>
      <c r="V430" s="12" t="str">
        <f t="shared" si="26"/>
        <v>0 г. 0 мес. 1 дн.</v>
      </c>
      <c r="W430" s="22"/>
      <c r="X430" s="72"/>
    </row>
    <row r="431" spans="1:24" ht="35.1" customHeight="1" x14ac:dyDescent="0.25">
      <c r="A431" s="12">
        <f t="shared" si="23"/>
        <v>430</v>
      </c>
      <c r="B431" s="12">
        <v>773</v>
      </c>
      <c r="C431" s="20" t="s">
        <v>26</v>
      </c>
      <c r="D431" s="18">
        <v>45582</v>
      </c>
      <c r="E431" s="17">
        <v>0.65277777777777779</v>
      </c>
      <c r="F431" s="12" t="s">
        <v>1215</v>
      </c>
      <c r="G431" s="18">
        <v>41762</v>
      </c>
      <c r="H431" s="12" t="str">
        <f t="shared" si="25"/>
        <v>10 г. 5 мес. 14 дн.</v>
      </c>
      <c r="I431" s="12" t="s">
        <v>118</v>
      </c>
      <c r="K431" s="12" t="s">
        <v>1216</v>
      </c>
      <c r="L431" s="12" t="s">
        <v>510</v>
      </c>
      <c r="M431" s="12" t="s">
        <v>43</v>
      </c>
      <c r="N431" s="21"/>
      <c r="O431" s="12" t="s">
        <v>87</v>
      </c>
      <c r="P431" s="21"/>
      <c r="Q431" s="60"/>
      <c r="R431" s="21"/>
      <c r="S431" s="12" t="s">
        <v>29</v>
      </c>
      <c r="T431" s="18">
        <v>45584</v>
      </c>
      <c r="U431" s="17">
        <v>0.52083333333333337</v>
      </c>
      <c r="V431" s="12" t="str">
        <f t="shared" si="26"/>
        <v>0 г. 0 мес. 2 дн.</v>
      </c>
      <c r="W431" s="22"/>
      <c r="X431" s="72"/>
    </row>
    <row r="432" spans="1:24" ht="35.1" customHeight="1" x14ac:dyDescent="0.25">
      <c r="A432" s="12">
        <f t="shared" si="23"/>
        <v>431</v>
      </c>
      <c r="B432" s="13">
        <v>2427</v>
      </c>
      <c r="C432" s="14" t="s">
        <v>77</v>
      </c>
      <c r="D432" s="18">
        <v>45583</v>
      </c>
      <c r="E432" s="15">
        <v>0.97916666666666663</v>
      </c>
      <c r="F432" s="13" t="s">
        <v>1262</v>
      </c>
      <c r="G432" s="16">
        <v>40604</v>
      </c>
      <c r="H432" s="12" t="str">
        <f t="shared" si="25"/>
        <v>13 г. 7 мес. 16 дн.</v>
      </c>
      <c r="I432" s="12" t="s">
        <v>118</v>
      </c>
      <c r="K432" s="13" t="s">
        <v>1217</v>
      </c>
      <c r="L432" s="13" t="s">
        <v>1218</v>
      </c>
      <c r="M432" s="13" t="s">
        <v>52</v>
      </c>
      <c r="N432" s="19"/>
      <c r="O432" s="12" t="s">
        <v>87</v>
      </c>
      <c r="P432" s="19"/>
      <c r="Q432" s="19"/>
      <c r="R432" s="19"/>
      <c r="S432" s="13" t="s">
        <v>77</v>
      </c>
      <c r="T432" s="16">
        <v>45584</v>
      </c>
      <c r="U432" s="15">
        <v>0.5</v>
      </c>
      <c r="V432" s="12" t="str">
        <f t="shared" si="26"/>
        <v>0 г. 0 мес. 1 дн.</v>
      </c>
      <c r="W432" s="22"/>
      <c r="X432" s="72"/>
    </row>
    <row r="433" spans="1:24" ht="35.1" customHeight="1" x14ac:dyDescent="0.25">
      <c r="A433" s="12">
        <f t="shared" si="23"/>
        <v>432</v>
      </c>
      <c r="B433" s="12">
        <v>789</v>
      </c>
      <c r="C433" s="20" t="s">
        <v>80</v>
      </c>
      <c r="D433" s="18">
        <v>45588</v>
      </c>
      <c r="E433" s="17">
        <v>0.55555555555555558</v>
      </c>
      <c r="F433" s="12" t="s">
        <v>1219</v>
      </c>
      <c r="G433" s="18">
        <v>39803</v>
      </c>
      <c r="H433" s="12" t="str">
        <f t="shared" si="25"/>
        <v>15 г. 10 мес. 2 дн.</v>
      </c>
      <c r="I433" s="12" t="s">
        <v>119</v>
      </c>
      <c r="J433" s="12" t="s">
        <v>77</v>
      </c>
      <c r="K433" s="12" t="s">
        <v>1220</v>
      </c>
      <c r="L433" s="12" t="s">
        <v>1221</v>
      </c>
      <c r="M433" s="12" t="s">
        <v>49</v>
      </c>
      <c r="N433" s="21">
        <v>47</v>
      </c>
      <c r="O433" s="12" t="s">
        <v>87</v>
      </c>
      <c r="P433" s="21"/>
      <c r="Q433" s="21"/>
      <c r="R433" s="21"/>
      <c r="S433" s="12" t="s">
        <v>26</v>
      </c>
      <c r="T433" s="18">
        <v>45590</v>
      </c>
      <c r="U433" s="17">
        <v>0.5</v>
      </c>
      <c r="V433" s="12" t="str">
        <f t="shared" si="26"/>
        <v>0 г. 0 мес. 2 дн.</v>
      </c>
      <c r="W433" s="22"/>
      <c r="X433" s="72"/>
    </row>
    <row r="434" spans="1:24" ht="35.1" customHeight="1" x14ac:dyDescent="0.25">
      <c r="A434" s="12">
        <f t="shared" si="23"/>
        <v>433</v>
      </c>
      <c r="B434" s="12">
        <v>790</v>
      </c>
      <c r="C434" s="20" t="s">
        <v>26</v>
      </c>
      <c r="D434" s="18">
        <v>45589</v>
      </c>
      <c r="E434" s="17">
        <v>5.2083333333333336E-2</v>
      </c>
      <c r="F434" s="12" t="s">
        <v>1222</v>
      </c>
      <c r="G434" s="18">
        <v>44531</v>
      </c>
      <c r="H434" s="12" t="str">
        <f t="shared" si="25"/>
        <v>2 г. 10 мес. 23 дн.</v>
      </c>
      <c r="I434" s="12" t="s">
        <v>118</v>
      </c>
      <c r="K434" s="12" t="s">
        <v>1223</v>
      </c>
      <c r="L434" s="12" t="s">
        <v>373</v>
      </c>
      <c r="M434" s="12" t="s">
        <v>43</v>
      </c>
      <c r="N434" s="21"/>
      <c r="O434" s="12" t="s">
        <v>87</v>
      </c>
      <c r="P434" s="21"/>
      <c r="Q434" s="21"/>
      <c r="R434" s="21"/>
      <c r="S434" s="12" t="s">
        <v>26</v>
      </c>
      <c r="T434" s="18">
        <v>45589</v>
      </c>
      <c r="U434" s="17">
        <v>0.5</v>
      </c>
      <c r="V434" s="12" t="str">
        <f t="shared" si="26"/>
        <v>0 г. 0 мес. 0 дн.</v>
      </c>
      <c r="W434" s="22"/>
      <c r="X434" s="72"/>
    </row>
    <row r="435" spans="1:24" ht="35.1" customHeight="1" x14ac:dyDescent="0.25">
      <c r="A435" s="12">
        <f t="shared" si="23"/>
        <v>434</v>
      </c>
      <c r="B435" s="12">
        <v>791</v>
      </c>
      <c r="C435" s="20" t="s">
        <v>26</v>
      </c>
      <c r="D435" s="18">
        <v>45589</v>
      </c>
      <c r="E435" s="17">
        <v>0.20833333333333334</v>
      </c>
      <c r="F435" s="12" t="s">
        <v>1224</v>
      </c>
      <c r="G435" s="18">
        <v>39779</v>
      </c>
      <c r="H435" s="12" t="str">
        <f t="shared" si="25"/>
        <v>15 г. 10 мес. 27 дн.</v>
      </c>
      <c r="I435" s="12" t="s">
        <v>118</v>
      </c>
      <c r="K435" s="12" t="s">
        <v>1225</v>
      </c>
      <c r="L435" s="12" t="s">
        <v>144</v>
      </c>
      <c r="M435" s="12" t="s">
        <v>55</v>
      </c>
      <c r="N435" s="21"/>
      <c r="O435" s="12" t="s">
        <v>87</v>
      </c>
      <c r="P435" s="21"/>
      <c r="Q435" s="21"/>
      <c r="R435" s="21"/>
      <c r="S435" s="12" t="s">
        <v>26</v>
      </c>
      <c r="T435" s="18">
        <v>45589</v>
      </c>
      <c r="U435" s="17">
        <v>0.5</v>
      </c>
      <c r="V435" s="12" t="str">
        <f t="shared" si="26"/>
        <v>0 г. 0 мес. 0 дн.</v>
      </c>
      <c r="W435" s="22"/>
      <c r="X435" s="72"/>
    </row>
    <row r="436" spans="1:24" ht="35.1" customHeight="1" x14ac:dyDescent="0.25">
      <c r="A436" s="12">
        <f t="shared" si="23"/>
        <v>435</v>
      </c>
      <c r="B436" s="12">
        <v>757</v>
      </c>
      <c r="C436" s="20" t="s">
        <v>26</v>
      </c>
      <c r="D436" s="18">
        <v>45589</v>
      </c>
      <c r="E436" s="17">
        <v>0.79166666666666663</v>
      </c>
      <c r="F436" s="12" t="s">
        <v>1259</v>
      </c>
      <c r="G436" s="18">
        <v>39161</v>
      </c>
      <c r="H436" s="12" t="str">
        <f t="shared" si="25"/>
        <v>17 г. 7 мес. 4 дн.</v>
      </c>
      <c r="I436" s="12" t="s">
        <v>118</v>
      </c>
      <c r="K436" s="12" t="s">
        <v>748</v>
      </c>
      <c r="L436" s="12" t="s">
        <v>1265</v>
      </c>
      <c r="M436" s="12" t="s">
        <v>55</v>
      </c>
      <c r="N436" s="21"/>
      <c r="O436" s="12" t="s">
        <v>87</v>
      </c>
      <c r="P436" s="21"/>
      <c r="Q436" s="21"/>
      <c r="R436" s="21"/>
      <c r="S436" s="12" t="s">
        <v>26</v>
      </c>
      <c r="T436" s="18">
        <v>45590</v>
      </c>
      <c r="U436" s="17">
        <v>0.5</v>
      </c>
      <c r="V436" s="12" t="str">
        <f t="shared" si="26"/>
        <v>0 г. 0 мес. 1 дн.</v>
      </c>
      <c r="W436" s="22"/>
      <c r="X436" s="72"/>
    </row>
    <row r="437" spans="1:24" ht="35.1" customHeight="1" x14ac:dyDescent="0.25">
      <c r="A437" s="12">
        <f t="shared" si="23"/>
        <v>436</v>
      </c>
      <c r="B437" s="12">
        <v>2481</v>
      </c>
      <c r="C437" s="20" t="s">
        <v>77</v>
      </c>
      <c r="D437" s="18">
        <v>45590</v>
      </c>
      <c r="E437" s="17">
        <v>0.57638888888888895</v>
      </c>
      <c r="F437" s="12" t="s">
        <v>1226</v>
      </c>
      <c r="G437" s="18">
        <v>44864</v>
      </c>
      <c r="H437" s="12" t="str">
        <f t="shared" si="25"/>
        <v>1 г. 11 мес. 25 дн.</v>
      </c>
      <c r="I437" s="12" t="s">
        <v>75</v>
      </c>
      <c r="K437" s="12" t="s">
        <v>1227</v>
      </c>
      <c r="L437" s="12" t="s">
        <v>1228</v>
      </c>
      <c r="M437" s="12" t="s">
        <v>49</v>
      </c>
      <c r="N437" s="21"/>
      <c r="O437" s="12" t="s">
        <v>87</v>
      </c>
      <c r="P437" s="21"/>
      <c r="Q437" s="21"/>
      <c r="R437" s="21"/>
      <c r="S437" s="12" t="s">
        <v>77</v>
      </c>
      <c r="T437" s="18">
        <v>45591</v>
      </c>
      <c r="U437" s="17">
        <v>0.5</v>
      </c>
      <c r="V437" s="12" t="str">
        <f t="shared" si="26"/>
        <v>0 г. 0 мес. 1 дн.</v>
      </c>
      <c r="W437" s="22"/>
      <c r="X437" s="72"/>
    </row>
    <row r="438" spans="1:24" ht="35.1" customHeight="1" x14ac:dyDescent="0.25">
      <c r="A438" s="40">
        <f t="shared" si="23"/>
        <v>437</v>
      </c>
      <c r="B438" s="40">
        <v>1593</v>
      </c>
      <c r="C438" s="41" t="s">
        <v>23</v>
      </c>
      <c r="D438" s="38">
        <v>45591</v>
      </c>
      <c r="E438" s="39">
        <v>0.875</v>
      </c>
      <c r="F438" s="40" t="s">
        <v>1364</v>
      </c>
      <c r="G438" s="38">
        <v>41778</v>
      </c>
      <c r="H438" s="40" t="str">
        <f t="shared" si="25"/>
        <v>10 г. 5 мес. 7 дн.</v>
      </c>
      <c r="I438" s="40" t="s">
        <v>118</v>
      </c>
      <c r="J438" s="40"/>
      <c r="K438" s="40" t="s">
        <v>1229</v>
      </c>
      <c r="L438" s="40" t="s">
        <v>404</v>
      </c>
      <c r="M438" s="40" t="s">
        <v>52</v>
      </c>
      <c r="N438" s="62">
        <v>339</v>
      </c>
      <c r="O438" s="40" t="s">
        <v>73</v>
      </c>
      <c r="P438" s="62"/>
      <c r="Q438" s="62" t="s">
        <v>124</v>
      </c>
      <c r="R438" s="62"/>
      <c r="S438" s="40" t="s">
        <v>30</v>
      </c>
      <c r="T438" s="38">
        <v>45605</v>
      </c>
      <c r="U438" s="39">
        <v>0.65277777777777779</v>
      </c>
      <c r="V438" s="40" t="str">
        <f>DATEDIF(D438,T438,"y") &amp; " г. " &amp; DATEDIF(D438,T438,"ym") &amp; " мес. " &amp; DATEDIF(D438,T438,"md") &amp; " дн."</f>
        <v>0 г. 0 мес. 14 дн.</v>
      </c>
      <c r="W438" s="42"/>
      <c r="X438" s="72"/>
    </row>
    <row r="439" spans="1:24" ht="35.1" customHeight="1" x14ac:dyDescent="0.25">
      <c r="A439" s="12">
        <f t="shared" si="23"/>
        <v>438</v>
      </c>
      <c r="B439" s="12">
        <v>1595</v>
      </c>
      <c r="C439" s="20" t="s">
        <v>23</v>
      </c>
      <c r="D439" s="18">
        <v>45592</v>
      </c>
      <c r="E439" s="17">
        <v>0.71527777777777779</v>
      </c>
      <c r="F439" s="12" t="s">
        <v>1233</v>
      </c>
      <c r="G439" s="18">
        <v>40072</v>
      </c>
      <c r="H439" s="12" t="str">
        <f t="shared" si="25"/>
        <v>15 г. 1 мес. 11 дн.</v>
      </c>
      <c r="I439" s="12" t="s">
        <v>118</v>
      </c>
      <c r="K439" s="12" t="s">
        <v>1230</v>
      </c>
      <c r="L439" s="12" t="s">
        <v>404</v>
      </c>
      <c r="M439" s="12" t="s">
        <v>52</v>
      </c>
      <c r="N439" s="21"/>
      <c r="O439" s="12" t="s">
        <v>87</v>
      </c>
      <c r="P439" s="21"/>
      <c r="Q439" s="21"/>
      <c r="R439" s="21"/>
      <c r="S439" s="12" t="s">
        <v>23</v>
      </c>
      <c r="T439" s="18">
        <v>45601</v>
      </c>
      <c r="U439" s="17">
        <v>0.5</v>
      </c>
      <c r="V439" s="12" t="str">
        <f t="shared" si="26"/>
        <v>0 г. 0 мес. 9 дн.</v>
      </c>
      <c r="W439" s="22"/>
      <c r="X439" s="72"/>
    </row>
    <row r="440" spans="1:24" ht="35.1" customHeight="1" x14ac:dyDescent="0.25">
      <c r="A440" s="12">
        <f t="shared" si="23"/>
        <v>439</v>
      </c>
      <c r="B440" s="12">
        <v>1596</v>
      </c>
      <c r="C440" s="20" t="s">
        <v>23</v>
      </c>
      <c r="D440" s="18">
        <v>45592</v>
      </c>
      <c r="E440" s="17">
        <v>0.71875</v>
      </c>
      <c r="F440" s="12" t="s">
        <v>1258</v>
      </c>
      <c r="G440" s="18">
        <v>42175</v>
      </c>
      <c r="H440" s="12" t="str">
        <f t="shared" si="25"/>
        <v>9 г. 4 мес. 7 дн.</v>
      </c>
      <c r="I440" s="12" t="s">
        <v>118</v>
      </c>
      <c r="K440" s="12" t="s">
        <v>1230</v>
      </c>
      <c r="L440" s="12" t="s">
        <v>404</v>
      </c>
      <c r="M440" s="12" t="s">
        <v>52</v>
      </c>
      <c r="N440" s="21"/>
      <c r="O440" s="12" t="s">
        <v>87</v>
      </c>
      <c r="P440" s="21"/>
      <c r="Q440" s="21"/>
      <c r="R440" s="21"/>
      <c r="S440" s="12" t="s">
        <v>23</v>
      </c>
      <c r="T440" s="18">
        <v>45594</v>
      </c>
      <c r="U440" s="15">
        <v>0.58333333333333337</v>
      </c>
      <c r="V440" s="12" t="str">
        <f t="shared" si="26"/>
        <v>0 г. 0 мес. 2 дн.</v>
      </c>
      <c r="W440" s="22"/>
      <c r="X440" s="72"/>
    </row>
    <row r="441" spans="1:24" ht="35.1" customHeight="1" x14ac:dyDescent="0.25">
      <c r="A441" s="12">
        <f t="shared" si="23"/>
        <v>440</v>
      </c>
      <c r="B441" s="13">
        <v>808</v>
      </c>
      <c r="C441" s="14" t="s">
        <v>26</v>
      </c>
      <c r="D441" s="18">
        <v>45595</v>
      </c>
      <c r="E441" s="15">
        <v>0.76388888888888884</v>
      </c>
      <c r="F441" s="13" t="s">
        <v>1260</v>
      </c>
      <c r="G441" s="16">
        <v>45216</v>
      </c>
      <c r="H441" s="12" t="str">
        <f t="shared" si="25"/>
        <v>1 г. 0 мес. 13 дн.</v>
      </c>
      <c r="I441" s="12" t="s">
        <v>118</v>
      </c>
      <c r="K441" s="13" t="s">
        <v>1231</v>
      </c>
      <c r="L441" s="13" t="s">
        <v>332</v>
      </c>
      <c r="M441" s="13" t="s">
        <v>48</v>
      </c>
      <c r="N441" s="19"/>
      <c r="O441" s="12" t="s">
        <v>87</v>
      </c>
      <c r="P441" s="19"/>
      <c r="Q441" s="19"/>
      <c r="R441" s="19"/>
      <c r="S441" s="12" t="s">
        <v>26</v>
      </c>
      <c r="T441" s="16">
        <v>45596</v>
      </c>
      <c r="U441" s="15">
        <v>0.5</v>
      </c>
      <c r="V441" s="12" t="str">
        <f t="shared" si="26"/>
        <v>0 г. 0 мес. 1 дн.</v>
      </c>
      <c r="W441" s="22"/>
      <c r="X441" s="72"/>
    </row>
    <row r="442" spans="1:24" ht="35.1" customHeight="1" x14ac:dyDescent="0.25">
      <c r="A442" s="12">
        <f t="shared" si="23"/>
        <v>441</v>
      </c>
      <c r="B442" s="12">
        <v>1253</v>
      </c>
      <c r="C442" s="20" t="s">
        <v>27</v>
      </c>
      <c r="D442" s="18">
        <v>45596</v>
      </c>
      <c r="E442" s="17">
        <v>6.9444444444444434E-2</v>
      </c>
      <c r="F442" s="12" t="s">
        <v>1272</v>
      </c>
      <c r="G442" s="18">
        <v>39987</v>
      </c>
      <c r="H442" s="12" t="str">
        <f t="shared" si="25"/>
        <v>15 г. 4 мес. 8 дн.</v>
      </c>
      <c r="I442" s="12" t="s">
        <v>118</v>
      </c>
      <c r="K442" s="12" t="s">
        <v>1232</v>
      </c>
      <c r="L442" s="12" t="s">
        <v>956</v>
      </c>
      <c r="M442" s="12" t="s">
        <v>48</v>
      </c>
      <c r="N442" s="21">
        <v>502</v>
      </c>
      <c r="O442" s="12" t="s">
        <v>73</v>
      </c>
      <c r="P442" s="21"/>
      <c r="Q442" s="21"/>
      <c r="R442" s="21"/>
      <c r="S442" s="12" t="s">
        <v>80</v>
      </c>
      <c r="T442" s="18">
        <v>45616</v>
      </c>
      <c r="U442" s="17">
        <v>0.99652777777777779</v>
      </c>
      <c r="V442" s="12" t="str">
        <f t="shared" si="26"/>
        <v>0 г. 0 мес. 20 дн.</v>
      </c>
      <c r="W442" s="22"/>
      <c r="X442" s="72"/>
    </row>
    <row r="443" spans="1:24" ht="35.1" customHeight="1" x14ac:dyDescent="0.25">
      <c r="A443" s="12">
        <f t="shared" si="23"/>
        <v>442</v>
      </c>
      <c r="B443" s="12">
        <v>2542</v>
      </c>
      <c r="C443" s="20" t="s">
        <v>77</v>
      </c>
      <c r="D443" s="18">
        <v>45596</v>
      </c>
      <c r="E443" s="17">
        <v>0.375</v>
      </c>
      <c r="F443" s="12" t="s">
        <v>1234</v>
      </c>
      <c r="G443" s="18">
        <v>45093</v>
      </c>
      <c r="H443" s="12" t="str">
        <f t="shared" si="25"/>
        <v>1 г. 4 мес. 15 дн.</v>
      </c>
      <c r="I443" s="12" t="s">
        <v>118</v>
      </c>
      <c r="K443" s="12" t="s">
        <v>748</v>
      </c>
      <c r="L443" s="12" t="s">
        <v>1256</v>
      </c>
      <c r="M443" s="12" t="s">
        <v>52</v>
      </c>
      <c r="N443" s="21"/>
      <c r="O443" s="12" t="s">
        <v>87</v>
      </c>
      <c r="P443" s="21"/>
      <c r="Q443" s="21"/>
      <c r="R443" s="21"/>
      <c r="S443" s="12" t="s">
        <v>77</v>
      </c>
      <c r="T443" s="18">
        <v>45597</v>
      </c>
      <c r="U443" s="17">
        <v>0.58333333333333337</v>
      </c>
      <c r="V443" s="12" t="str">
        <f t="shared" si="26"/>
        <v>0 г. 0 мес. 1 дн.</v>
      </c>
      <c r="W443" s="22"/>
      <c r="X443" s="72"/>
    </row>
    <row r="444" spans="1:24" ht="35.1" customHeight="1" x14ac:dyDescent="0.25">
      <c r="A444" s="12">
        <f t="shared" si="23"/>
        <v>443</v>
      </c>
      <c r="B444" s="12">
        <v>1632</v>
      </c>
      <c r="C444" s="20" t="s">
        <v>23</v>
      </c>
      <c r="D444" s="18">
        <v>45597</v>
      </c>
      <c r="E444" s="17">
        <v>0.74861111111111101</v>
      </c>
      <c r="F444" s="12" t="s">
        <v>1282</v>
      </c>
      <c r="G444" s="18">
        <v>40015</v>
      </c>
      <c r="H444" s="12" t="str">
        <f t="shared" si="25"/>
        <v>15 г. 3 мес. 11 дн.</v>
      </c>
      <c r="I444" s="12" t="s">
        <v>118</v>
      </c>
      <c r="K444" s="12" t="s">
        <v>1283</v>
      </c>
      <c r="L444" s="12" t="s">
        <v>1235</v>
      </c>
      <c r="M444" s="12" t="s">
        <v>46</v>
      </c>
      <c r="N444" s="21">
        <v>300</v>
      </c>
      <c r="O444" s="12" t="s">
        <v>73</v>
      </c>
      <c r="P444" s="21"/>
      <c r="Q444" s="21" t="s">
        <v>100</v>
      </c>
      <c r="R444" s="21"/>
      <c r="S444" s="12" t="s">
        <v>29</v>
      </c>
      <c r="T444" s="18">
        <v>45614</v>
      </c>
      <c r="U444" s="17">
        <v>0.4375</v>
      </c>
      <c r="V444" s="12" t="str">
        <f t="shared" si="26"/>
        <v>0 г. 0 мес. 17 дн.</v>
      </c>
      <c r="W444" s="22"/>
      <c r="X444" s="72"/>
    </row>
    <row r="445" spans="1:24" ht="35.1" customHeight="1" x14ac:dyDescent="0.25">
      <c r="A445" s="12">
        <f t="shared" si="23"/>
        <v>444</v>
      </c>
      <c r="B445" s="12">
        <v>1635</v>
      </c>
      <c r="C445" s="20" t="s">
        <v>23</v>
      </c>
      <c r="D445" s="18">
        <v>45598</v>
      </c>
      <c r="E445" s="17">
        <v>0.77083333333333337</v>
      </c>
      <c r="F445" s="12" t="s">
        <v>1236</v>
      </c>
      <c r="G445" s="18">
        <v>43863</v>
      </c>
      <c r="H445" s="12" t="str">
        <f t="shared" si="25"/>
        <v>4 г. 9 мес. 0 дн.</v>
      </c>
      <c r="I445" s="12" t="s">
        <v>118</v>
      </c>
      <c r="K445" s="12" t="s">
        <v>1238</v>
      </c>
      <c r="L445" s="12" t="s">
        <v>1237</v>
      </c>
      <c r="M445" s="12" t="s">
        <v>46</v>
      </c>
      <c r="N445" s="21"/>
      <c r="O445" s="12" t="s">
        <v>87</v>
      </c>
      <c r="P445" s="21"/>
      <c r="Q445" s="21"/>
      <c r="R445" s="21"/>
      <c r="S445" s="12" t="s">
        <v>23</v>
      </c>
      <c r="T445" s="18">
        <v>45603</v>
      </c>
      <c r="U445" s="17">
        <v>0.5</v>
      </c>
      <c r="V445" s="12" t="str">
        <f t="shared" si="26"/>
        <v>0 г. 0 мес. 5 дн.</v>
      </c>
      <c r="W445" s="22"/>
      <c r="X445" s="72"/>
    </row>
    <row r="446" spans="1:24" ht="35.1" customHeight="1" x14ac:dyDescent="0.25">
      <c r="A446" s="12">
        <f t="shared" si="23"/>
        <v>445</v>
      </c>
      <c r="B446" s="12">
        <v>2564</v>
      </c>
      <c r="C446" s="20" t="s">
        <v>77</v>
      </c>
      <c r="D446" s="18">
        <v>45600</v>
      </c>
      <c r="E446" s="17">
        <v>0.47222222222222227</v>
      </c>
      <c r="F446" s="12" t="s">
        <v>1239</v>
      </c>
      <c r="G446" s="18">
        <v>45554</v>
      </c>
      <c r="H446" s="12" t="str">
        <f t="shared" si="25"/>
        <v>0 г. 1 мес. 16 дн.</v>
      </c>
      <c r="I446" s="12" t="s">
        <v>120</v>
      </c>
      <c r="J446" s="12" t="s">
        <v>77</v>
      </c>
      <c r="K446" s="12" t="s">
        <v>1240</v>
      </c>
      <c r="L446" s="12" t="s">
        <v>530</v>
      </c>
      <c r="M446" s="12" t="s">
        <v>49</v>
      </c>
      <c r="N446" s="21"/>
      <c r="O446" s="12" t="s">
        <v>87</v>
      </c>
      <c r="P446" s="21"/>
      <c r="Q446" s="21"/>
      <c r="R446" s="21"/>
      <c r="S446" s="12" t="s">
        <v>77</v>
      </c>
      <c r="T446" s="18">
        <v>45603</v>
      </c>
      <c r="U446" s="17">
        <v>0.5</v>
      </c>
      <c r="V446" s="12" t="str">
        <f t="shared" si="26"/>
        <v>0 г. 0 мес. 3 дн.</v>
      </c>
      <c r="W446" s="22"/>
      <c r="X446" s="72"/>
    </row>
    <row r="447" spans="1:24" ht="35.1" customHeight="1" x14ac:dyDescent="0.25">
      <c r="A447" s="12">
        <f t="shared" si="23"/>
        <v>446</v>
      </c>
      <c r="B447" s="12">
        <v>814</v>
      </c>
      <c r="C447" s="20" t="s">
        <v>80</v>
      </c>
      <c r="D447" s="18">
        <v>45601</v>
      </c>
      <c r="E447" s="17">
        <v>0.61111111111111105</v>
      </c>
      <c r="F447" s="12" t="s">
        <v>140</v>
      </c>
      <c r="G447" s="18">
        <v>41513</v>
      </c>
      <c r="H447" s="12" t="str">
        <f t="shared" si="25"/>
        <v>11 г. 2 мес. 9 дн.</v>
      </c>
      <c r="I447" s="12" t="s">
        <v>118</v>
      </c>
      <c r="K447" s="12" t="s">
        <v>308</v>
      </c>
      <c r="L447" s="12" t="s">
        <v>1241</v>
      </c>
      <c r="M447" s="12" t="s">
        <v>46</v>
      </c>
      <c r="N447" s="21">
        <v>71</v>
      </c>
      <c r="O447" s="12" t="s">
        <v>87</v>
      </c>
      <c r="P447" s="21"/>
      <c r="Q447" s="21"/>
      <c r="R447" s="21"/>
      <c r="S447" s="12" t="s">
        <v>80</v>
      </c>
      <c r="T447" s="18">
        <v>45604</v>
      </c>
      <c r="U447" s="17">
        <v>0.58333333333333337</v>
      </c>
      <c r="V447" s="12" t="str">
        <f t="shared" si="26"/>
        <v>0 г. 0 мес. 3 дн.</v>
      </c>
      <c r="W447" s="22"/>
      <c r="X447" s="72"/>
    </row>
    <row r="448" spans="1:24" ht="35.1" customHeight="1" x14ac:dyDescent="0.25">
      <c r="A448" s="12">
        <f t="shared" si="23"/>
        <v>447</v>
      </c>
      <c r="B448" s="12">
        <v>2544</v>
      </c>
      <c r="C448" s="20" t="s">
        <v>77</v>
      </c>
      <c r="D448" s="18">
        <v>45602</v>
      </c>
      <c r="E448" s="17">
        <v>0.52083333333333337</v>
      </c>
      <c r="F448" s="12" t="s">
        <v>1261</v>
      </c>
      <c r="G448" s="18">
        <v>40917</v>
      </c>
      <c r="H448" s="12" t="str">
        <f t="shared" si="25"/>
        <v>12 г. 9 мес. 28 дн.</v>
      </c>
      <c r="I448" s="12" t="s">
        <v>120</v>
      </c>
      <c r="J448" s="12" t="s">
        <v>77</v>
      </c>
      <c r="K448" s="12" t="s">
        <v>1242</v>
      </c>
      <c r="L448" s="12" t="s">
        <v>1243</v>
      </c>
      <c r="M448" s="12" t="s">
        <v>49</v>
      </c>
      <c r="N448" s="21"/>
      <c r="O448" s="12" t="s">
        <v>87</v>
      </c>
      <c r="P448" s="21"/>
      <c r="Q448" s="21"/>
      <c r="R448" s="21"/>
      <c r="S448" s="12" t="s">
        <v>77</v>
      </c>
      <c r="T448" s="18">
        <v>45605</v>
      </c>
      <c r="U448" s="17">
        <v>0.5</v>
      </c>
      <c r="V448" s="12" t="str">
        <f t="shared" si="26"/>
        <v>0 г. 0 мес. 3 дн.</v>
      </c>
      <c r="W448" s="22"/>
      <c r="X448" s="72"/>
    </row>
    <row r="449" spans="1:24" ht="35.1" customHeight="1" x14ac:dyDescent="0.25">
      <c r="A449" s="12">
        <f t="shared" ref="A449:A512" si="27">ROW(A448)</f>
        <v>448</v>
      </c>
      <c r="B449" s="12">
        <v>824</v>
      </c>
      <c r="C449" s="20" t="s">
        <v>26</v>
      </c>
      <c r="D449" s="18">
        <v>45603</v>
      </c>
      <c r="E449" s="17">
        <v>0.85763888888888884</v>
      </c>
      <c r="F449" s="12" t="s">
        <v>1271</v>
      </c>
      <c r="G449" s="18">
        <v>39320</v>
      </c>
      <c r="H449" s="12" t="str">
        <f t="shared" si="25"/>
        <v>17 г. 2 мес. 12 дн.</v>
      </c>
      <c r="I449" s="12" t="s">
        <v>118</v>
      </c>
      <c r="K449" s="12" t="s">
        <v>1244</v>
      </c>
      <c r="L449" s="12" t="s">
        <v>619</v>
      </c>
      <c r="M449" s="12" t="s">
        <v>43</v>
      </c>
      <c r="N449" s="21"/>
      <c r="O449" s="12" t="s">
        <v>87</v>
      </c>
      <c r="P449" s="21"/>
      <c r="Q449" s="21"/>
      <c r="R449" s="21"/>
      <c r="S449" s="12" t="s">
        <v>26</v>
      </c>
      <c r="T449" s="18">
        <v>45605</v>
      </c>
      <c r="U449" s="17">
        <v>0.5</v>
      </c>
      <c r="V449" s="12" t="str">
        <f t="shared" si="26"/>
        <v>0 г. 0 мес. 2 дн.</v>
      </c>
      <c r="W449" s="22"/>
      <c r="X449" s="72"/>
    </row>
    <row r="450" spans="1:24" ht="35.1" customHeight="1" x14ac:dyDescent="0.25">
      <c r="A450" s="12">
        <f t="shared" si="27"/>
        <v>449</v>
      </c>
      <c r="B450" s="12">
        <v>827</v>
      </c>
      <c r="C450" s="20" t="s">
        <v>80</v>
      </c>
      <c r="D450" s="18">
        <v>45604</v>
      </c>
      <c r="E450" s="17">
        <v>0.58263888888888882</v>
      </c>
      <c r="F450" s="12" t="s">
        <v>171</v>
      </c>
      <c r="G450" s="18">
        <v>42529</v>
      </c>
      <c r="H450" s="12" t="str">
        <f t="shared" si="25"/>
        <v>8 г. 5 мес. 0 дн.</v>
      </c>
      <c r="I450" s="12" t="s">
        <v>118</v>
      </c>
      <c r="K450" s="12" t="s">
        <v>139</v>
      </c>
      <c r="L450" s="12" t="s">
        <v>1245</v>
      </c>
      <c r="M450" s="12" t="s">
        <v>48</v>
      </c>
      <c r="N450" s="21"/>
      <c r="O450" s="12" t="s">
        <v>87</v>
      </c>
      <c r="P450" s="21"/>
      <c r="Q450" s="21"/>
      <c r="R450" s="21"/>
      <c r="S450" s="12" t="s">
        <v>80</v>
      </c>
      <c r="T450" s="18">
        <v>45623</v>
      </c>
      <c r="U450" s="17">
        <v>0.66666666666666663</v>
      </c>
      <c r="V450" s="12" t="str">
        <f t="shared" si="26"/>
        <v>0 г. 0 мес. 19 дн.</v>
      </c>
      <c r="W450" s="22"/>
      <c r="X450" s="72"/>
    </row>
    <row r="451" spans="1:24" ht="35.1" customHeight="1" x14ac:dyDescent="0.25">
      <c r="A451" s="12">
        <f t="shared" si="27"/>
        <v>450</v>
      </c>
      <c r="B451" s="12">
        <v>1595</v>
      </c>
      <c r="C451" s="20" t="s">
        <v>23</v>
      </c>
      <c r="D451" s="18">
        <v>45604</v>
      </c>
      <c r="E451" s="17">
        <v>0.625</v>
      </c>
      <c r="F451" s="12" t="s">
        <v>1257</v>
      </c>
      <c r="G451" s="18">
        <v>40072</v>
      </c>
      <c r="H451" s="12" t="str">
        <f t="shared" si="25"/>
        <v>15 г. 1 мес. 23 дн.</v>
      </c>
      <c r="I451" s="12" t="s">
        <v>119</v>
      </c>
      <c r="J451" s="12" t="s">
        <v>23</v>
      </c>
      <c r="K451" s="12" t="s">
        <v>1015</v>
      </c>
      <c r="L451" s="12" t="s">
        <v>404</v>
      </c>
      <c r="M451" s="12" t="s">
        <v>52</v>
      </c>
      <c r="N451" s="21"/>
      <c r="O451" s="12" t="s">
        <v>87</v>
      </c>
      <c r="P451" s="21" t="s">
        <v>94</v>
      </c>
      <c r="Q451" s="21"/>
      <c r="R451" s="21"/>
      <c r="S451" s="12" t="s">
        <v>23</v>
      </c>
      <c r="T451" s="18">
        <v>45605</v>
      </c>
      <c r="U451" s="17">
        <v>0.5</v>
      </c>
      <c r="V451" s="12" t="str">
        <f t="shared" si="26"/>
        <v>0 г. 0 мес. 1 дн.</v>
      </c>
      <c r="W451" s="22"/>
      <c r="X451" s="72"/>
    </row>
    <row r="452" spans="1:24" ht="35.1" customHeight="1" x14ac:dyDescent="0.25">
      <c r="A452" s="12">
        <f t="shared" si="27"/>
        <v>451</v>
      </c>
      <c r="B452" s="12">
        <v>647</v>
      </c>
      <c r="C452" s="20" t="s">
        <v>28</v>
      </c>
      <c r="D452" s="18">
        <v>45604</v>
      </c>
      <c r="E452" s="17">
        <v>0.53125</v>
      </c>
      <c r="F452" s="12" t="s">
        <v>1246</v>
      </c>
      <c r="G452" s="18">
        <v>45500</v>
      </c>
      <c r="H452" s="12" t="str">
        <f t="shared" si="25"/>
        <v>0 г. 3 мес. 12 дн.</v>
      </c>
      <c r="I452" s="12" t="s">
        <v>120</v>
      </c>
      <c r="J452" s="12" t="s">
        <v>28</v>
      </c>
      <c r="K452" s="12" t="s">
        <v>1247</v>
      </c>
      <c r="L452" s="12" t="s">
        <v>1248</v>
      </c>
      <c r="M452" s="12" t="s">
        <v>46</v>
      </c>
      <c r="N452" s="21"/>
      <c r="O452" s="12" t="s">
        <v>87</v>
      </c>
      <c r="P452" s="21"/>
      <c r="Q452" s="21"/>
      <c r="R452" s="21"/>
      <c r="S452" s="12" t="s">
        <v>28</v>
      </c>
      <c r="T452" s="18">
        <v>45605</v>
      </c>
      <c r="U452" s="17">
        <v>0.5</v>
      </c>
      <c r="V452" s="12" t="str">
        <f t="shared" si="26"/>
        <v>0 г. 0 мес. 1 дн.</v>
      </c>
      <c r="W452" s="22"/>
      <c r="X452" s="72"/>
    </row>
    <row r="453" spans="1:24" ht="35.1" customHeight="1" x14ac:dyDescent="0.25">
      <c r="A453" s="12">
        <f t="shared" si="27"/>
        <v>452</v>
      </c>
      <c r="B453" s="12">
        <v>2601</v>
      </c>
      <c r="C453" s="20" t="s">
        <v>77</v>
      </c>
      <c r="D453" s="18">
        <v>45604</v>
      </c>
      <c r="E453" s="17">
        <v>0.89583333333333337</v>
      </c>
      <c r="F453" s="12" t="s">
        <v>1276</v>
      </c>
      <c r="G453" s="18">
        <v>42127</v>
      </c>
      <c r="H453" s="12" t="str">
        <f t="shared" si="25"/>
        <v>9 г. 6 мес. 5 дн.</v>
      </c>
      <c r="I453" s="12" t="s">
        <v>118</v>
      </c>
      <c r="K453" s="12" t="s">
        <v>1249</v>
      </c>
      <c r="L453" s="12" t="s">
        <v>1250</v>
      </c>
      <c r="M453" s="12" t="s">
        <v>49</v>
      </c>
      <c r="N453" s="21"/>
      <c r="O453" s="12" t="s">
        <v>73</v>
      </c>
      <c r="P453" s="21" t="s">
        <v>94</v>
      </c>
      <c r="Q453" s="21"/>
      <c r="R453" s="21"/>
      <c r="S453" s="12" t="s">
        <v>77</v>
      </c>
      <c r="T453" s="18">
        <v>45607</v>
      </c>
      <c r="U453" s="17">
        <v>0.73055555555555562</v>
      </c>
      <c r="V453" s="12" t="str">
        <f t="shared" si="26"/>
        <v>0 г. 0 мес. 3 дн.</v>
      </c>
      <c r="W453" s="22"/>
      <c r="X453" s="72"/>
    </row>
    <row r="454" spans="1:24" ht="35.1" customHeight="1" x14ac:dyDescent="0.25">
      <c r="A454" s="12">
        <f t="shared" si="27"/>
        <v>453</v>
      </c>
      <c r="B454" s="12">
        <v>2610</v>
      </c>
      <c r="C454" s="20" t="s">
        <v>77</v>
      </c>
      <c r="D454" s="18">
        <v>45606</v>
      </c>
      <c r="E454" s="17">
        <v>0.73611111111111116</v>
      </c>
      <c r="F454" s="12" t="s">
        <v>1263</v>
      </c>
      <c r="G454" s="18">
        <v>41703</v>
      </c>
      <c r="H454" s="12" t="str">
        <f t="shared" ref="H454:H517" si="28">DATEDIF(G454,D454,"y") &amp; " г. " &amp; DATEDIF(G454,D454,"ym") &amp; " мес. " &amp; DATEDIF(G454,D454,"md") &amp; " дн."</f>
        <v>10 г. 8 мес. 5 дн.</v>
      </c>
      <c r="I454" s="12" t="s">
        <v>119</v>
      </c>
      <c r="J454" s="12" t="s">
        <v>77</v>
      </c>
      <c r="K454" s="12" t="s">
        <v>1157</v>
      </c>
      <c r="L454" s="12" t="s">
        <v>1264</v>
      </c>
      <c r="M454" s="12" t="s">
        <v>49</v>
      </c>
      <c r="N454" s="21"/>
      <c r="O454" s="12" t="s">
        <v>73</v>
      </c>
      <c r="P454" s="21" t="s">
        <v>94</v>
      </c>
      <c r="Q454" s="21"/>
      <c r="R454" s="21"/>
      <c r="S454" s="12" t="s">
        <v>77</v>
      </c>
      <c r="T454" s="18">
        <v>45609</v>
      </c>
      <c r="U454" s="17">
        <v>0.57291666666666663</v>
      </c>
      <c r="V454" s="12" t="str">
        <f t="shared" si="26"/>
        <v>0 г. 0 мес. 3 дн.</v>
      </c>
      <c r="W454" s="22"/>
      <c r="X454" s="72"/>
    </row>
    <row r="455" spans="1:24" ht="35.1" customHeight="1" x14ac:dyDescent="0.25">
      <c r="A455" s="12">
        <f t="shared" si="27"/>
        <v>454</v>
      </c>
      <c r="B455" s="12">
        <v>831</v>
      </c>
      <c r="C455" s="20" t="s">
        <v>26</v>
      </c>
      <c r="D455" s="18">
        <v>45607</v>
      </c>
      <c r="E455" s="17">
        <v>0.47916666666666669</v>
      </c>
      <c r="F455" s="12" t="s">
        <v>1251</v>
      </c>
      <c r="G455" s="18">
        <v>44623</v>
      </c>
      <c r="H455" s="12" t="str">
        <f t="shared" si="28"/>
        <v>2 г. 8 мес. 8 дн.</v>
      </c>
      <c r="I455" s="12" t="s">
        <v>118</v>
      </c>
      <c r="K455" s="12" t="s">
        <v>748</v>
      </c>
      <c r="L455" s="12" t="s">
        <v>619</v>
      </c>
      <c r="M455" s="12" t="s">
        <v>43</v>
      </c>
      <c r="N455" s="21"/>
      <c r="O455" s="12" t="s">
        <v>87</v>
      </c>
      <c r="P455" s="21"/>
      <c r="Q455" s="21"/>
      <c r="R455" s="21"/>
      <c r="S455" s="12" t="s">
        <v>29</v>
      </c>
      <c r="T455" s="18">
        <v>45608</v>
      </c>
      <c r="U455" s="17">
        <v>0.62638888888888888</v>
      </c>
      <c r="V455" s="12" t="str">
        <f t="shared" si="26"/>
        <v>0 г. 0 мес. 1 дн.</v>
      </c>
      <c r="W455" s="22"/>
      <c r="X455" s="72"/>
    </row>
    <row r="456" spans="1:24" ht="35.1" customHeight="1" x14ac:dyDescent="0.25">
      <c r="A456" s="12">
        <f t="shared" si="27"/>
        <v>455</v>
      </c>
      <c r="B456" s="12">
        <v>2609</v>
      </c>
      <c r="C456" s="20" t="s">
        <v>77</v>
      </c>
      <c r="D456" s="18">
        <v>45607</v>
      </c>
      <c r="E456" s="17">
        <v>0.60416666666666663</v>
      </c>
      <c r="F456" s="12" t="s">
        <v>1252</v>
      </c>
      <c r="G456" s="18">
        <v>42775</v>
      </c>
      <c r="H456" s="12" t="str">
        <f t="shared" si="28"/>
        <v>7 г. 9 мес. 2 дн.</v>
      </c>
      <c r="I456" s="12" t="s">
        <v>120</v>
      </c>
      <c r="J456" s="12" t="s">
        <v>77</v>
      </c>
      <c r="K456" s="12" t="s">
        <v>748</v>
      </c>
      <c r="L456" s="12" t="s">
        <v>939</v>
      </c>
      <c r="M456" s="12" t="s">
        <v>49</v>
      </c>
      <c r="N456" s="21"/>
      <c r="O456" s="12" t="s">
        <v>73</v>
      </c>
      <c r="P456" s="21" t="s">
        <v>94</v>
      </c>
      <c r="Q456" s="21"/>
      <c r="R456" s="21"/>
      <c r="S456" s="12" t="s">
        <v>77</v>
      </c>
      <c r="T456" s="18">
        <v>45614</v>
      </c>
      <c r="U456" s="17">
        <v>0.5625</v>
      </c>
      <c r="V456" s="12" t="str">
        <f t="shared" si="26"/>
        <v>0 г. 0 мес. 7 дн.</v>
      </c>
      <c r="W456" s="22"/>
      <c r="X456" s="72"/>
    </row>
    <row r="457" spans="1:24" ht="35.1" customHeight="1" x14ac:dyDescent="0.25">
      <c r="A457" s="12">
        <f t="shared" si="27"/>
        <v>456</v>
      </c>
      <c r="B457" s="12">
        <v>2616</v>
      </c>
      <c r="C457" s="20" t="s">
        <v>77</v>
      </c>
      <c r="D457" s="18">
        <v>45608</v>
      </c>
      <c r="E457" s="17">
        <v>0.52083333333333337</v>
      </c>
      <c r="F457" s="12" t="s">
        <v>1266</v>
      </c>
      <c r="G457" s="18">
        <v>42736</v>
      </c>
      <c r="H457" s="12" t="s">
        <v>1253</v>
      </c>
      <c r="I457" s="12" t="s">
        <v>119</v>
      </c>
      <c r="J457" s="12" t="s">
        <v>77</v>
      </c>
      <c r="K457" s="12" t="s">
        <v>147</v>
      </c>
      <c r="L457" s="12" t="s">
        <v>251</v>
      </c>
      <c r="M457" s="12" t="s">
        <v>49</v>
      </c>
      <c r="N457" s="21"/>
      <c r="O457" s="12" t="s">
        <v>87</v>
      </c>
      <c r="P457" s="21"/>
      <c r="Q457" s="21"/>
      <c r="R457" s="21"/>
      <c r="S457" s="12" t="s">
        <v>77</v>
      </c>
      <c r="T457" s="18">
        <v>45608</v>
      </c>
      <c r="U457" s="17">
        <v>0.8125</v>
      </c>
      <c r="V457" s="12" t="str">
        <f t="shared" si="26"/>
        <v>0 г. 0 мес. 0 дн.</v>
      </c>
      <c r="W457" s="22"/>
      <c r="X457" s="72"/>
    </row>
    <row r="458" spans="1:24" ht="35.1" customHeight="1" x14ac:dyDescent="0.25">
      <c r="A458" s="12">
        <f t="shared" si="27"/>
        <v>457</v>
      </c>
      <c r="B458" s="12">
        <v>655</v>
      </c>
      <c r="C458" s="20" t="s">
        <v>28</v>
      </c>
      <c r="D458" s="18">
        <v>45608</v>
      </c>
      <c r="E458" s="17">
        <v>0.47916666666666669</v>
      </c>
      <c r="F458" s="12" t="s">
        <v>1270</v>
      </c>
      <c r="G458" s="18">
        <v>42726</v>
      </c>
      <c r="H458" s="12" t="str">
        <f t="shared" si="28"/>
        <v>7 г. 10 мес. 21 дн.</v>
      </c>
      <c r="I458" s="12" t="s">
        <v>118</v>
      </c>
      <c r="K458" s="12" t="s">
        <v>1254</v>
      </c>
      <c r="L458" s="12" t="s">
        <v>1255</v>
      </c>
      <c r="M458" s="12" t="s">
        <v>46</v>
      </c>
      <c r="N458" s="21"/>
      <c r="O458" s="12" t="s">
        <v>87</v>
      </c>
      <c r="P458" s="21"/>
      <c r="Q458" s="21"/>
      <c r="R458" s="21"/>
      <c r="S458" s="12" t="s">
        <v>28</v>
      </c>
      <c r="T458" s="18">
        <v>45609</v>
      </c>
      <c r="U458" s="17">
        <v>0.51388888888888895</v>
      </c>
      <c r="V458" s="12" t="str">
        <f t="shared" si="26"/>
        <v>0 г. 0 мес. 1 дн.</v>
      </c>
      <c r="W458" s="22"/>
      <c r="X458" s="72"/>
    </row>
    <row r="459" spans="1:24" ht="35.1" customHeight="1" x14ac:dyDescent="0.25">
      <c r="A459" s="12">
        <f t="shared" si="27"/>
        <v>458</v>
      </c>
      <c r="B459" s="12">
        <v>2566</v>
      </c>
      <c r="C459" s="20" t="s">
        <v>77</v>
      </c>
      <c r="D459" s="18">
        <v>45600</v>
      </c>
      <c r="E459" s="17">
        <v>0.93541666666666667</v>
      </c>
      <c r="F459" s="12" t="s">
        <v>1267</v>
      </c>
      <c r="G459" s="18">
        <v>41438</v>
      </c>
      <c r="H459" s="12" t="str">
        <f t="shared" si="28"/>
        <v>11 г. 4 мес. 22 дн.</v>
      </c>
      <c r="I459" s="12" t="s">
        <v>121</v>
      </c>
      <c r="K459" s="12" t="s">
        <v>1268</v>
      </c>
      <c r="L459" s="12" t="s">
        <v>1269</v>
      </c>
      <c r="M459" s="12" t="s">
        <v>52</v>
      </c>
      <c r="N459" s="21"/>
      <c r="O459" s="12" t="s">
        <v>87</v>
      </c>
      <c r="P459" s="21"/>
      <c r="Q459" s="21"/>
      <c r="R459" s="21"/>
      <c r="S459" s="12" t="s">
        <v>77</v>
      </c>
      <c r="T459" s="18">
        <v>45601</v>
      </c>
      <c r="U459" s="17">
        <v>0.5</v>
      </c>
      <c r="V459" s="12" t="str">
        <f t="shared" si="26"/>
        <v>0 г. 0 мес. 1 дн.</v>
      </c>
      <c r="W459" s="22"/>
      <c r="X459" s="72"/>
    </row>
    <row r="460" spans="1:24" ht="35.1" customHeight="1" x14ac:dyDescent="0.25">
      <c r="A460" s="12">
        <f t="shared" si="27"/>
        <v>459</v>
      </c>
      <c r="B460" s="12">
        <v>2550</v>
      </c>
      <c r="C460" s="20" t="s">
        <v>77</v>
      </c>
      <c r="D460" s="18">
        <v>45597</v>
      </c>
      <c r="E460" s="17">
        <v>0.77847222222222223</v>
      </c>
      <c r="F460" s="12" t="s">
        <v>1273</v>
      </c>
      <c r="G460" s="18">
        <v>45057</v>
      </c>
      <c r="H460" s="12" t="str">
        <f t="shared" si="28"/>
        <v>1 г. 5 мес. 21 дн.</v>
      </c>
      <c r="I460" s="12" t="s">
        <v>121</v>
      </c>
      <c r="K460" s="12" t="s">
        <v>1274</v>
      </c>
      <c r="L460" s="12" t="s">
        <v>1275</v>
      </c>
      <c r="M460" s="12" t="s">
        <v>52</v>
      </c>
      <c r="N460" s="21"/>
      <c r="O460" s="12" t="s">
        <v>87</v>
      </c>
      <c r="P460" s="21"/>
      <c r="Q460" s="21"/>
      <c r="R460" s="21"/>
      <c r="S460" s="12" t="s">
        <v>77</v>
      </c>
      <c r="T460" s="18">
        <v>45598</v>
      </c>
      <c r="U460" s="17">
        <v>0.4375</v>
      </c>
      <c r="V460" s="12" t="str">
        <f t="shared" si="26"/>
        <v>0 г. 0 мес. 1 дн.</v>
      </c>
      <c r="W460" s="22"/>
      <c r="X460" s="72"/>
    </row>
    <row r="461" spans="1:24" ht="35.1" customHeight="1" x14ac:dyDescent="0.25">
      <c r="A461" s="12">
        <f t="shared" si="27"/>
        <v>460</v>
      </c>
      <c r="B461" s="12">
        <v>813</v>
      </c>
      <c r="C461" s="20" t="s">
        <v>80</v>
      </c>
      <c r="D461" s="18">
        <v>45590</v>
      </c>
      <c r="E461" s="17">
        <v>0.9145833333333333</v>
      </c>
      <c r="F461" s="12" t="s">
        <v>1219</v>
      </c>
      <c r="G461" s="18">
        <v>39803</v>
      </c>
      <c r="H461" s="12" t="str">
        <f t="shared" si="28"/>
        <v>15 г. 10 мес. 4 дн.</v>
      </c>
      <c r="I461" s="12" t="s">
        <v>123</v>
      </c>
      <c r="J461" s="12" t="s">
        <v>80</v>
      </c>
      <c r="K461" s="12" t="s">
        <v>1220</v>
      </c>
      <c r="L461" s="12" t="s">
        <v>1221</v>
      </c>
      <c r="M461" s="12" t="s">
        <v>49</v>
      </c>
      <c r="N461" s="21">
        <v>183</v>
      </c>
      <c r="O461" s="12" t="s">
        <v>87</v>
      </c>
      <c r="P461" s="21"/>
      <c r="Q461" s="21"/>
      <c r="R461" s="21"/>
      <c r="S461" s="12" t="s">
        <v>80</v>
      </c>
      <c r="T461" s="18">
        <v>45598</v>
      </c>
      <c r="U461" s="17">
        <v>0.5</v>
      </c>
      <c r="V461" s="12" t="str">
        <f t="shared" si="26"/>
        <v>0 г. 0 мес. 8 дн.</v>
      </c>
      <c r="W461" s="22"/>
      <c r="X461" s="72"/>
    </row>
    <row r="462" spans="1:24" ht="35.1" customHeight="1" x14ac:dyDescent="0.25">
      <c r="A462" s="12">
        <f t="shared" si="27"/>
        <v>461</v>
      </c>
      <c r="B462" s="12">
        <v>1546</v>
      </c>
      <c r="C462" s="20" t="s">
        <v>23</v>
      </c>
      <c r="D462" s="18">
        <v>45592</v>
      </c>
      <c r="E462" s="17">
        <v>0.73611111111111116</v>
      </c>
      <c r="F462" s="12" t="s">
        <v>1278</v>
      </c>
      <c r="G462" s="18">
        <v>44373</v>
      </c>
      <c r="H462" s="12" t="str">
        <f t="shared" si="28"/>
        <v>3 г. 4 мес. 1 дн.</v>
      </c>
      <c r="I462" s="12" t="s">
        <v>118</v>
      </c>
      <c r="K462" s="12" t="s">
        <v>1279</v>
      </c>
      <c r="L462" s="12" t="s">
        <v>1280</v>
      </c>
      <c r="M462" s="12" t="s">
        <v>52</v>
      </c>
      <c r="N462" s="21"/>
      <c r="O462" s="12" t="s">
        <v>87</v>
      </c>
      <c r="P462" s="21"/>
      <c r="Q462" s="21"/>
      <c r="R462" s="21"/>
      <c r="S462" s="12" t="s">
        <v>23</v>
      </c>
      <c r="T462" s="18">
        <v>45594</v>
      </c>
      <c r="U462" s="17">
        <v>0.46527777777777773</v>
      </c>
      <c r="V462" s="12" t="str">
        <f t="shared" si="26"/>
        <v>0 г. 0 мес. 2 дн.</v>
      </c>
      <c r="W462" s="22"/>
      <c r="X462" s="72"/>
    </row>
    <row r="463" spans="1:24" ht="35.1" customHeight="1" x14ac:dyDescent="0.25">
      <c r="A463" s="12">
        <f t="shared" si="27"/>
        <v>462</v>
      </c>
      <c r="B463" s="12">
        <v>624</v>
      </c>
      <c r="C463" s="20" t="s">
        <v>25</v>
      </c>
      <c r="D463" s="18">
        <v>45609</v>
      </c>
      <c r="E463" s="17">
        <v>1.3888888888888888E-2</v>
      </c>
      <c r="F463" s="12" t="s">
        <v>1284</v>
      </c>
      <c r="G463" s="18">
        <v>45581</v>
      </c>
      <c r="H463" s="12" t="str">
        <f t="shared" si="28"/>
        <v>0 г. 0 мес. 28 дн.</v>
      </c>
      <c r="I463" s="12" t="s">
        <v>120</v>
      </c>
      <c r="J463" s="12" t="s">
        <v>25</v>
      </c>
      <c r="K463" s="12" t="s">
        <v>1285</v>
      </c>
      <c r="L463" s="12" t="s">
        <v>530</v>
      </c>
      <c r="M463" s="12" t="s">
        <v>56</v>
      </c>
      <c r="N463" s="21"/>
      <c r="O463" s="12" t="s">
        <v>87</v>
      </c>
      <c r="P463" s="21"/>
      <c r="Q463" s="21"/>
      <c r="R463" s="21"/>
      <c r="S463" s="12" t="s">
        <v>77</v>
      </c>
      <c r="T463" s="18">
        <v>45613</v>
      </c>
      <c r="U463" s="17">
        <v>0.49652777777777773</v>
      </c>
      <c r="V463" s="12" t="str">
        <f t="shared" si="26"/>
        <v>0 г. 0 мес. 4 дн.</v>
      </c>
      <c r="W463" s="22"/>
      <c r="X463" s="72"/>
    </row>
    <row r="464" spans="1:24" ht="35.1" customHeight="1" x14ac:dyDescent="0.25">
      <c r="A464" s="12">
        <f t="shared" si="27"/>
        <v>463</v>
      </c>
      <c r="B464" s="12">
        <v>2640</v>
      </c>
      <c r="C464" s="20" t="s">
        <v>77</v>
      </c>
      <c r="D464" s="18">
        <v>45609</v>
      </c>
      <c r="E464" s="17">
        <v>0.70833333333333337</v>
      </c>
      <c r="F464" s="12" t="s">
        <v>1286</v>
      </c>
      <c r="G464" s="18">
        <v>45107</v>
      </c>
      <c r="H464" s="12" t="str">
        <f t="shared" si="28"/>
        <v>1 г. 4 мес. 14 дн.</v>
      </c>
      <c r="I464" s="12" t="s">
        <v>75</v>
      </c>
      <c r="K464" s="12" t="s">
        <v>1287</v>
      </c>
      <c r="L464" s="12" t="s">
        <v>1288</v>
      </c>
      <c r="M464" s="12" t="s">
        <v>52</v>
      </c>
      <c r="N464" s="21"/>
      <c r="O464" s="12" t="s">
        <v>88</v>
      </c>
      <c r="P464" s="21"/>
      <c r="Q464" s="21"/>
      <c r="R464" s="21"/>
      <c r="S464" s="12" t="s">
        <v>77</v>
      </c>
      <c r="T464" s="18">
        <v>45610</v>
      </c>
      <c r="U464" s="17">
        <v>0.54166666666666663</v>
      </c>
      <c r="V464" s="12" t="str">
        <f t="shared" si="26"/>
        <v>0 г. 0 мес. 1 дн.</v>
      </c>
      <c r="W464" s="22"/>
      <c r="X464" s="72"/>
    </row>
    <row r="465" spans="1:24" ht="35.1" customHeight="1" x14ac:dyDescent="0.25">
      <c r="A465" s="12">
        <f t="shared" si="27"/>
        <v>464</v>
      </c>
      <c r="B465" s="12">
        <v>838</v>
      </c>
      <c r="C465" s="20" t="s">
        <v>26</v>
      </c>
      <c r="D465" s="18">
        <v>45609</v>
      </c>
      <c r="E465" s="17">
        <v>0.91666666666666663</v>
      </c>
      <c r="F465" s="12" t="s">
        <v>1289</v>
      </c>
      <c r="G465" s="18">
        <v>43692</v>
      </c>
      <c r="H465" s="12" t="str">
        <f t="shared" si="28"/>
        <v>5 г. 2 мес. 29 дн.</v>
      </c>
      <c r="I465" s="12" t="s">
        <v>118</v>
      </c>
      <c r="K465" s="12" t="s">
        <v>1290</v>
      </c>
      <c r="L465" s="12" t="s">
        <v>1291</v>
      </c>
      <c r="M465" s="12" t="s">
        <v>48</v>
      </c>
      <c r="N465" s="21"/>
      <c r="O465" s="12" t="s">
        <v>87</v>
      </c>
      <c r="P465" s="21"/>
      <c r="Q465" s="21"/>
      <c r="R465" s="21"/>
      <c r="S465" s="12" t="s">
        <v>26</v>
      </c>
      <c r="T465" s="18">
        <v>45612</v>
      </c>
      <c r="U465" s="17">
        <v>0.45833333333333331</v>
      </c>
      <c r="V465" s="12" t="str">
        <f t="shared" si="26"/>
        <v>0 г. 0 мес. 3 дн.</v>
      </c>
      <c r="W465" s="22"/>
      <c r="X465" s="72"/>
    </row>
    <row r="466" spans="1:24" ht="35.1" customHeight="1" x14ac:dyDescent="0.25">
      <c r="A466" s="12">
        <f t="shared" si="27"/>
        <v>465</v>
      </c>
      <c r="B466" s="12">
        <v>845</v>
      </c>
      <c r="C466" s="20" t="s">
        <v>26</v>
      </c>
      <c r="D466" s="18">
        <v>45612</v>
      </c>
      <c r="E466" s="17">
        <v>0.47222222222222227</v>
      </c>
      <c r="F466" s="12" t="s">
        <v>1292</v>
      </c>
      <c r="G466" s="18">
        <v>45238</v>
      </c>
      <c r="H466" s="12" t="str">
        <f t="shared" si="28"/>
        <v>1 г. 0 мес. 8 дн.</v>
      </c>
      <c r="I466" s="12" t="s">
        <v>118</v>
      </c>
      <c r="K466" s="12" t="s">
        <v>1293</v>
      </c>
      <c r="L466" s="12" t="s">
        <v>1294</v>
      </c>
      <c r="M466" s="12" t="s">
        <v>47</v>
      </c>
      <c r="N466" s="17"/>
      <c r="O466" s="12" t="s">
        <v>87</v>
      </c>
      <c r="P466" s="17"/>
      <c r="Q466" s="17"/>
      <c r="R466" s="17"/>
      <c r="S466" s="12" t="s">
        <v>26</v>
      </c>
      <c r="T466" s="18">
        <v>45613</v>
      </c>
      <c r="U466" s="17">
        <v>0.45833333333333331</v>
      </c>
      <c r="V466" s="12" t="str">
        <f t="shared" si="26"/>
        <v>0 г. 0 мес. 1 дн.</v>
      </c>
      <c r="W466" s="22"/>
      <c r="X466" s="72"/>
    </row>
    <row r="467" spans="1:24" ht="35.1" customHeight="1" x14ac:dyDescent="0.25">
      <c r="A467" s="12">
        <f t="shared" si="27"/>
        <v>466</v>
      </c>
      <c r="B467" s="12">
        <v>844</v>
      </c>
      <c r="C467" s="20" t="s">
        <v>26</v>
      </c>
      <c r="D467" s="18">
        <v>45611</v>
      </c>
      <c r="E467" s="17">
        <v>0.95833333333333337</v>
      </c>
      <c r="F467" s="12" t="s">
        <v>1295</v>
      </c>
      <c r="G467" s="18">
        <v>39463</v>
      </c>
      <c r="H467" s="12" t="str">
        <f t="shared" si="28"/>
        <v>16 г. 9 мес. 30 дн.</v>
      </c>
      <c r="I467" s="12" t="s">
        <v>118</v>
      </c>
      <c r="K467" s="12" t="s">
        <v>264</v>
      </c>
      <c r="L467" s="12" t="s">
        <v>144</v>
      </c>
      <c r="M467" s="12" t="s">
        <v>55</v>
      </c>
      <c r="N467" s="21"/>
      <c r="O467" s="12" t="s">
        <v>87</v>
      </c>
      <c r="P467" s="21"/>
      <c r="Q467" s="21"/>
      <c r="R467" s="21"/>
      <c r="S467" s="12" t="s">
        <v>26</v>
      </c>
      <c r="T467" s="18">
        <v>45612</v>
      </c>
      <c r="U467" s="17">
        <v>0.5</v>
      </c>
      <c r="V467" s="12" t="str">
        <f t="shared" si="26"/>
        <v>0 г. 0 мес. 1 дн.</v>
      </c>
      <c r="W467" s="22"/>
      <c r="X467" s="72"/>
    </row>
    <row r="468" spans="1:24" ht="35.1" customHeight="1" x14ac:dyDescent="0.25">
      <c r="A468" s="12">
        <f t="shared" si="27"/>
        <v>467</v>
      </c>
      <c r="B468" s="12">
        <v>664</v>
      </c>
      <c r="C468" s="20" t="s">
        <v>28</v>
      </c>
      <c r="D468" s="18">
        <v>45612</v>
      </c>
      <c r="E468" s="17">
        <v>0.85763888888888884</v>
      </c>
      <c r="F468" s="12" t="s">
        <v>1296</v>
      </c>
      <c r="G468" s="18">
        <v>45568</v>
      </c>
      <c r="H468" s="12" t="str">
        <f t="shared" si="28"/>
        <v>0 г. 1 мес. 13 дн.</v>
      </c>
      <c r="I468" s="12" t="s">
        <v>121</v>
      </c>
      <c r="K468" s="12" t="s">
        <v>1297</v>
      </c>
      <c r="L468" s="12" t="s">
        <v>342</v>
      </c>
      <c r="M468" s="12" t="s">
        <v>40</v>
      </c>
      <c r="N468" s="21"/>
      <c r="O468" s="12" t="s">
        <v>73</v>
      </c>
      <c r="P468" s="21"/>
      <c r="Q468" s="21"/>
      <c r="R468" s="21"/>
      <c r="S468" s="12" t="s">
        <v>29</v>
      </c>
      <c r="T468" s="18">
        <v>45614</v>
      </c>
      <c r="U468" s="17">
        <v>0.52083333333333337</v>
      </c>
      <c r="V468" s="12" t="str">
        <f t="shared" si="26"/>
        <v>0 г. 0 мес. 2 дн.</v>
      </c>
      <c r="W468" s="22"/>
      <c r="X468" s="72"/>
    </row>
    <row r="469" spans="1:24" ht="35.1" customHeight="1" x14ac:dyDescent="0.25">
      <c r="A469" s="12">
        <f t="shared" si="27"/>
        <v>468</v>
      </c>
      <c r="B469" s="12">
        <v>2696</v>
      </c>
      <c r="C469" s="20" t="s">
        <v>77</v>
      </c>
      <c r="D469" s="18">
        <v>45614</v>
      </c>
      <c r="E469" s="17">
        <v>0.61458333333333337</v>
      </c>
      <c r="F469" s="12" t="s">
        <v>1298</v>
      </c>
      <c r="G469" s="18">
        <v>42088</v>
      </c>
      <c r="H469" s="12" t="str">
        <f t="shared" si="28"/>
        <v>9 г. 7 мес. 24 дн.</v>
      </c>
      <c r="I469" s="12" t="s">
        <v>119</v>
      </c>
      <c r="J469" s="12" t="s">
        <v>77</v>
      </c>
      <c r="K469" s="12" t="s">
        <v>493</v>
      </c>
      <c r="L469" s="12" t="s">
        <v>347</v>
      </c>
      <c r="M469" s="12" t="s">
        <v>49</v>
      </c>
      <c r="N469" s="21"/>
      <c r="O469" s="12" t="s">
        <v>87</v>
      </c>
      <c r="P469" s="21"/>
      <c r="Q469" s="21"/>
      <c r="R469" s="21"/>
      <c r="S469" s="12" t="s">
        <v>77</v>
      </c>
      <c r="T469" s="18">
        <v>45615</v>
      </c>
      <c r="U469" s="17">
        <v>0.5</v>
      </c>
      <c r="V469" s="12" t="str">
        <f t="shared" si="26"/>
        <v>0 г. 0 мес. 1 дн.</v>
      </c>
      <c r="W469" s="22"/>
      <c r="X469" s="72"/>
    </row>
    <row r="470" spans="1:24" ht="35.1" customHeight="1" x14ac:dyDescent="0.25">
      <c r="A470" s="12">
        <f t="shared" si="27"/>
        <v>469</v>
      </c>
      <c r="B470" s="12">
        <v>855</v>
      </c>
      <c r="C470" s="20" t="s">
        <v>26</v>
      </c>
      <c r="D470" s="18">
        <v>45616</v>
      </c>
      <c r="E470" s="17">
        <v>4.1666666666666664E-2</v>
      </c>
      <c r="F470" s="12" t="s">
        <v>1355</v>
      </c>
      <c r="G470" s="18">
        <v>43215</v>
      </c>
      <c r="H470" s="12" t="str">
        <f t="shared" si="28"/>
        <v>6 г. 6 мес. 26 дн.</v>
      </c>
      <c r="I470" s="12" t="s">
        <v>118</v>
      </c>
      <c r="K470" s="12" t="s">
        <v>826</v>
      </c>
      <c r="L470" s="12" t="s">
        <v>1299</v>
      </c>
      <c r="M470" s="12" t="s">
        <v>43</v>
      </c>
      <c r="N470" s="21"/>
      <c r="O470" s="12" t="s">
        <v>87</v>
      </c>
      <c r="P470" s="21"/>
      <c r="Q470" s="21"/>
      <c r="R470" s="21"/>
      <c r="S470" s="12" t="s">
        <v>26</v>
      </c>
      <c r="T470" s="18">
        <v>45617</v>
      </c>
      <c r="U470" s="17">
        <v>0.4375</v>
      </c>
      <c r="V470" s="12" t="str">
        <f t="shared" si="26"/>
        <v>0 г. 0 мес. 1 дн.</v>
      </c>
      <c r="W470" s="22"/>
      <c r="X470" s="72"/>
    </row>
    <row r="471" spans="1:24" ht="35.1" customHeight="1" x14ac:dyDescent="0.25">
      <c r="A471" s="12">
        <f t="shared" si="27"/>
        <v>470</v>
      </c>
      <c r="B471" s="12">
        <v>858</v>
      </c>
      <c r="C471" s="20" t="s">
        <v>80</v>
      </c>
      <c r="D471" s="18">
        <v>45617</v>
      </c>
      <c r="E471" s="17">
        <v>3.472222222222222E-3</v>
      </c>
      <c r="F471" s="12" t="s">
        <v>1272</v>
      </c>
      <c r="G471" s="18">
        <v>39987</v>
      </c>
      <c r="H471" s="12" t="str">
        <f t="shared" si="28"/>
        <v>15 г. 4 мес. 29 дн.</v>
      </c>
      <c r="I471" s="12" t="s">
        <v>123</v>
      </c>
      <c r="J471" s="12" t="s">
        <v>80</v>
      </c>
      <c r="K471" s="12" t="s">
        <v>1300</v>
      </c>
      <c r="L471" s="12" t="s">
        <v>1301</v>
      </c>
      <c r="M471" s="12" t="s">
        <v>56</v>
      </c>
      <c r="N471" s="21"/>
      <c r="O471" s="12" t="s">
        <v>87</v>
      </c>
      <c r="P471" s="21"/>
      <c r="Q471" s="21"/>
      <c r="R471" s="21"/>
      <c r="S471" s="12" t="s">
        <v>80</v>
      </c>
      <c r="T471" s="18">
        <v>45625</v>
      </c>
      <c r="U471" s="17">
        <v>0.51041666666666663</v>
      </c>
      <c r="V471" s="12" t="str">
        <f t="shared" si="26"/>
        <v>0 г. 0 мес. 8 дн.</v>
      </c>
      <c r="W471" s="22"/>
      <c r="X471" s="72"/>
    </row>
    <row r="472" spans="1:24" ht="35.1" customHeight="1" x14ac:dyDescent="0.25">
      <c r="A472" s="12">
        <f t="shared" si="27"/>
        <v>471</v>
      </c>
      <c r="B472" s="12">
        <v>857</v>
      </c>
      <c r="C472" s="20" t="s">
        <v>26</v>
      </c>
      <c r="D472" s="18">
        <v>45616</v>
      </c>
      <c r="E472" s="17">
        <v>0.82638888888888884</v>
      </c>
      <c r="F472" s="12" t="s">
        <v>1302</v>
      </c>
      <c r="G472" s="18">
        <v>44802</v>
      </c>
      <c r="H472" s="12" t="str">
        <f t="shared" si="28"/>
        <v>2 г. 2 мес. 22 дн.</v>
      </c>
      <c r="I472" s="12" t="s">
        <v>118</v>
      </c>
      <c r="K472" s="12" t="s">
        <v>1303</v>
      </c>
      <c r="L472" s="12" t="s">
        <v>1304</v>
      </c>
      <c r="M472" s="12" t="s">
        <v>55</v>
      </c>
      <c r="N472" s="21"/>
      <c r="O472" s="12" t="s">
        <v>87</v>
      </c>
      <c r="P472" s="21"/>
      <c r="Q472" s="21"/>
      <c r="R472" s="21"/>
      <c r="S472" s="12" t="s">
        <v>26</v>
      </c>
      <c r="T472" s="18">
        <v>45617</v>
      </c>
      <c r="U472" s="17">
        <v>0.56944444444444442</v>
      </c>
      <c r="V472" s="12" t="str">
        <f t="shared" ref="V472:V535" si="29">DATEDIF(D472,T472,"y") &amp; " г. " &amp; DATEDIF(D472,T472,"ym") &amp; " мес. " &amp; DATEDIF(D472,T472,"md") &amp; " дн."</f>
        <v>0 г. 0 мес. 1 дн.</v>
      </c>
      <c r="W472" s="22"/>
      <c r="X472" s="72"/>
    </row>
    <row r="473" spans="1:24" ht="35.1" customHeight="1" x14ac:dyDescent="0.25">
      <c r="A473" s="12">
        <f t="shared" si="27"/>
        <v>472</v>
      </c>
      <c r="B473" s="12">
        <v>675</v>
      </c>
      <c r="C473" s="20" t="s">
        <v>28</v>
      </c>
      <c r="D473" s="18">
        <v>45617</v>
      </c>
      <c r="E473" s="17">
        <v>0.57638888888888895</v>
      </c>
      <c r="F473" s="12" t="s">
        <v>1305</v>
      </c>
      <c r="G473" s="18">
        <v>40854</v>
      </c>
      <c r="H473" s="12" t="str">
        <f t="shared" si="28"/>
        <v>13 г. 0 мес. 14 дн.</v>
      </c>
      <c r="I473" s="12" t="s">
        <v>118</v>
      </c>
      <c r="K473" s="12" t="s">
        <v>748</v>
      </c>
      <c r="L473" s="12" t="s">
        <v>885</v>
      </c>
      <c r="M473" s="12" t="s">
        <v>46</v>
      </c>
      <c r="N473" s="21"/>
      <c r="O473" s="12" t="s">
        <v>87</v>
      </c>
      <c r="P473" s="21"/>
      <c r="Q473" s="21"/>
      <c r="R473" s="21"/>
      <c r="S473" s="12" t="s">
        <v>28</v>
      </c>
      <c r="T473" s="18">
        <v>45618</v>
      </c>
      <c r="U473" s="17">
        <v>0.4375</v>
      </c>
      <c r="V473" s="12" t="str">
        <f t="shared" si="29"/>
        <v>0 г. 0 мес. 1 дн.</v>
      </c>
      <c r="W473" s="22"/>
      <c r="X473" s="72"/>
    </row>
    <row r="474" spans="1:24" ht="35.1" customHeight="1" x14ac:dyDescent="0.25">
      <c r="A474" s="12">
        <f t="shared" si="27"/>
        <v>473</v>
      </c>
      <c r="B474" s="12">
        <v>862</v>
      </c>
      <c r="C474" s="20" t="s">
        <v>26</v>
      </c>
      <c r="D474" s="18">
        <v>45620</v>
      </c>
      <c r="E474" s="17">
        <v>0.49652777777777773</v>
      </c>
      <c r="F474" s="12" t="s">
        <v>1306</v>
      </c>
      <c r="G474" s="18">
        <v>45570</v>
      </c>
      <c r="H474" s="12" t="str">
        <f t="shared" si="28"/>
        <v>0 г. 1 мес. 19 дн.</v>
      </c>
      <c r="I474" s="12" t="s">
        <v>120</v>
      </c>
      <c r="J474" s="12" t="s">
        <v>26</v>
      </c>
      <c r="K474" s="12" t="s">
        <v>1307</v>
      </c>
      <c r="L474" s="12" t="s">
        <v>1308</v>
      </c>
      <c r="M474" s="12" t="s">
        <v>56</v>
      </c>
      <c r="N474" s="21"/>
      <c r="O474" s="12" t="s">
        <v>87</v>
      </c>
      <c r="P474" s="21"/>
      <c r="Q474" s="21"/>
      <c r="R474" s="21"/>
      <c r="S474" s="12" t="s">
        <v>26</v>
      </c>
      <c r="T474" s="18">
        <v>45621</v>
      </c>
      <c r="U474" s="17">
        <v>0.45833333333333331</v>
      </c>
      <c r="V474" s="12" t="str">
        <f t="shared" si="29"/>
        <v>0 г. 0 мес. 1 дн.</v>
      </c>
      <c r="W474" s="22"/>
      <c r="X474" s="72"/>
    </row>
    <row r="475" spans="1:24" ht="35.1" customHeight="1" x14ac:dyDescent="0.25">
      <c r="A475" s="12">
        <f t="shared" si="27"/>
        <v>474</v>
      </c>
      <c r="B475" s="12">
        <v>2734</v>
      </c>
      <c r="C475" s="20" t="s">
        <v>77</v>
      </c>
      <c r="D475" s="18">
        <v>45621</v>
      </c>
      <c r="E475" s="17">
        <v>0.65972222222222221</v>
      </c>
      <c r="F475" s="12" t="s">
        <v>1309</v>
      </c>
      <c r="G475" s="18">
        <v>41257</v>
      </c>
      <c r="H475" s="12" t="str">
        <f t="shared" si="28"/>
        <v>11 г. 11 мес. 11 дн.</v>
      </c>
      <c r="I475" s="12" t="s">
        <v>121</v>
      </c>
      <c r="K475" s="12" t="s">
        <v>1310</v>
      </c>
      <c r="L475" s="12" t="s">
        <v>1311</v>
      </c>
      <c r="M475" s="12" t="s">
        <v>49</v>
      </c>
      <c r="N475" s="21"/>
      <c r="O475" s="12" t="s">
        <v>87</v>
      </c>
      <c r="P475" s="21"/>
      <c r="Q475" s="21"/>
      <c r="R475" s="21"/>
      <c r="S475" s="12" t="s">
        <v>77</v>
      </c>
      <c r="T475" s="18">
        <v>45623</v>
      </c>
      <c r="U475" s="17">
        <v>0.60416666666666663</v>
      </c>
      <c r="V475" s="12" t="str">
        <f t="shared" si="29"/>
        <v>0 г. 0 мес. 2 дн.</v>
      </c>
      <c r="W475" s="22"/>
      <c r="X475" s="72"/>
    </row>
    <row r="476" spans="1:24" ht="35.1" customHeight="1" x14ac:dyDescent="0.25">
      <c r="A476" s="12">
        <f t="shared" si="27"/>
        <v>475</v>
      </c>
      <c r="B476" s="12">
        <v>2731</v>
      </c>
      <c r="C476" s="20" t="s">
        <v>77</v>
      </c>
      <c r="D476" s="18">
        <v>45621</v>
      </c>
      <c r="E476" s="17">
        <v>0.73958333333333337</v>
      </c>
      <c r="F476" s="12" t="s">
        <v>1312</v>
      </c>
      <c r="G476" s="18">
        <v>43298</v>
      </c>
      <c r="H476" s="12" t="str">
        <f t="shared" si="28"/>
        <v>6 г. 4 мес. 8 дн.</v>
      </c>
      <c r="I476" s="12" t="s">
        <v>119</v>
      </c>
      <c r="J476" s="12" t="s">
        <v>77</v>
      </c>
      <c r="K476" s="12" t="s">
        <v>1313</v>
      </c>
      <c r="L476" s="12" t="s">
        <v>1314</v>
      </c>
      <c r="M476" s="12" t="s">
        <v>49</v>
      </c>
      <c r="N476" s="21"/>
      <c r="O476" s="12" t="s">
        <v>87</v>
      </c>
      <c r="P476" s="21"/>
      <c r="Q476" s="21"/>
      <c r="R476" s="21"/>
      <c r="S476" s="12" t="s">
        <v>77</v>
      </c>
      <c r="T476" s="18">
        <v>45623</v>
      </c>
      <c r="U476" s="17">
        <v>0.44791666666666669</v>
      </c>
      <c r="V476" s="12" t="str">
        <f t="shared" si="29"/>
        <v>0 г. 0 мес. 2 дн.</v>
      </c>
      <c r="W476" s="22"/>
      <c r="X476" s="72"/>
    </row>
    <row r="477" spans="1:24" ht="35.1" customHeight="1" x14ac:dyDescent="0.25">
      <c r="A477" s="12">
        <f t="shared" si="27"/>
        <v>476</v>
      </c>
      <c r="B477" s="12">
        <v>2610</v>
      </c>
      <c r="C477" s="20" t="s">
        <v>77</v>
      </c>
      <c r="D477" s="18">
        <v>45621</v>
      </c>
      <c r="E477" s="17">
        <v>0.5</v>
      </c>
      <c r="F477" s="12" t="s">
        <v>1263</v>
      </c>
      <c r="G477" s="18">
        <v>42434</v>
      </c>
      <c r="H477" s="12" t="str">
        <f t="shared" si="28"/>
        <v>8 г. 8 мес. 20 дн.</v>
      </c>
      <c r="I477" s="12" t="s">
        <v>120</v>
      </c>
      <c r="J477" s="12" t="s">
        <v>77</v>
      </c>
      <c r="K477" s="12" t="s">
        <v>1157</v>
      </c>
      <c r="L477" s="12" t="s">
        <v>1315</v>
      </c>
      <c r="M477" s="12" t="s">
        <v>49</v>
      </c>
      <c r="N477" s="21"/>
      <c r="O477" s="12" t="s">
        <v>87</v>
      </c>
      <c r="P477" s="21" t="s">
        <v>94</v>
      </c>
      <c r="Q477" s="21" t="s">
        <v>100</v>
      </c>
      <c r="R477" s="21"/>
      <c r="S477" s="12" t="s">
        <v>77</v>
      </c>
      <c r="T477" s="18">
        <v>45625</v>
      </c>
      <c r="U477" s="17">
        <v>0.5</v>
      </c>
      <c r="V477" s="12" t="str">
        <f t="shared" si="29"/>
        <v>0 г. 0 мес. 4 дн.</v>
      </c>
      <c r="W477" s="22"/>
      <c r="X477" s="72"/>
    </row>
    <row r="478" spans="1:24" ht="35.1" customHeight="1" x14ac:dyDescent="0.25">
      <c r="A478" s="12">
        <f t="shared" si="27"/>
        <v>477</v>
      </c>
      <c r="B478" s="12">
        <v>2730</v>
      </c>
      <c r="C478" s="20" t="s">
        <v>77</v>
      </c>
      <c r="D478" s="18">
        <v>45622</v>
      </c>
      <c r="E478" s="17">
        <v>0.54166666666666663</v>
      </c>
      <c r="F478" s="12" t="s">
        <v>1324</v>
      </c>
      <c r="G478" s="18">
        <v>42330</v>
      </c>
      <c r="H478" s="12" t="str">
        <f t="shared" si="28"/>
        <v>9 г. 0 мес. 4 дн.</v>
      </c>
      <c r="I478" s="12" t="s">
        <v>119</v>
      </c>
      <c r="J478" s="12" t="s">
        <v>77</v>
      </c>
      <c r="K478" s="12" t="s">
        <v>1365</v>
      </c>
      <c r="L478" s="12" t="s">
        <v>251</v>
      </c>
      <c r="M478" s="12" t="s">
        <v>49</v>
      </c>
      <c r="N478" s="21"/>
      <c r="O478" s="12" t="s">
        <v>87</v>
      </c>
      <c r="P478" s="21"/>
      <c r="Q478" s="21"/>
      <c r="R478" s="21"/>
      <c r="S478" s="12" t="s">
        <v>77</v>
      </c>
      <c r="T478" s="18">
        <v>45622</v>
      </c>
      <c r="U478" s="17">
        <v>0.75</v>
      </c>
      <c r="V478" s="12" t="str">
        <f t="shared" si="29"/>
        <v>0 г. 0 мес. 0 дн.</v>
      </c>
      <c r="W478" s="22"/>
      <c r="X478" s="72"/>
    </row>
    <row r="479" spans="1:24" ht="35.1" customHeight="1" x14ac:dyDescent="0.25">
      <c r="A479" s="12">
        <f t="shared" si="27"/>
        <v>478</v>
      </c>
      <c r="B479" s="12">
        <v>679</v>
      </c>
      <c r="C479" s="20" t="s">
        <v>28</v>
      </c>
      <c r="D479" s="18">
        <v>45622</v>
      </c>
      <c r="E479" s="17">
        <v>0.63194444444444442</v>
      </c>
      <c r="F479" s="12" t="s">
        <v>1357</v>
      </c>
      <c r="G479" s="18">
        <v>40593</v>
      </c>
      <c r="H479" s="12" t="str">
        <f t="shared" si="28"/>
        <v>13 г. 9 мес. 7 дн.</v>
      </c>
      <c r="I479" s="12" t="s">
        <v>118</v>
      </c>
      <c r="K479" s="12" t="s">
        <v>147</v>
      </c>
      <c r="L479" s="12" t="s">
        <v>885</v>
      </c>
      <c r="M479" s="12" t="s">
        <v>46</v>
      </c>
      <c r="O479" s="12" t="s">
        <v>87</v>
      </c>
      <c r="S479" s="12" t="s">
        <v>28</v>
      </c>
      <c r="T479" s="18">
        <v>45623</v>
      </c>
      <c r="U479" s="17">
        <v>0.5</v>
      </c>
      <c r="V479" s="12" t="str">
        <f t="shared" si="29"/>
        <v>0 г. 0 мес. 1 дн.</v>
      </c>
      <c r="W479" s="22"/>
      <c r="X479" s="72"/>
    </row>
    <row r="480" spans="1:24" ht="35.1" customHeight="1" x14ac:dyDescent="0.25">
      <c r="A480" s="12">
        <f t="shared" si="27"/>
        <v>479</v>
      </c>
      <c r="B480" s="12">
        <v>663</v>
      </c>
      <c r="C480" s="20" t="s">
        <v>28</v>
      </c>
      <c r="D480" s="18">
        <v>45622</v>
      </c>
      <c r="E480" s="17">
        <v>0.54513888888888895</v>
      </c>
      <c r="F480" s="12" t="s">
        <v>1316</v>
      </c>
      <c r="G480" s="18">
        <v>45116</v>
      </c>
      <c r="H480" s="12" t="str">
        <f t="shared" si="28"/>
        <v>1 г. 4 мес. 17 дн.</v>
      </c>
      <c r="I480" s="12" t="s">
        <v>120</v>
      </c>
      <c r="J480" s="12" t="s">
        <v>28</v>
      </c>
      <c r="K480" s="12" t="s">
        <v>147</v>
      </c>
      <c r="L480" s="12" t="s">
        <v>1317</v>
      </c>
      <c r="M480" s="12" t="s">
        <v>46</v>
      </c>
      <c r="N480" s="12">
        <v>175</v>
      </c>
      <c r="O480" s="12" t="s">
        <v>73</v>
      </c>
      <c r="S480" s="12" t="s">
        <v>27</v>
      </c>
      <c r="T480" s="18">
        <v>45629</v>
      </c>
      <c r="U480" s="17">
        <v>0.99652777777777779</v>
      </c>
      <c r="V480" s="12" t="str">
        <f t="shared" si="29"/>
        <v>0 г. 0 мес. 7 дн.</v>
      </c>
      <c r="W480" s="22"/>
      <c r="X480" s="72"/>
    </row>
    <row r="481" spans="1:24" ht="35.1" customHeight="1" x14ac:dyDescent="0.25">
      <c r="A481" s="40">
        <f t="shared" si="27"/>
        <v>480</v>
      </c>
      <c r="B481" s="40">
        <v>2757</v>
      </c>
      <c r="C481" s="41" t="s">
        <v>77</v>
      </c>
      <c r="D481" s="38">
        <v>45624</v>
      </c>
      <c r="E481" s="39">
        <v>0.43055555555555558</v>
      </c>
      <c r="F481" s="40" t="s">
        <v>1318</v>
      </c>
      <c r="G481" s="38">
        <v>45609</v>
      </c>
      <c r="H481" s="40" t="str">
        <f t="shared" si="28"/>
        <v>0 г. 0 мес. 15 дн.</v>
      </c>
      <c r="I481" s="40" t="s">
        <v>121</v>
      </c>
      <c r="J481" s="40"/>
      <c r="K481" s="40" t="s">
        <v>1319</v>
      </c>
      <c r="L481" s="40" t="s">
        <v>576</v>
      </c>
      <c r="M481" s="40" t="s">
        <v>49</v>
      </c>
      <c r="N481" s="40"/>
      <c r="O481" s="40" t="s">
        <v>86</v>
      </c>
      <c r="P481" s="40"/>
      <c r="Q481" s="40"/>
      <c r="R481" s="40"/>
      <c r="S481" s="40" t="s">
        <v>30</v>
      </c>
      <c r="T481" s="38">
        <v>45624</v>
      </c>
      <c r="U481" s="39">
        <v>0.52083333333333337</v>
      </c>
      <c r="V481" s="40" t="str">
        <f t="shared" si="29"/>
        <v>0 г. 0 мес. 0 дн.</v>
      </c>
      <c r="W481" s="42"/>
      <c r="X481" s="72"/>
    </row>
    <row r="482" spans="1:24" ht="35.1" customHeight="1" x14ac:dyDescent="0.25">
      <c r="A482" s="12">
        <f t="shared" si="27"/>
        <v>481</v>
      </c>
      <c r="B482" s="12">
        <v>827</v>
      </c>
      <c r="C482" s="20" t="s">
        <v>80</v>
      </c>
      <c r="D482" s="18">
        <v>45604</v>
      </c>
      <c r="E482" s="17">
        <v>0.58333333333333337</v>
      </c>
      <c r="F482" s="12" t="s">
        <v>171</v>
      </c>
      <c r="G482" s="18">
        <v>42529</v>
      </c>
      <c r="H482" s="12" t="str">
        <f t="shared" si="28"/>
        <v>8 г. 5 мес. 0 дн.</v>
      </c>
      <c r="I482" s="12" t="s">
        <v>118</v>
      </c>
      <c r="K482" s="12" t="s">
        <v>1320</v>
      </c>
      <c r="L482" s="12" t="s">
        <v>586</v>
      </c>
      <c r="M482" s="12" t="s">
        <v>48</v>
      </c>
      <c r="O482" s="12" t="s">
        <v>87</v>
      </c>
      <c r="S482" s="12" t="s">
        <v>31</v>
      </c>
      <c r="T482" s="18">
        <v>45624</v>
      </c>
      <c r="U482" s="17">
        <v>0.70833333333333337</v>
      </c>
      <c r="V482" s="12" t="str">
        <f t="shared" si="29"/>
        <v>0 г. 0 мес. 20 дн.</v>
      </c>
      <c r="W482" s="22"/>
      <c r="X482" s="72"/>
    </row>
    <row r="483" spans="1:24" ht="35.1" customHeight="1" x14ac:dyDescent="0.25">
      <c r="A483" s="12">
        <f t="shared" si="27"/>
        <v>482</v>
      </c>
      <c r="B483" s="12">
        <v>1748</v>
      </c>
      <c r="C483" s="20" t="s">
        <v>23</v>
      </c>
      <c r="D483" s="18">
        <v>45627</v>
      </c>
      <c r="E483" s="17">
        <v>0.74305555555555547</v>
      </c>
      <c r="F483" s="12" t="s">
        <v>1321</v>
      </c>
      <c r="G483" s="18">
        <v>42071</v>
      </c>
      <c r="H483" s="12" t="str">
        <f t="shared" si="28"/>
        <v>9 г. 8 мес. 23 дн.</v>
      </c>
      <c r="I483" s="12" t="s">
        <v>120</v>
      </c>
      <c r="J483" s="12" t="s">
        <v>23</v>
      </c>
      <c r="K483" s="12" t="s">
        <v>1322</v>
      </c>
      <c r="L483" s="12" t="s">
        <v>1323</v>
      </c>
      <c r="M483" s="12" t="s">
        <v>51</v>
      </c>
      <c r="O483" s="12" t="s">
        <v>87</v>
      </c>
      <c r="S483" s="12" t="s">
        <v>77</v>
      </c>
      <c r="T483" s="18">
        <v>45631</v>
      </c>
      <c r="U483" s="17">
        <v>0.5</v>
      </c>
      <c r="V483" s="12" t="str">
        <f t="shared" si="29"/>
        <v>0 г. 0 мес. 4 дн.</v>
      </c>
      <c r="W483" s="22"/>
      <c r="X483" s="72"/>
    </row>
    <row r="484" spans="1:24" ht="35.1" customHeight="1" x14ac:dyDescent="0.25">
      <c r="A484" s="12">
        <f t="shared" si="27"/>
        <v>483</v>
      </c>
      <c r="B484" s="21">
        <v>2544</v>
      </c>
      <c r="C484" s="20" t="s">
        <v>77</v>
      </c>
      <c r="D484" s="18">
        <v>45621</v>
      </c>
      <c r="E484" s="17">
        <v>0.49652777777777773</v>
      </c>
      <c r="F484" s="12" t="s">
        <v>1324</v>
      </c>
      <c r="G484" s="18">
        <v>42330</v>
      </c>
      <c r="H484" s="12" t="str">
        <f t="shared" si="28"/>
        <v>9 г. 0 мес. 3 дн.</v>
      </c>
      <c r="I484" s="12" t="s">
        <v>120</v>
      </c>
      <c r="J484" s="12" t="s">
        <v>77</v>
      </c>
      <c r="K484" s="12" t="s">
        <v>1325</v>
      </c>
      <c r="L484" s="12" t="s">
        <v>1326</v>
      </c>
      <c r="M484" s="12" t="s">
        <v>49</v>
      </c>
      <c r="N484" s="21"/>
      <c r="O484" s="12" t="s">
        <v>87</v>
      </c>
      <c r="P484" s="21"/>
      <c r="Q484" s="21"/>
      <c r="R484" s="21"/>
      <c r="S484" s="12" t="s">
        <v>77</v>
      </c>
      <c r="T484" s="18">
        <v>45622</v>
      </c>
      <c r="U484" s="17">
        <v>0.74097222222222225</v>
      </c>
      <c r="V484" s="12" t="str">
        <f t="shared" si="29"/>
        <v>0 г. 0 мес. 1 дн.</v>
      </c>
      <c r="W484" s="22"/>
      <c r="X484" s="72"/>
    </row>
    <row r="485" spans="1:24" ht="35.1" customHeight="1" x14ac:dyDescent="0.25">
      <c r="A485" s="12">
        <f t="shared" si="27"/>
        <v>484</v>
      </c>
      <c r="B485" s="12">
        <v>2753</v>
      </c>
      <c r="C485" s="20" t="s">
        <v>77</v>
      </c>
      <c r="D485" s="18">
        <v>45623</v>
      </c>
      <c r="E485" s="17">
        <v>0.46875</v>
      </c>
      <c r="F485" s="12" t="s">
        <v>1327</v>
      </c>
      <c r="G485" s="18">
        <v>39936</v>
      </c>
      <c r="H485" s="12" t="str">
        <f t="shared" si="28"/>
        <v>15 г. 6 мес. 24 дн.</v>
      </c>
      <c r="I485" s="12" t="s">
        <v>119</v>
      </c>
      <c r="J485" s="12" t="s">
        <v>77</v>
      </c>
      <c r="K485" s="12" t="s">
        <v>1328</v>
      </c>
      <c r="L485" s="12" t="s">
        <v>1329</v>
      </c>
      <c r="M485" s="12" t="s">
        <v>49</v>
      </c>
      <c r="O485" s="12" t="s">
        <v>73</v>
      </c>
      <c r="S485" s="12" t="s">
        <v>77</v>
      </c>
      <c r="T485" s="18">
        <v>45625</v>
      </c>
      <c r="U485" s="17">
        <v>0.45624999999999999</v>
      </c>
      <c r="V485" s="12" t="str">
        <f t="shared" si="29"/>
        <v>0 г. 0 мес. 2 дн.</v>
      </c>
      <c r="W485" s="22"/>
      <c r="X485" s="72"/>
    </row>
    <row r="486" spans="1:24" ht="35.1" customHeight="1" x14ac:dyDescent="0.25">
      <c r="A486" s="12">
        <f t="shared" si="27"/>
        <v>485</v>
      </c>
      <c r="B486" s="12">
        <v>860</v>
      </c>
      <c r="C486" s="20" t="s">
        <v>26</v>
      </c>
      <c r="D486" s="18">
        <v>45618</v>
      </c>
      <c r="E486" s="17">
        <v>0.99305555555555547</v>
      </c>
      <c r="F486" s="12" t="s">
        <v>1330</v>
      </c>
      <c r="G486" s="18">
        <v>40676</v>
      </c>
      <c r="H486" s="12" t="str">
        <f t="shared" si="28"/>
        <v>13 г. 6 мес. 9 дн.</v>
      </c>
      <c r="I486" s="12" t="s">
        <v>118</v>
      </c>
      <c r="K486" s="12" t="s">
        <v>1331</v>
      </c>
      <c r="L486" s="12" t="s">
        <v>1332</v>
      </c>
      <c r="M486" s="12" t="s">
        <v>55</v>
      </c>
      <c r="O486" s="12" t="s">
        <v>87</v>
      </c>
      <c r="S486" s="12" t="s">
        <v>26</v>
      </c>
      <c r="T486" s="18">
        <v>45619</v>
      </c>
      <c r="U486" s="17">
        <v>0.38958333333333334</v>
      </c>
      <c r="V486" s="12" t="str">
        <f t="shared" si="29"/>
        <v>0 г. 0 мес. 1 дн.</v>
      </c>
      <c r="W486" s="22"/>
      <c r="X486" s="72"/>
    </row>
    <row r="487" spans="1:24" ht="35.1" customHeight="1" x14ac:dyDescent="0.25">
      <c r="A487" s="12">
        <f t="shared" si="27"/>
        <v>486</v>
      </c>
      <c r="B487" s="12">
        <v>686</v>
      </c>
      <c r="C487" s="20" t="s">
        <v>28</v>
      </c>
      <c r="D487" s="18">
        <v>45628</v>
      </c>
      <c r="E487" s="17">
        <v>0.58333333333333337</v>
      </c>
      <c r="F487" s="12" t="s">
        <v>1333</v>
      </c>
      <c r="G487" s="18">
        <v>44348</v>
      </c>
      <c r="H487" s="12" t="str">
        <f t="shared" si="28"/>
        <v>3 г. 6 мес. 1 дн.</v>
      </c>
      <c r="I487" s="12" t="s">
        <v>120</v>
      </c>
      <c r="J487" s="12" t="s">
        <v>28</v>
      </c>
      <c r="K487" s="12" t="s">
        <v>1334</v>
      </c>
      <c r="L487" s="12" t="s">
        <v>1335</v>
      </c>
      <c r="M487" s="12" t="s">
        <v>46</v>
      </c>
      <c r="O487" s="12" t="s">
        <v>87</v>
      </c>
      <c r="S487" s="12" t="s">
        <v>28</v>
      </c>
      <c r="T487" s="18">
        <v>45630</v>
      </c>
      <c r="U487" s="17">
        <v>0.41666666666666669</v>
      </c>
      <c r="V487" s="12" t="str">
        <f t="shared" si="29"/>
        <v>0 г. 0 мес. 2 дн.</v>
      </c>
      <c r="W487" s="22"/>
      <c r="X487" s="72"/>
    </row>
    <row r="488" spans="1:24" ht="35.1" customHeight="1" x14ac:dyDescent="0.25">
      <c r="A488" s="12">
        <f t="shared" si="27"/>
        <v>487</v>
      </c>
      <c r="B488" s="12">
        <v>573</v>
      </c>
      <c r="C488" s="20" t="s">
        <v>24</v>
      </c>
      <c r="D488" s="18">
        <v>45628</v>
      </c>
      <c r="E488" s="17">
        <v>0.5</v>
      </c>
      <c r="F488" s="12" t="s">
        <v>1336</v>
      </c>
      <c r="G488" s="18">
        <v>39658</v>
      </c>
      <c r="H488" s="12" t="str">
        <f t="shared" si="28"/>
        <v>16 г. 4 мес. 3 дн.</v>
      </c>
      <c r="I488" s="12" t="s">
        <v>120</v>
      </c>
      <c r="J488" s="12" t="s">
        <v>24</v>
      </c>
      <c r="K488" s="12" t="s">
        <v>1337</v>
      </c>
      <c r="L488" s="12" t="s">
        <v>1338</v>
      </c>
      <c r="M488" s="12" t="s">
        <v>46</v>
      </c>
      <c r="O488" s="12" t="s">
        <v>87</v>
      </c>
      <c r="S488" s="12" t="s">
        <v>24</v>
      </c>
      <c r="T488" s="18">
        <v>45631</v>
      </c>
      <c r="U488" s="17">
        <v>0.45833333333333331</v>
      </c>
      <c r="V488" s="12" t="str">
        <f t="shared" si="29"/>
        <v>0 г. 0 мес. 3 дн.</v>
      </c>
      <c r="W488" s="22"/>
      <c r="X488" s="72" t="s">
        <v>1339</v>
      </c>
    </row>
    <row r="489" spans="1:24" ht="35.1" customHeight="1" x14ac:dyDescent="0.25">
      <c r="A489" s="12">
        <f t="shared" si="27"/>
        <v>488</v>
      </c>
      <c r="B489" s="12">
        <v>2793</v>
      </c>
      <c r="C489" s="20" t="s">
        <v>77</v>
      </c>
      <c r="D489" s="18">
        <v>45628</v>
      </c>
      <c r="E489" s="17">
        <v>0.94097222222222221</v>
      </c>
      <c r="F489" s="12" t="s">
        <v>1341</v>
      </c>
      <c r="G489" s="18">
        <v>45100</v>
      </c>
      <c r="H489" s="12" t="str">
        <f t="shared" si="28"/>
        <v>1 г. 5 мес. 9 дн.</v>
      </c>
      <c r="I489" s="12" t="s">
        <v>118</v>
      </c>
      <c r="K489" s="12" t="s">
        <v>1342</v>
      </c>
      <c r="L489" s="12" t="s">
        <v>701</v>
      </c>
      <c r="M489" s="12" t="s">
        <v>54</v>
      </c>
      <c r="O489" s="12" t="s">
        <v>73</v>
      </c>
      <c r="S489" s="12" t="s">
        <v>77</v>
      </c>
      <c r="T489" s="18">
        <v>45632</v>
      </c>
      <c r="U489" s="17">
        <v>0.5</v>
      </c>
      <c r="V489" s="12" t="str">
        <f t="shared" si="29"/>
        <v>0 г. 0 мес. 4 дн.</v>
      </c>
      <c r="W489" s="22"/>
      <c r="X489" s="72"/>
    </row>
    <row r="490" spans="1:24" ht="35.1" customHeight="1" x14ac:dyDescent="0.25">
      <c r="A490" s="12">
        <f t="shared" si="27"/>
        <v>489</v>
      </c>
      <c r="B490" s="12">
        <v>2791</v>
      </c>
      <c r="C490" s="20" t="s">
        <v>77</v>
      </c>
      <c r="D490" s="18">
        <v>45629</v>
      </c>
      <c r="E490" s="17">
        <v>2.0833333333333332E-2</v>
      </c>
      <c r="F490" s="12" t="s">
        <v>1343</v>
      </c>
      <c r="G490" s="18">
        <v>45454</v>
      </c>
      <c r="H490" s="12" t="str">
        <f t="shared" si="28"/>
        <v>0 г. 5 мес. 22 дн.</v>
      </c>
      <c r="I490" s="12" t="s">
        <v>119</v>
      </c>
      <c r="J490" s="12" t="s">
        <v>77</v>
      </c>
      <c r="K490" s="12" t="s">
        <v>748</v>
      </c>
      <c r="L490" s="12" t="s">
        <v>1344</v>
      </c>
      <c r="M490" s="12" t="s">
        <v>49</v>
      </c>
      <c r="O490" s="12" t="s">
        <v>87</v>
      </c>
      <c r="S490" s="12" t="s">
        <v>77</v>
      </c>
      <c r="T490" s="18">
        <v>45630</v>
      </c>
      <c r="U490" s="17">
        <v>0.41666666666666669</v>
      </c>
      <c r="V490" s="12" t="str">
        <f t="shared" si="29"/>
        <v>0 г. 0 мес. 1 дн.</v>
      </c>
      <c r="W490" s="22"/>
      <c r="X490" s="72"/>
    </row>
    <row r="491" spans="1:24" ht="35.1" customHeight="1" x14ac:dyDescent="0.25">
      <c r="A491" s="12">
        <f t="shared" si="27"/>
        <v>490</v>
      </c>
      <c r="B491" s="12">
        <v>695</v>
      </c>
      <c r="C491" s="20" t="s">
        <v>28</v>
      </c>
      <c r="D491" s="18">
        <v>45632</v>
      </c>
      <c r="E491" s="17">
        <v>0.61111111111111105</v>
      </c>
      <c r="F491" s="12" t="s">
        <v>1345</v>
      </c>
      <c r="G491" s="18">
        <v>42482</v>
      </c>
      <c r="H491" s="12" t="str">
        <f t="shared" si="28"/>
        <v>8 г. 7 мес. 14 дн.</v>
      </c>
      <c r="I491" s="12" t="s">
        <v>118</v>
      </c>
      <c r="K491" s="12" t="s">
        <v>1346</v>
      </c>
      <c r="L491" s="12" t="s">
        <v>885</v>
      </c>
      <c r="M491" s="12" t="s">
        <v>46</v>
      </c>
      <c r="O491" s="12" t="s">
        <v>87</v>
      </c>
      <c r="S491" s="12" t="s">
        <v>28</v>
      </c>
      <c r="T491" s="18">
        <v>45633</v>
      </c>
      <c r="U491" s="17">
        <v>0.5</v>
      </c>
      <c r="V491" s="12" t="str">
        <f t="shared" si="29"/>
        <v>0 г. 0 мес. 1 дн.</v>
      </c>
      <c r="W491" s="22"/>
      <c r="X491" s="72"/>
    </row>
    <row r="492" spans="1:24" ht="35.1" customHeight="1" x14ac:dyDescent="0.25">
      <c r="A492" s="12">
        <f t="shared" si="27"/>
        <v>491</v>
      </c>
      <c r="B492" s="12">
        <v>907</v>
      </c>
      <c r="C492" s="20" t="s">
        <v>26</v>
      </c>
      <c r="D492" s="18">
        <v>45633</v>
      </c>
      <c r="E492" s="17">
        <v>0.79513888888888884</v>
      </c>
      <c r="F492" s="12" t="s">
        <v>1347</v>
      </c>
      <c r="G492" s="18">
        <v>39409</v>
      </c>
      <c r="H492" s="12" t="str">
        <f t="shared" si="28"/>
        <v>17 г. 0 мес. 14 дн.</v>
      </c>
      <c r="I492" s="12" t="s">
        <v>118</v>
      </c>
      <c r="K492" s="12" t="s">
        <v>1348</v>
      </c>
      <c r="L492" s="12" t="s">
        <v>1349</v>
      </c>
      <c r="M492" s="12" t="s">
        <v>55</v>
      </c>
      <c r="O492" s="12" t="s">
        <v>87</v>
      </c>
      <c r="S492" s="12" t="s">
        <v>26</v>
      </c>
      <c r="T492" s="18">
        <v>45635</v>
      </c>
      <c r="U492" s="17">
        <v>0.4145833333333333</v>
      </c>
      <c r="V492" s="12" t="str">
        <f t="shared" si="29"/>
        <v>0 г. 0 мес. 2 дн.</v>
      </c>
      <c r="W492" s="22"/>
      <c r="X492" s="72"/>
    </row>
    <row r="493" spans="1:24" ht="35.1" customHeight="1" x14ac:dyDescent="0.25">
      <c r="A493" s="12">
        <f t="shared" si="27"/>
        <v>492</v>
      </c>
      <c r="B493" s="69">
        <v>702</v>
      </c>
      <c r="C493" s="20" t="s">
        <v>28</v>
      </c>
      <c r="D493" s="71">
        <v>45635</v>
      </c>
      <c r="E493" s="17">
        <v>0.75347222222222221</v>
      </c>
      <c r="F493" s="12" t="s">
        <v>1354</v>
      </c>
      <c r="G493" s="18">
        <v>39519</v>
      </c>
      <c r="H493" s="12" t="str">
        <f>DATEDIF(G493,D494,"y") &amp; " г. " &amp; DATEDIF(G493,D494,"ym") &amp; " мес. " &amp; DATEDIF(G493,D494,"md") &amp; " дн."</f>
        <v>16 г. 8 мес. 28 дн.</v>
      </c>
      <c r="I493" s="12" t="s">
        <v>121</v>
      </c>
      <c r="K493" s="12" t="s">
        <v>1350</v>
      </c>
      <c r="L493" s="12" t="s">
        <v>1351</v>
      </c>
      <c r="M493" s="12" t="s">
        <v>46</v>
      </c>
      <c r="O493" s="12" t="s">
        <v>87</v>
      </c>
      <c r="S493" s="12" t="s">
        <v>77</v>
      </c>
      <c r="T493" s="18">
        <v>45645</v>
      </c>
      <c r="U493" s="17">
        <v>0.5</v>
      </c>
      <c r="V493" s="12" t="str">
        <f>DATEDIF(D494,T493,"y") &amp; " г. " &amp; DATEDIF(D494,T493,"ym") &amp; " мес. " &amp; DATEDIF(D494,T493,"md") &amp; " дн."</f>
        <v>0 г. 0 мес. 9 дн.</v>
      </c>
      <c r="W493" s="22"/>
      <c r="X493" s="72"/>
    </row>
    <row r="494" spans="1:24" ht="35.1" customHeight="1" x14ac:dyDescent="0.25">
      <c r="A494" s="12">
        <f t="shared" si="27"/>
        <v>493</v>
      </c>
      <c r="B494" s="12">
        <v>2860</v>
      </c>
      <c r="C494" s="20" t="s">
        <v>77</v>
      </c>
      <c r="D494" s="18">
        <v>45636</v>
      </c>
      <c r="E494" s="17">
        <v>0.72916666666666663</v>
      </c>
      <c r="F494" s="12" t="s">
        <v>1352</v>
      </c>
      <c r="G494" s="18">
        <v>39541</v>
      </c>
      <c r="H494" s="12" t="str">
        <f>DATEDIF(G494,D495,"y") &amp; " г. " &amp; DATEDIF(G494,D495,"ym") &amp; " мес. " &amp; DATEDIF(G494,D495,"md") &amp; " дн."</f>
        <v>16 г. 8 мес. 7 дн.</v>
      </c>
      <c r="I494" s="12" t="s">
        <v>119</v>
      </c>
      <c r="J494" s="12" t="s">
        <v>77</v>
      </c>
      <c r="K494" s="12" t="s">
        <v>1342</v>
      </c>
      <c r="L494" s="12" t="s">
        <v>1353</v>
      </c>
      <c r="M494" s="12" t="s">
        <v>49</v>
      </c>
      <c r="O494" s="12" t="s">
        <v>73</v>
      </c>
      <c r="P494" s="12" t="s">
        <v>94</v>
      </c>
      <c r="S494" s="12" t="s">
        <v>77</v>
      </c>
      <c r="T494" s="18">
        <v>45640</v>
      </c>
      <c r="U494" s="17">
        <v>0.5</v>
      </c>
      <c r="V494" s="12" t="str">
        <f>DATEDIF(D495,T494,"y") &amp; " г. " &amp; DATEDIF(D495,T494,"ym") &amp; " мес. " &amp; DATEDIF(D495,T494,"md") &amp; " дн."</f>
        <v>0 г. 0 мес. 4 дн.</v>
      </c>
      <c r="W494" s="22"/>
      <c r="X494" s="72"/>
    </row>
    <row r="495" spans="1:24" ht="35.1" customHeight="1" x14ac:dyDescent="0.25">
      <c r="A495" s="12">
        <f t="shared" si="27"/>
        <v>494</v>
      </c>
      <c r="B495" s="12">
        <v>2770</v>
      </c>
      <c r="C495" s="20" t="s">
        <v>77</v>
      </c>
      <c r="D495" s="18">
        <v>45636</v>
      </c>
      <c r="E495" s="17">
        <v>0.56805555555555554</v>
      </c>
      <c r="F495" s="12" t="s">
        <v>1267</v>
      </c>
      <c r="G495" s="18">
        <v>41438</v>
      </c>
      <c r="H495" s="12" t="str">
        <f t="shared" si="28"/>
        <v>11 г. 5 мес. 27 дн.</v>
      </c>
      <c r="I495" s="12" t="s">
        <v>119</v>
      </c>
      <c r="J495" s="12" t="s">
        <v>77</v>
      </c>
      <c r="K495" s="12" t="s">
        <v>1268</v>
      </c>
      <c r="L495" s="12" t="s">
        <v>1356</v>
      </c>
      <c r="M495" s="12" t="s">
        <v>53</v>
      </c>
      <c r="O495" s="12" t="s">
        <v>87</v>
      </c>
      <c r="S495" s="12" t="s">
        <v>77</v>
      </c>
      <c r="T495" s="18">
        <v>45636</v>
      </c>
      <c r="U495" s="17">
        <v>0.79166666666666663</v>
      </c>
      <c r="V495" s="12" t="str">
        <f t="shared" si="29"/>
        <v>0 г. 0 мес. 0 дн.</v>
      </c>
      <c r="W495" s="22"/>
      <c r="X495" s="72"/>
    </row>
    <row r="496" spans="1:24" ht="35.1" customHeight="1" x14ac:dyDescent="0.25">
      <c r="A496" s="12">
        <f t="shared" si="27"/>
        <v>495</v>
      </c>
      <c r="B496" s="12">
        <v>913</v>
      </c>
      <c r="C496" s="20" t="s">
        <v>26</v>
      </c>
      <c r="D496" s="18">
        <v>45635</v>
      </c>
      <c r="E496" s="17">
        <v>0.52777777777777779</v>
      </c>
      <c r="F496" s="12" t="s">
        <v>1358</v>
      </c>
      <c r="G496" s="18">
        <v>44253</v>
      </c>
      <c r="H496" s="12" t="str">
        <f t="shared" si="28"/>
        <v>3 г. 9 мес. 13 дн.</v>
      </c>
      <c r="I496" s="12" t="s">
        <v>118</v>
      </c>
      <c r="K496" s="12" t="s">
        <v>1359</v>
      </c>
      <c r="L496" s="12" t="s">
        <v>1360</v>
      </c>
      <c r="M496" s="12" t="s">
        <v>55</v>
      </c>
      <c r="O496" s="12" t="s">
        <v>87</v>
      </c>
      <c r="S496" s="12" t="s">
        <v>26</v>
      </c>
      <c r="T496" s="18">
        <v>45636</v>
      </c>
      <c r="U496" s="17">
        <v>0.40138888888888885</v>
      </c>
      <c r="V496" s="12" t="str">
        <f t="shared" si="29"/>
        <v>0 г. 0 мес. 1 дн.</v>
      </c>
      <c r="W496" s="22"/>
      <c r="X496" s="72"/>
    </row>
    <row r="497" spans="1:24" ht="35.1" customHeight="1" x14ac:dyDescent="0.25">
      <c r="A497" s="12">
        <f t="shared" si="27"/>
        <v>496</v>
      </c>
      <c r="B497" s="12">
        <v>2862</v>
      </c>
      <c r="C497" s="20" t="s">
        <v>77</v>
      </c>
      <c r="D497" s="18">
        <v>45610</v>
      </c>
      <c r="E497" s="17">
        <v>0.58333333333333337</v>
      </c>
      <c r="F497" s="12" t="s">
        <v>1165</v>
      </c>
      <c r="G497" s="18">
        <v>45118</v>
      </c>
      <c r="H497" s="12" t="str">
        <f t="shared" si="28"/>
        <v>1 г. 4 мес. 3 дн.</v>
      </c>
      <c r="I497" s="12" t="s">
        <v>119</v>
      </c>
      <c r="J497" s="12" t="s">
        <v>77</v>
      </c>
      <c r="K497" s="12" t="s">
        <v>1166</v>
      </c>
      <c r="L497" s="12" t="s">
        <v>1361</v>
      </c>
      <c r="M497" s="12" t="s">
        <v>54</v>
      </c>
      <c r="O497" s="12" t="s">
        <v>87</v>
      </c>
      <c r="S497" s="12" t="s">
        <v>77</v>
      </c>
      <c r="T497" s="18">
        <v>45611</v>
      </c>
      <c r="U497" s="17">
        <v>0.4597222222222222</v>
      </c>
      <c r="V497" s="12" t="str">
        <f t="shared" si="29"/>
        <v>0 г. 0 мес. 1 дн.</v>
      </c>
      <c r="W497" s="22"/>
      <c r="X497" s="72"/>
    </row>
    <row r="498" spans="1:24" ht="35.1" customHeight="1" x14ac:dyDescent="0.2">
      <c r="A498" s="13">
        <f t="shared" si="27"/>
        <v>497</v>
      </c>
      <c r="B498" s="13">
        <v>1751</v>
      </c>
      <c r="C498" s="14" t="s">
        <v>77</v>
      </c>
      <c r="D498" s="16">
        <v>45630</v>
      </c>
      <c r="E498" s="15">
        <v>0.54513888888888895</v>
      </c>
      <c r="F498" s="75" t="s">
        <v>1362</v>
      </c>
      <c r="G498" s="16">
        <v>39401</v>
      </c>
      <c r="H498" s="13" t="str">
        <f t="shared" si="28"/>
        <v>17 г. 0 мес. 19 дн.</v>
      </c>
      <c r="I498" s="13" t="s">
        <v>119</v>
      </c>
      <c r="J498" s="12" t="s">
        <v>77</v>
      </c>
      <c r="K498" s="13" t="s">
        <v>1363</v>
      </c>
      <c r="L498" s="13" t="s">
        <v>1106</v>
      </c>
      <c r="M498" s="13" t="s">
        <v>51</v>
      </c>
      <c r="N498" s="13"/>
      <c r="O498" s="12" t="s">
        <v>87</v>
      </c>
      <c r="P498" s="13" t="s">
        <v>94</v>
      </c>
      <c r="Q498" s="13"/>
      <c r="R498" s="13"/>
      <c r="S498" s="13" t="s">
        <v>77</v>
      </c>
      <c r="T498" s="16">
        <v>45632</v>
      </c>
      <c r="U498" s="15">
        <v>0.4770833333333333</v>
      </c>
      <c r="V498" s="13" t="str">
        <f t="shared" si="29"/>
        <v>0 г. 0 мес. 2 дн.</v>
      </c>
      <c r="W498" s="22"/>
    </row>
    <row r="499" spans="1:24" ht="35.1" customHeight="1" x14ac:dyDescent="0.25">
      <c r="A499" s="12">
        <f t="shared" si="27"/>
        <v>498</v>
      </c>
      <c r="B499" s="12">
        <v>1378</v>
      </c>
      <c r="C499" s="20" t="s">
        <v>27</v>
      </c>
      <c r="D499" s="18">
        <v>45630</v>
      </c>
      <c r="E499" s="17">
        <v>6.9444444444444441E-3</v>
      </c>
      <c r="F499" s="12" t="s">
        <v>1316</v>
      </c>
      <c r="G499" s="18">
        <v>45116</v>
      </c>
      <c r="H499" s="12" t="str">
        <f t="shared" si="28"/>
        <v>1 г. 4 мес. 25 дн.</v>
      </c>
      <c r="I499" s="12" t="s">
        <v>123</v>
      </c>
      <c r="J499" s="12" t="s">
        <v>28</v>
      </c>
      <c r="K499" s="12" t="s">
        <v>464</v>
      </c>
      <c r="L499" s="12" t="s">
        <v>1366</v>
      </c>
      <c r="M499" s="12" t="s">
        <v>48</v>
      </c>
      <c r="N499" s="12">
        <v>300</v>
      </c>
      <c r="O499" s="12" t="s">
        <v>87</v>
      </c>
      <c r="Q499" s="12" t="s">
        <v>101</v>
      </c>
      <c r="S499" s="12" t="s">
        <v>80</v>
      </c>
      <c r="T499" s="18">
        <v>45643</v>
      </c>
      <c r="U499" s="17">
        <v>0.99305555555555547</v>
      </c>
      <c r="V499" s="12" t="str">
        <f t="shared" si="29"/>
        <v>0 г. 0 мес. 13 дн.</v>
      </c>
      <c r="W499" s="22"/>
      <c r="X499" s="72"/>
    </row>
    <row r="500" spans="1:24" ht="35.1" customHeight="1" x14ac:dyDescent="0.25">
      <c r="A500" s="12">
        <f t="shared" si="27"/>
        <v>499</v>
      </c>
      <c r="B500" s="12">
        <v>1379</v>
      </c>
      <c r="C500" s="20" t="s">
        <v>27</v>
      </c>
      <c r="D500" s="18">
        <v>45630</v>
      </c>
      <c r="E500" s="17">
        <v>0.19166666666666665</v>
      </c>
      <c r="F500" s="12" t="s">
        <v>1219</v>
      </c>
      <c r="G500" s="18">
        <v>39803</v>
      </c>
      <c r="H500" s="12" t="str">
        <f t="shared" si="28"/>
        <v>15 г. 11 мес. 13 дн.</v>
      </c>
      <c r="I500" s="12" t="s">
        <v>123</v>
      </c>
      <c r="J500" s="12" t="s">
        <v>80</v>
      </c>
      <c r="K500" s="12" t="s">
        <v>748</v>
      </c>
      <c r="L500" s="12" t="s">
        <v>1367</v>
      </c>
      <c r="M500" s="12" t="s">
        <v>48</v>
      </c>
      <c r="N500" s="12">
        <v>1019</v>
      </c>
      <c r="O500" s="12" t="s">
        <v>73</v>
      </c>
      <c r="Q500" s="12" t="s">
        <v>101</v>
      </c>
      <c r="S500" s="12" t="s">
        <v>31</v>
      </c>
      <c r="T500" s="18">
        <v>45673</v>
      </c>
      <c r="U500" s="17">
        <v>0.4861111111111111</v>
      </c>
      <c r="V500" s="12" t="str">
        <f t="shared" si="29"/>
        <v>0 г. 1 мес. 12 дн.</v>
      </c>
      <c r="W500" s="22"/>
      <c r="X500" s="72"/>
    </row>
    <row r="501" spans="1:24" ht="35.1" customHeight="1" x14ac:dyDescent="0.25">
      <c r="A501" s="12">
        <f t="shared" si="27"/>
        <v>500</v>
      </c>
      <c r="B501" s="12">
        <v>919</v>
      </c>
      <c r="C501" s="20" t="s">
        <v>26</v>
      </c>
      <c r="D501" s="18">
        <v>45637</v>
      </c>
      <c r="E501" s="17">
        <v>0.47222222222222227</v>
      </c>
      <c r="F501" s="12" t="s">
        <v>1368</v>
      </c>
      <c r="G501" s="18">
        <v>44435</v>
      </c>
      <c r="H501" s="12" t="str">
        <f t="shared" si="28"/>
        <v>3 г. 3 мес. 14 дн.</v>
      </c>
      <c r="I501" s="12" t="s">
        <v>75</v>
      </c>
      <c r="K501" s="12" t="s">
        <v>1369</v>
      </c>
      <c r="L501" s="12" t="s">
        <v>1370</v>
      </c>
      <c r="M501" s="12" t="s">
        <v>47</v>
      </c>
      <c r="O501" s="12" t="s">
        <v>87</v>
      </c>
      <c r="S501" s="12" t="s">
        <v>26</v>
      </c>
      <c r="T501" s="18">
        <v>45639</v>
      </c>
      <c r="U501" s="17">
        <v>0.4375</v>
      </c>
      <c r="V501" s="12" t="str">
        <f t="shared" si="29"/>
        <v>0 г. 0 мес. 2 дн.</v>
      </c>
      <c r="W501" s="22"/>
      <c r="X501" s="72"/>
    </row>
    <row r="502" spans="1:24" ht="35.1" customHeight="1" x14ac:dyDescent="0.25">
      <c r="A502" s="12">
        <f t="shared" si="27"/>
        <v>501</v>
      </c>
      <c r="B502" s="12">
        <v>704</v>
      </c>
      <c r="C502" s="20" t="s">
        <v>28</v>
      </c>
      <c r="D502" s="18">
        <v>45637</v>
      </c>
      <c r="E502" s="17">
        <v>0.58333333333333337</v>
      </c>
      <c r="F502" s="12" t="s">
        <v>1371</v>
      </c>
      <c r="G502" s="18">
        <v>40006</v>
      </c>
      <c r="H502" s="12" t="str">
        <f t="shared" si="28"/>
        <v>15 г. 4 мес. 29 дн.</v>
      </c>
      <c r="I502" s="12" t="s">
        <v>118</v>
      </c>
      <c r="K502" s="12" t="s">
        <v>1372</v>
      </c>
      <c r="L502" s="12" t="s">
        <v>1373</v>
      </c>
      <c r="M502" s="12" t="s">
        <v>46</v>
      </c>
      <c r="O502" s="12" t="s">
        <v>87</v>
      </c>
      <c r="S502" s="12" t="s">
        <v>28</v>
      </c>
      <c r="T502" s="18">
        <v>45638</v>
      </c>
      <c r="U502" s="17">
        <v>0.46527777777777773</v>
      </c>
      <c r="V502" s="12" t="str">
        <f t="shared" si="29"/>
        <v>0 г. 0 мес. 1 дн.</v>
      </c>
      <c r="W502" s="22"/>
      <c r="X502" s="72"/>
    </row>
    <row r="503" spans="1:24" ht="35.1" customHeight="1" x14ac:dyDescent="0.25">
      <c r="A503" s="12">
        <f t="shared" si="27"/>
        <v>502</v>
      </c>
      <c r="B503" s="12">
        <v>920</v>
      </c>
      <c r="C503" s="20" t="s">
        <v>26</v>
      </c>
      <c r="D503" s="18">
        <v>45637</v>
      </c>
      <c r="E503" s="17">
        <v>0.64722222222222225</v>
      </c>
      <c r="F503" s="12" t="s">
        <v>1374</v>
      </c>
      <c r="G503" s="18">
        <v>40238</v>
      </c>
      <c r="H503" s="12" t="str">
        <f t="shared" si="28"/>
        <v>14 г. 9 мес. 10 дн.</v>
      </c>
      <c r="I503" s="12" t="s">
        <v>118</v>
      </c>
      <c r="K503" s="12" t="s">
        <v>1375</v>
      </c>
      <c r="L503" s="12" t="s">
        <v>544</v>
      </c>
      <c r="M503" s="12" t="s">
        <v>55</v>
      </c>
      <c r="O503" s="12" t="s">
        <v>87</v>
      </c>
      <c r="S503" s="12" t="s">
        <v>26</v>
      </c>
      <c r="T503" s="18">
        <v>45638</v>
      </c>
      <c r="U503" s="17">
        <v>0.47916666666666669</v>
      </c>
      <c r="V503" s="12" t="str">
        <f t="shared" si="29"/>
        <v>0 г. 0 мес. 1 дн.</v>
      </c>
      <c r="W503" s="22"/>
      <c r="X503" s="72"/>
    </row>
    <row r="504" spans="1:24" ht="35.1" customHeight="1" x14ac:dyDescent="0.25">
      <c r="A504" s="12">
        <f t="shared" si="27"/>
        <v>503</v>
      </c>
      <c r="B504" s="12">
        <v>1427</v>
      </c>
      <c r="C504" s="20" t="s">
        <v>1376</v>
      </c>
      <c r="D504" s="18">
        <v>45638</v>
      </c>
      <c r="E504" s="17">
        <v>0.70138888888888884</v>
      </c>
      <c r="F504" s="12" t="s">
        <v>1377</v>
      </c>
      <c r="G504" s="18">
        <v>40208</v>
      </c>
      <c r="H504" s="12" t="str">
        <f t="shared" si="28"/>
        <v>14 г. 10 мес. 12 дн.</v>
      </c>
      <c r="I504" s="12" t="s">
        <v>118</v>
      </c>
      <c r="K504" s="12" t="s">
        <v>1378</v>
      </c>
      <c r="L504" s="12" t="s">
        <v>1379</v>
      </c>
      <c r="M504" s="12" t="s">
        <v>55</v>
      </c>
      <c r="O504" s="12" t="s">
        <v>87</v>
      </c>
      <c r="S504" s="12" t="s">
        <v>27</v>
      </c>
      <c r="T504" s="18">
        <v>45639</v>
      </c>
      <c r="U504" s="17">
        <v>0.4375</v>
      </c>
      <c r="V504" s="12" t="str">
        <f t="shared" si="29"/>
        <v>0 г. 0 мес. 1 дн.</v>
      </c>
      <c r="W504" s="22"/>
      <c r="X504" s="72"/>
    </row>
    <row r="505" spans="1:24" ht="35.1" customHeight="1" x14ac:dyDescent="0.25">
      <c r="A505" s="12">
        <f t="shared" si="27"/>
        <v>504</v>
      </c>
      <c r="B505" s="12">
        <v>924</v>
      </c>
      <c r="C505" s="20" t="s">
        <v>26</v>
      </c>
      <c r="D505" s="18">
        <v>45640</v>
      </c>
      <c r="E505" s="17">
        <v>0.75</v>
      </c>
      <c r="F505" s="12" t="s">
        <v>1380</v>
      </c>
      <c r="G505" s="18">
        <v>45419</v>
      </c>
      <c r="H505" s="12" t="str">
        <f t="shared" si="28"/>
        <v>0 г. 7 мес. 7 дн.</v>
      </c>
      <c r="I505" s="12" t="s">
        <v>118</v>
      </c>
      <c r="K505" s="12" t="s">
        <v>938</v>
      </c>
      <c r="L505" s="12" t="s">
        <v>1381</v>
      </c>
      <c r="M505" s="12" t="s">
        <v>55</v>
      </c>
      <c r="O505" s="12" t="s">
        <v>87</v>
      </c>
      <c r="S505" s="12" t="s">
        <v>80</v>
      </c>
      <c r="T505" s="18">
        <v>45641</v>
      </c>
      <c r="U505" s="17">
        <v>0.5</v>
      </c>
      <c r="V505" s="12" t="str">
        <f t="shared" si="29"/>
        <v>0 г. 0 мес. 1 дн.</v>
      </c>
      <c r="W505" s="22"/>
      <c r="X505" s="72"/>
    </row>
    <row r="506" spans="1:24" ht="35.1" customHeight="1" x14ac:dyDescent="0.25">
      <c r="A506" s="12">
        <f t="shared" si="27"/>
        <v>505</v>
      </c>
      <c r="B506" s="12">
        <v>1435</v>
      </c>
      <c r="C506" s="20" t="s">
        <v>27</v>
      </c>
      <c r="D506" s="18">
        <v>45642</v>
      </c>
      <c r="E506" s="17">
        <v>0.70833333333333337</v>
      </c>
      <c r="F506" s="12" t="s">
        <v>1382</v>
      </c>
      <c r="G506" s="18">
        <v>45520</v>
      </c>
      <c r="H506" s="12" t="str">
        <f t="shared" si="28"/>
        <v>0 г. 4 мес. 0 дн.</v>
      </c>
      <c r="I506" s="12" t="s">
        <v>121</v>
      </c>
      <c r="K506" s="12" t="s">
        <v>147</v>
      </c>
      <c r="L506" s="12" t="s">
        <v>1383</v>
      </c>
      <c r="M506" s="12" t="s">
        <v>48</v>
      </c>
      <c r="O506" s="12" t="s">
        <v>87</v>
      </c>
      <c r="S506" s="12" t="s">
        <v>27</v>
      </c>
      <c r="T506" s="18">
        <v>45643</v>
      </c>
      <c r="U506" s="17">
        <v>0.45833333333333331</v>
      </c>
      <c r="V506" s="12" t="str">
        <f t="shared" si="29"/>
        <v>0 г. 0 мес. 1 дн.</v>
      </c>
      <c r="W506" s="22"/>
      <c r="X506" s="72"/>
    </row>
    <row r="507" spans="1:24" ht="35.1" customHeight="1" x14ac:dyDescent="0.25">
      <c r="A507" s="12">
        <f t="shared" si="27"/>
        <v>506</v>
      </c>
      <c r="B507" s="12">
        <v>2918</v>
      </c>
      <c r="C507" s="20" t="s">
        <v>77</v>
      </c>
      <c r="D507" s="18">
        <v>45643</v>
      </c>
      <c r="E507" s="17">
        <v>0.63541666666666663</v>
      </c>
      <c r="F507" s="12" t="s">
        <v>1384</v>
      </c>
      <c r="G507" s="18">
        <v>45056</v>
      </c>
      <c r="H507" s="12" t="str">
        <f t="shared" si="28"/>
        <v>1 г. 7 мес. 7 дн.</v>
      </c>
      <c r="I507" s="12" t="s">
        <v>118</v>
      </c>
      <c r="K507" s="12" t="s">
        <v>1385</v>
      </c>
      <c r="L507" s="12" t="s">
        <v>1386</v>
      </c>
      <c r="M507" s="12" t="s">
        <v>46</v>
      </c>
      <c r="O507" s="12" t="s">
        <v>87</v>
      </c>
      <c r="S507" s="12" t="s">
        <v>77</v>
      </c>
      <c r="T507" s="18">
        <v>45646</v>
      </c>
      <c r="U507" s="17">
        <v>0.45833333333333331</v>
      </c>
      <c r="V507" s="12" t="str">
        <f t="shared" si="29"/>
        <v>0 г. 0 мес. 3 дн.</v>
      </c>
      <c r="W507" s="22"/>
      <c r="X507" s="72"/>
    </row>
    <row r="508" spans="1:24" ht="35.1" customHeight="1" x14ac:dyDescent="0.25">
      <c r="A508" s="12">
        <f t="shared" si="27"/>
        <v>507</v>
      </c>
      <c r="B508" s="12">
        <v>2922</v>
      </c>
      <c r="C508" s="20" t="s">
        <v>77</v>
      </c>
      <c r="D508" s="18">
        <v>45643</v>
      </c>
      <c r="E508" s="17">
        <v>0.86111111111111116</v>
      </c>
      <c r="F508" s="12" t="s">
        <v>1387</v>
      </c>
      <c r="G508" s="18">
        <v>44630</v>
      </c>
      <c r="H508" s="12" t="str">
        <f t="shared" si="28"/>
        <v>2 г. 9 мес. 7 дн.</v>
      </c>
      <c r="I508" s="12" t="s">
        <v>118</v>
      </c>
      <c r="K508" s="12" t="s">
        <v>1388</v>
      </c>
      <c r="L508" s="12" t="s">
        <v>1389</v>
      </c>
      <c r="M508" s="12" t="s">
        <v>54</v>
      </c>
      <c r="O508" s="12" t="s">
        <v>87</v>
      </c>
      <c r="S508" s="12" t="s">
        <v>77</v>
      </c>
      <c r="T508" s="18">
        <v>45645</v>
      </c>
      <c r="U508" s="17">
        <v>0.5</v>
      </c>
      <c r="V508" s="12" t="str">
        <f t="shared" si="29"/>
        <v>0 г. 0 мес. 2 дн.</v>
      </c>
      <c r="W508" s="22"/>
      <c r="X508" s="72"/>
    </row>
    <row r="509" spans="1:24" ht="35.1" customHeight="1" x14ac:dyDescent="0.25">
      <c r="A509" s="12">
        <f t="shared" si="27"/>
        <v>508</v>
      </c>
      <c r="B509" s="12">
        <v>934</v>
      </c>
      <c r="C509" s="20" t="s">
        <v>80</v>
      </c>
      <c r="D509" s="18">
        <v>45644</v>
      </c>
      <c r="E509" s="17">
        <v>3.472222222222222E-3</v>
      </c>
      <c r="F509" s="12" t="s">
        <v>1316</v>
      </c>
      <c r="G509" s="18">
        <v>45116</v>
      </c>
      <c r="H509" s="12" t="str">
        <f t="shared" si="28"/>
        <v>1 г. 5 мес. 9 дн.</v>
      </c>
      <c r="I509" s="12" t="s">
        <v>123</v>
      </c>
      <c r="J509" s="12" t="s">
        <v>1376</v>
      </c>
      <c r="K509" s="12" t="s">
        <v>464</v>
      </c>
      <c r="L509" s="12" t="s">
        <v>843</v>
      </c>
      <c r="M509" s="12" t="s">
        <v>46</v>
      </c>
      <c r="N509" s="12">
        <v>120</v>
      </c>
      <c r="O509" s="12" t="s">
        <v>73</v>
      </c>
      <c r="S509" s="12" t="s">
        <v>80</v>
      </c>
      <c r="T509" s="18">
        <v>45650</v>
      </c>
      <c r="U509" s="17">
        <v>0.39166666666666666</v>
      </c>
      <c r="V509" s="12" t="str">
        <f t="shared" si="29"/>
        <v>0 г. 0 мес. 6 дн.</v>
      </c>
      <c r="W509" s="22"/>
      <c r="X509" s="72"/>
    </row>
    <row r="510" spans="1:24" ht="35.1" customHeight="1" x14ac:dyDescent="0.25">
      <c r="A510" s="12">
        <f t="shared" si="27"/>
        <v>509</v>
      </c>
      <c r="B510" s="12">
        <v>1844</v>
      </c>
      <c r="C510" s="20" t="s">
        <v>23</v>
      </c>
      <c r="D510" s="18">
        <v>45645</v>
      </c>
      <c r="E510" s="17">
        <v>0.66666666666666663</v>
      </c>
      <c r="F510" s="12" t="s">
        <v>1390</v>
      </c>
      <c r="G510" s="18">
        <v>42432</v>
      </c>
      <c r="H510" s="12" t="str">
        <f t="shared" si="28"/>
        <v>8 г. 9 мес. 16 дн.</v>
      </c>
      <c r="I510" s="12" t="s">
        <v>118</v>
      </c>
      <c r="K510" s="12" t="s">
        <v>748</v>
      </c>
      <c r="L510" s="12" t="s">
        <v>1391</v>
      </c>
      <c r="M510" s="12" t="s">
        <v>51</v>
      </c>
      <c r="O510" s="12" t="s">
        <v>87</v>
      </c>
      <c r="S510" s="12" t="s">
        <v>23</v>
      </c>
      <c r="T510" s="18">
        <v>45646</v>
      </c>
      <c r="U510" s="17">
        <v>0.5</v>
      </c>
      <c r="V510" s="12" t="str">
        <f t="shared" si="29"/>
        <v>0 г. 0 мес. 1 дн.</v>
      </c>
      <c r="W510" s="22"/>
      <c r="X510" s="72"/>
    </row>
    <row r="511" spans="1:24" ht="35.1" customHeight="1" x14ac:dyDescent="0.25">
      <c r="A511" s="12">
        <f t="shared" si="27"/>
        <v>510</v>
      </c>
      <c r="B511" s="12">
        <v>940</v>
      </c>
      <c r="C511" s="20" t="s">
        <v>26</v>
      </c>
      <c r="D511" s="18">
        <v>45645</v>
      </c>
      <c r="E511" s="17">
        <v>0.75</v>
      </c>
      <c r="F511" s="12" t="s">
        <v>1418</v>
      </c>
      <c r="G511" s="18">
        <v>40477</v>
      </c>
      <c r="H511" s="12" t="str">
        <f t="shared" si="28"/>
        <v>14 г. 1 мес. 23 дн.</v>
      </c>
      <c r="I511" s="12" t="s">
        <v>118</v>
      </c>
      <c r="K511" s="12" t="s">
        <v>1392</v>
      </c>
      <c r="L511" s="12" t="s">
        <v>501</v>
      </c>
      <c r="M511" s="12" t="s">
        <v>55</v>
      </c>
      <c r="O511" s="12" t="s">
        <v>87</v>
      </c>
      <c r="S511" s="12" t="s">
        <v>26</v>
      </c>
      <c r="T511" s="18">
        <v>45646</v>
      </c>
      <c r="U511" s="17">
        <v>0.5</v>
      </c>
      <c r="V511" s="12" t="str">
        <f t="shared" si="29"/>
        <v>0 г. 0 мес. 1 дн.</v>
      </c>
      <c r="W511" s="22"/>
      <c r="X511" s="72"/>
    </row>
    <row r="512" spans="1:24" ht="35.1" customHeight="1" x14ac:dyDescent="0.25">
      <c r="A512" s="12">
        <f t="shared" si="27"/>
        <v>511</v>
      </c>
      <c r="B512" s="12">
        <v>942</v>
      </c>
      <c r="C512" s="20" t="s">
        <v>26</v>
      </c>
      <c r="D512" s="18">
        <v>45645</v>
      </c>
      <c r="E512" s="17">
        <v>0.98611111111111116</v>
      </c>
      <c r="F512" s="12" t="s">
        <v>1393</v>
      </c>
      <c r="G512" s="18">
        <v>45184</v>
      </c>
      <c r="H512" s="12" t="str">
        <f t="shared" si="28"/>
        <v>1 г. 3 мес. 4 дн.</v>
      </c>
      <c r="I512" s="12" t="s">
        <v>121</v>
      </c>
      <c r="K512" s="12" t="s">
        <v>1394</v>
      </c>
      <c r="L512" s="12" t="s">
        <v>1395</v>
      </c>
      <c r="M512" s="12" t="s">
        <v>48</v>
      </c>
      <c r="O512" s="12" t="s">
        <v>87</v>
      </c>
      <c r="S512" s="12" t="s">
        <v>26</v>
      </c>
      <c r="T512" s="18">
        <v>45648</v>
      </c>
      <c r="U512" s="17">
        <v>0.54236111111111118</v>
      </c>
      <c r="V512" s="12" t="str">
        <f t="shared" si="29"/>
        <v>0 г. 0 мес. 3 дн.</v>
      </c>
      <c r="W512" s="22"/>
      <c r="X512" s="72"/>
    </row>
    <row r="513" spans="1:24" ht="35.1" customHeight="1" x14ac:dyDescent="0.25">
      <c r="A513" s="12">
        <f t="shared" ref="A513:A576" si="30">ROW(A512)</f>
        <v>512</v>
      </c>
      <c r="B513" s="12">
        <v>946</v>
      </c>
      <c r="C513" s="20" t="s">
        <v>26</v>
      </c>
      <c r="D513" s="18">
        <v>45646</v>
      </c>
      <c r="E513" s="17">
        <v>0.83333333333333337</v>
      </c>
      <c r="F513" s="12" t="s">
        <v>1420</v>
      </c>
      <c r="G513" s="18">
        <v>45241</v>
      </c>
      <c r="H513" s="12" t="str">
        <f t="shared" si="28"/>
        <v>1 г. 1 мес. 9 дн.</v>
      </c>
      <c r="I513" s="12" t="s">
        <v>118</v>
      </c>
      <c r="K513" s="12" t="s">
        <v>1396</v>
      </c>
      <c r="L513" s="12" t="s">
        <v>1397</v>
      </c>
      <c r="M513" s="12" t="s">
        <v>43</v>
      </c>
      <c r="O513" s="12" t="s">
        <v>87</v>
      </c>
      <c r="S513" s="12" t="s">
        <v>26</v>
      </c>
      <c r="T513" s="18">
        <v>45647</v>
      </c>
      <c r="U513" s="17">
        <v>0.5</v>
      </c>
      <c r="V513" s="12" t="str">
        <f t="shared" si="29"/>
        <v>0 г. 0 мес. 1 дн.</v>
      </c>
      <c r="W513" s="22"/>
      <c r="X513" s="72"/>
    </row>
    <row r="514" spans="1:24" ht="35.1" customHeight="1" x14ac:dyDescent="0.25">
      <c r="A514" s="12">
        <f t="shared" si="30"/>
        <v>513</v>
      </c>
      <c r="B514" s="12">
        <v>727</v>
      </c>
      <c r="C514" s="20" t="s">
        <v>28</v>
      </c>
      <c r="D514" s="18">
        <v>45647</v>
      </c>
      <c r="E514" s="17">
        <v>0.1875</v>
      </c>
      <c r="F514" s="12" t="s">
        <v>1421</v>
      </c>
      <c r="G514" s="18">
        <v>42318</v>
      </c>
      <c r="H514" s="12" t="str">
        <f>DATEDIF(G514,D514,"y") &amp; " г. " &amp; DATEDIF(G514,D514,"ym") &amp; " мес. " &amp; DATEDIF(G514,D514,"md") &amp; " дн."</f>
        <v>9 г. 1 мес. 11 дн.</v>
      </c>
      <c r="I514" s="12" t="s">
        <v>121</v>
      </c>
      <c r="K514" s="12" t="s">
        <v>1398</v>
      </c>
      <c r="L514" s="12" t="s">
        <v>1399</v>
      </c>
      <c r="M514" s="12" t="s">
        <v>46</v>
      </c>
      <c r="N514" s="12">
        <v>8</v>
      </c>
      <c r="O514" s="12" t="s">
        <v>87</v>
      </c>
      <c r="S514" s="12" t="s">
        <v>29</v>
      </c>
      <c r="T514" s="18">
        <v>45647</v>
      </c>
      <c r="U514" s="17">
        <v>0.51041666666666663</v>
      </c>
      <c r="V514" s="12" t="str">
        <f t="shared" si="29"/>
        <v>0 г. 0 мес. 0 дн.</v>
      </c>
      <c r="W514" s="22"/>
      <c r="X514" s="72"/>
    </row>
    <row r="515" spans="1:24" ht="35.1" customHeight="1" x14ac:dyDescent="0.25">
      <c r="A515" s="12">
        <f t="shared" si="30"/>
        <v>514</v>
      </c>
      <c r="B515" s="12">
        <v>728</v>
      </c>
      <c r="C515" s="20" t="s">
        <v>28</v>
      </c>
      <c r="D515" s="18">
        <v>45647</v>
      </c>
      <c r="E515" s="17">
        <v>0.77083333333333337</v>
      </c>
      <c r="F515" s="12" t="s">
        <v>1354</v>
      </c>
      <c r="G515" s="18">
        <v>39519</v>
      </c>
      <c r="H515" s="18" t="str">
        <f t="shared" si="28"/>
        <v>16 г. 9 мес. 9 дн.</v>
      </c>
      <c r="I515" s="12" t="s">
        <v>121</v>
      </c>
      <c r="K515" s="12" t="s">
        <v>1431</v>
      </c>
      <c r="L515" s="12" t="s">
        <v>1400</v>
      </c>
      <c r="M515" s="12" t="s">
        <v>46</v>
      </c>
      <c r="O515" s="12" t="s">
        <v>73</v>
      </c>
      <c r="S515" s="12" t="s">
        <v>31</v>
      </c>
      <c r="T515" s="18">
        <v>45681</v>
      </c>
      <c r="U515" s="17">
        <v>0.5</v>
      </c>
      <c r="V515" s="12" t="str">
        <f t="shared" si="29"/>
        <v>0 г. 1 мес. 3 дн.</v>
      </c>
      <c r="W515" s="22"/>
      <c r="X515" s="72"/>
    </row>
    <row r="516" spans="1:24" ht="35.1" customHeight="1" x14ac:dyDescent="0.25">
      <c r="A516" s="12">
        <f t="shared" si="30"/>
        <v>515</v>
      </c>
      <c r="B516" s="12">
        <v>686</v>
      </c>
      <c r="C516" s="20" t="s">
        <v>77</v>
      </c>
      <c r="D516" s="18">
        <v>45650</v>
      </c>
      <c r="E516" s="17">
        <v>0.54861111111111105</v>
      </c>
      <c r="F516" s="12" t="s">
        <v>1424</v>
      </c>
      <c r="G516" s="18">
        <v>41257</v>
      </c>
      <c r="H516" s="12" t="str">
        <f t="shared" si="28"/>
        <v>12 г. 0 мес. 10 дн.</v>
      </c>
      <c r="I516" s="12" t="s">
        <v>119</v>
      </c>
      <c r="J516" s="12" t="s">
        <v>77</v>
      </c>
      <c r="K516" s="12" t="s">
        <v>147</v>
      </c>
      <c r="L516" s="12" t="s">
        <v>251</v>
      </c>
      <c r="M516" s="12" t="s">
        <v>49</v>
      </c>
      <c r="O516" s="12" t="s">
        <v>87</v>
      </c>
      <c r="S516" s="12" t="s">
        <v>77</v>
      </c>
      <c r="T516" s="18">
        <v>45650</v>
      </c>
      <c r="U516" s="17">
        <v>0.75</v>
      </c>
      <c r="V516" s="12" t="str">
        <f t="shared" si="29"/>
        <v>0 г. 0 мес. 0 дн.</v>
      </c>
      <c r="W516" s="22"/>
      <c r="X516" s="72"/>
    </row>
    <row r="517" spans="1:24" ht="35.1" customHeight="1" x14ac:dyDescent="0.25">
      <c r="A517" s="12">
        <f t="shared" si="30"/>
        <v>516</v>
      </c>
      <c r="B517" s="12">
        <v>949</v>
      </c>
      <c r="C517" s="20" t="s">
        <v>26</v>
      </c>
      <c r="D517" s="18">
        <v>45650</v>
      </c>
      <c r="E517" s="17">
        <v>0.3125</v>
      </c>
      <c r="F517" s="12" t="s">
        <v>1419</v>
      </c>
      <c r="G517" s="18">
        <v>39361</v>
      </c>
      <c r="H517" s="12" t="str">
        <f t="shared" si="28"/>
        <v>17 г. 2 мес. 18 дн.</v>
      </c>
      <c r="I517" s="12" t="s">
        <v>118</v>
      </c>
      <c r="K517" s="12" t="s">
        <v>147</v>
      </c>
      <c r="L517" s="12" t="s">
        <v>1401</v>
      </c>
      <c r="M517" s="12" t="s">
        <v>55</v>
      </c>
      <c r="O517" s="12" t="s">
        <v>87</v>
      </c>
      <c r="S517" s="12" t="s">
        <v>26</v>
      </c>
      <c r="T517" s="18">
        <v>45651</v>
      </c>
      <c r="U517" s="17">
        <v>0.42569444444444443</v>
      </c>
      <c r="V517" s="12" t="str">
        <f t="shared" si="29"/>
        <v>0 г. 0 мес. 1 дн.</v>
      </c>
      <c r="W517" s="22"/>
      <c r="X517" s="72"/>
    </row>
    <row r="518" spans="1:24" ht="35.1" customHeight="1" x14ac:dyDescent="0.25">
      <c r="A518" s="12">
        <f t="shared" si="30"/>
        <v>517</v>
      </c>
      <c r="B518" s="12">
        <v>957</v>
      </c>
      <c r="C518" s="20" t="s">
        <v>26</v>
      </c>
      <c r="D518" s="18">
        <v>45651</v>
      </c>
      <c r="E518" s="17">
        <v>0.90972222222222221</v>
      </c>
      <c r="F518" s="12" t="s">
        <v>1402</v>
      </c>
      <c r="G518" s="18">
        <v>45040</v>
      </c>
      <c r="H518" s="12" t="str">
        <f t="shared" ref="H518:H581" si="31">DATEDIF(G518,D518,"y") &amp; " г. " &amp; DATEDIF(G518,D518,"ym") &amp; " мес. " &amp; DATEDIF(G518,D518,"md") &amp; " дн."</f>
        <v>1 г. 8 мес. 1 дн.</v>
      </c>
      <c r="I518" s="12" t="s">
        <v>118</v>
      </c>
      <c r="K518" s="12" t="s">
        <v>1403</v>
      </c>
      <c r="L518" s="12" t="s">
        <v>1404</v>
      </c>
      <c r="M518" s="12" t="s">
        <v>48</v>
      </c>
      <c r="O518" s="12" t="s">
        <v>87</v>
      </c>
      <c r="S518" s="12" t="s">
        <v>26</v>
      </c>
      <c r="T518" s="18">
        <v>45652</v>
      </c>
      <c r="U518" s="17">
        <v>0.47916666666666669</v>
      </c>
      <c r="V518" s="12" t="str">
        <f t="shared" si="29"/>
        <v>0 г. 0 мес. 1 дн.</v>
      </c>
      <c r="W518" s="22"/>
      <c r="X518" s="72"/>
    </row>
    <row r="519" spans="1:24" ht="35.1" customHeight="1" x14ac:dyDescent="0.25">
      <c r="A519" s="12">
        <f t="shared" si="30"/>
        <v>518</v>
      </c>
      <c r="B519" s="12">
        <v>1468</v>
      </c>
      <c r="C519" s="20" t="s">
        <v>27</v>
      </c>
      <c r="D519" s="18">
        <v>45652</v>
      </c>
      <c r="E519" s="17">
        <v>0.54166666666666663</v>
      </c>
      <c r="F519" s="12" t="s">
        <v>171</v>
      </c>
      <c r="G519" s="18">
        <v>42529</v>
      </c>
      <c r="H519" s="12" t="str">
        <f t="shared" si="31"/>
        <v>8 г. 6 мес. 18 дн.</v>
      </c>
      <c r="I519" s="12" t="s">
        <v>118</v>
      </c>
      <c r="K519" s="12" t="s">
        <v>1405</v>
      </c>
      <c r="L519" s="12" t="s">
        <v>427</v>
      </c>
      <c r="M519" s="12" t="s">
        <v>48</v>
      </c>
      <c r="N519" s="12">
        <v>357</v>
      </c>
      <c r="O519" s="12" t="s">
        <v>73</v>
      </c>
      <c r="Q519" s="12" t="s">
        <v>127</v>
      </c>
      <c r="S519" s="12" t="s">
        <v>31</v>
      </c>
      <c r="T519" s="18">
        <v>45667</v>
      </c>
      <c r="U519" s="17">
        <v>0.41666666666666669</v>
      </c>
      <c r="V519" s="12" t="str">
        <f t="shared" si="29"/>
        <v>0 г. 0 мес. 15 дн.</v>
      </c>
      <c r="W519" s="22"/>
      <c r="X519" s="72"/>
    </row>
    <row r="520" spans="1:24" ht="35.1" customHeight="1" x14ac:dyDescent="0.25">
      <c r="A520" s="12">
        <f t="shared" si="30"/>
        <v>519</v>
      </c>
      <c r="B520" s="12">
        <v>621</v>
      </c>
      <c r="C520" s="20" t="s">
        <v>24</v>
      </c>
      <c r="D520" s="18">
        <v>45652</v>
      </c>
      <c r="E520" s="17">
        <v>0.65277777777777779</v>
      </c>
      <c r="F520" s="12" t="s">
        <v>1406</v>
      </c>
      <c r="G520" s="18">
        <v>39933</v>
      </c>
      <c r="H520" s="12" t="str">
        <f t="shared" si="31"/>
        <v>15 г. 7 мес. 26 дн.</v>
      </c>
      <c r="I520" s="12" t="s">
        <v>121</v>
      </c>
      <c r="K520" s="12" t="s">
        <v>1407</v>
      </c>
      <c r="L520" s="12" t="s">
        <v>525</v>
      </c>
      <c r="M520" s="12" t="s">
        <v>50</v>
      </c>
      <c r="O520" s="12" t="s">
        <v>87</v>
      </c>
      <c r="S520" s="12" t="s">
        <v>24</v>
      </c>
      <c r="T520" s="18">
        <v>45653</v>
      </c>
      <c r="U520" s="17">
        <v>0.4909722222222222</v>
      </c>
      <c r="V520" s="12" t="str">
        <f t="shared" si="29"/>
        <v>0 г. 0 мес. 1 дн.</v>
      </c>
      <c r="W520" s="22"/>
      <c r="X520" s="72"/>
    </row>
    <row r="521" spans="1:24" ht="35.1" customHeight="1" x14ac:dyDescent="0.25">
      <c r="A521" s="12">
        <f t="shared" si="30"/>
        <v>520</v>
      </c>
      <c r="B521" s="12">
        <v>960</v>
      </c>
      <c r="C521" s="20" t="s">
        <v>26</v>
      </c>
      <c r="D521" s="18">
        <v>45652</v>
      </c>
      <c r="E521" s="17">
        <v>0.51041666666666663</v>
      </c>
      <c r="F521" s="12" t="s">
        <v>1408</v>
      </c>
      <c r="G521" s="18">
        <v>40255</v>
      </c>
      <c r="H521" s="12" t="str">
        <f t="shared" si="31"/>
        <v>14 г. 9 мес. 8 дн.</v>
      </c>
      <c r="I521" s="12" t="s">
        <v>121</v>
      </c>
      <c r="K521" s="12" t="s">
        <v>1409</v>
      </c>
      <c r="L521" s="12" t="s">
        <v>1410</v>
      </c>
      <c r="M521" s="12" t="s">
        <v>55</v>
      </c>
      <c r="O521" s="12" t="s">
        <v>87</v>
      </c>
      <c r="S521" s="12" t="s">
        <v>26</v>
      </c>
      <c r="T521" s="18">
        <v>45654</v>
      </c>
      <c r="U521" s="17">
        <v>0.47916666666666669</v>
      </c>
      <c r="V521" s="12" t="str">
        <f t="shared" si="29"/>
        <v>0 г. 0 мес. 2 дн.</v>
      </c>
      <c r="W521" s="22"/>
      <c r="X521" s="72"/>
    </row>
    <row r="522" spans="1:24" ht="35.1" customHeight="1" x14ac:dyDescent="0.25">
      <c r="A522" s="12">
        <f t="shared" si="30"/>
        <v>521</v>
      </c>
      <c r="B522" s="12">
        <v>961</v>
      </c>
      <c r="C522" s="20" t="s">
        <v>26</v>
      </c>
      <c r="D522" s="18">
        <v>45652</v>
      </c>
      <c r="E522" s="17">
        <v>0.5625</v>
      </c>
      <c r="F522" s="12" t="s">
        <v>1411</v>
      </c>
      <c r="G522" s="18">
        <v>43531</v>
      </c>
      <c r="H522" s="12" t="str">
        <f t="shared" si="31"/>
        <v>5 г. 9 мес. 19 дн.</v>
      </c>
      <c r="I522" s="12" t="s">
        <v>121</v>
      </c>
      <c r="K522" s="12" t="s">
        <v>1412</v>
      </c>
      <c r="L522" s="12" t="s">
        <v>332</v>
      </c>
      <c r="M522" s="12" t="s">
        <v>48</v>
      </c>
      <c r="O522" s="12" t="s">
        <v>87</v>
      </c>
      <c r="S522" s="12" t="s">
        <v>26</v>
      </c>
      <c r="T522" s="18">
        <v>45653</v>
      </c>
      <c r="U522" s="17">
        <v>0.47916666666666669</v>
      </c>
      <c r="V522" s="12" t="str">
        <f t="shared" si="29"/>
        <v>0 г. 0 мес. 1 дн.</v>
      </c>
      <c r="W522" s="22"/>
      <c r="X522" s="72"/>
    </row>
    <row r="523" spans="1:24" ht="35.1" customHeight="1" x14ac:dyDescent="0.25">
      <c r="A523" s="12">
        <f t="shared" si="30"/>
        <v>522</v>
      </c>
      <c r="B523" s="12">
        <v>2966</v>
      </c>
      <c r="C523" s="20" t="s">
        <v>77</v>
      </c>
      <c r="D523" s="18">
        <v>45653</v>
      </c>
      <c r="E523" s="17">
        <v>0.45833333333333331</v>
      </c>
      <c r="F523" s="12" t="s">
        <v>1413</v>
      </c>
      <c r="G523" s="18">
        <v>43471</v>
      </c>
      <c r="H523" s="12" t="str">
        <f t="shared" si="31"/>
        <v>5 г. 11 мес. 21 дн.</v>
      </c>
      <c r="I523" s="12" t="s">
        <v>120</v>
      </c>
      <c r="J523" s="12" t="s">
        <v>77</v>
      </c>
      <c r="K523" s="12" t="s">
        <v>1238</v>
      </c>
      <c r="L523" s="12" t="s">
        <v>1414</v>
      </c>
      <c r="M523" s="12" t="s">
        <v>49</v>
      </c>
      <c r="O523" s="12" t="s">
        <v>87</v>
      </c>
      <c r="S523" s="12" t="s">
        <v>77</v>
      </c>
      <c r="T523" s="18">
        <v>45654</v>
      </c>
      <c r="U523" s="17">
        <v>0.45833333333333331</v>
      </c>
      <c r="V523" s="12" t="str">
        <f t="shared" si="29"/>
        <v>0 г. 0 мес. 1 дн.</v>
      </c>
      <c r="W523" s="22"/>
      <c r="X523" s="72"/>
    </row>
    <row r="524" spans="1:24" ht="35.1" customHeight="1" x14ac:dyDescent="0.25">
      <c r="A524" s="12">
        <f t="shared" si="30"/>
        <v>523</v>
      </c>
      <c r="B524" s="12">
        <v>1874</v>
      </c>
      <c r="C524" s="20" t="s">
        <v>23</v>
      </c>
      <c r="D524" s="18">
        <v>45654</v>
      </c>
      <c r="E524" s="17">
        <v>1.3888888888888888E-2</v>
      </c>
      <c r="F524" s="12" t="s">
        <v>1417</v>
      </c>
      <c r="G524" s="18">
        <v>42990</v>
      </c>
      <c r="H524" s="12" t="str">
        <f t="shared" si="31"/>
        <v>7 г. 3 мес. 16 дн.</v>
      </c>
      <c r="I524" s="12" t="s">
        <v>119</v>
      </c>
      <c r="J524" s="12" t="s">
        <v>23</v>
      </c>
      <c r="K524" s="12" t="s">
        <v>1415</v>
      </c>
      <c r="L524" s="12" t="s">
        <v>1416</v>
      </c>
      <c r="M524" s="12" t="s">
        <v>52</v>
      </c>
      <c r="O524" s="12" t="s">
        <v>87</v>
      </c>
      <c r="S524" s="12" t="s">
        <v>23</v>
      </c>
      <c r="T524" s="18">
        <v>45654</v>
      </c>
      <c r="U524" s="17">
        <v>0.66666666666666663</v>
      </c>
      <c r="V524" s="12" t="str">
        <f t="shared" si="29"/>
        <v>0 г. 0 мес. 0 дн.</v>
      </c>
      <c r="W524" s="22"/>
      <c r="X524" s="72"/>
    </row>
    <row r="525" spans="1:24" ht="35.1" customHeight="1" x14ac:dyDescent="0.25">
      <c r="A525" s="12">
        <f t="shared" si="30"/>
        <v>524</v>
      </c>
      <c r="B525" s="12">
        <v>722</v>
      </c>
      <c r="C525" s="20" t="s">
        <v>28</v>
      </c>
      <c r="D525" s="18">
        <v>45645</v>
      </c>
      <c r="E525" s="17">
        <v>0.64652777777777781</v>
      </c>
      <c r="F525" s="12" t="s">
        <v>905</v>
      </c>
      <c r="G525" s="18">
        <v>42425</v>
      </c>
      <c r="H525" s="12" t="str">
        <f t="shared" si="31"/>
        <v>8 г. 9 мес. 24 дн.</v>
      </c>
      <c r="I525" s="12" t="s">
        <v>118</v>
      </c>
      <c r="K525" s="12" t="s">
        <v>1423</v>
      </c>
      <c r="L525" s="12" t="s">
        <v>1422</v>
      </c>
      <c r="M525" s="12" t="s">
        <v>46</v>
      </c>
      <c r="O525" s="12" t="s">
        <v>87</v>
      </c>
      <c r="S525" s="12" t="s">
        <v>28</v>
      </c>
      <c r="T525" s="18">
        <v>45645</v>
      </c>
      <c r="U525" s="17">
        <v>0.84097222222222223</v>
      </c>
      <c r="V525" s="12" t="str">
        <f t="shared" si="29"/>
        <v>0 г. 0 мес. 0 дн.</v>
      </c>
      <c r="W525" s="22"/>
      <c r="X525" s="72"/>
    </row>
    <row r="526" spans="1:24" ht="35.1" customHeight="1" x14ac:dyDescent="0.25">
      <c r="A526" s="12">
        <f t="shared" si="30"/>
        <v>525</v>
      </c>
      <c r="B526" s="12">
        <v>2979</v>
      </c>
      <c r="C526" s="20" t="s">
        <v>77</v>
      </c>
      <c r="D526" s="18">
        <v>45654</v>
      </c>
      <c r="E526" s="17">
        <v>0.89583333333333337</v>
      </c>
      <c r="F526" s="12" t="s">
        <v>1425</v>
      </c>
      <c r="G526" s="18">
        <v>44796</v>
      </c>
      <c r="H526" s="12" t="str">
        <f t="shared" si="31"/>
        <v>2 г. 4 мес. 5 дн.</v>
      </c>
      <c r="I526" s="12" t="s">
        <v>118</v>
      </c>
      <c r="K526" s="72" t="s">
        <v>1427</v>
      </c>
      <c r="L526" s="12" t="s">
        <v>1426</v>
      </c>
      <c r="M526" s="12" t="s">
        <v>54</v>
      </c>
      <c r="O526" s="12" t="s">
        <v>87</v>
      </c>
      <c r="S526" s="12" t="s">
        <v>77</v>
      </c>
      <c r="T526" s="18">
        <v>45656</v>
      </c>
      <c r="U526" s="17">
        <v>0.44444444444444442</v>
      </c>
      <c r="V526" s="12" t="str">
        <f t="shared" si="29"/>
        <v>0 г. 0 мес. 2 дн.</v>
      </c>
      <c r="W526" s="22"/>
      <c r="X526" s="72"/>
    </row>
    <row r="527" spans="1:24" ht="35.1" customHeight="1" x14ac:dyDescent="0.25">
      <c r="A527" s="12">
        <f t="shared" si="30"/>
        <v>526</v>
      </c>
      <c r="B527" s="12">
        <v>1475</v>
      </c>
      <c r="C527" s="20" t="s">
        <v>27</v>
      </c>
      <c r="D527" s="18">
        <v>45656</v>
      </c>
      <c r="E527" s="17">
        <v>0.65972222222222221</v>
      </c>
      <c r="F527" s="12" t="s">
        <v>1428</v>
      </c>
      <c r="G527" s="18">
        <v>42834</v>
      </c>
      <c r="H527" s="12" t="str">
        <f t="shared" si="31"/>
        <v>7 г. 8 мес. 21 дн.</v>
      </c>
      <c r="I527" s="12" t="s">
        <v>118</v>
      </c>
      <c r="K527" s="12" t="s">
        <v>1429</v>
      </c>
      <c r="L527" s="12" t="s">
        <v>1430</v>
      </c>
      <c r="M527" s="12" t="s">
        <v>48</v>
      </c>
      <c r="O527" s="12" t="s">
        <v>87</v>
      </c>
      <c r="S527" s="12" t="s">
        <v>31</v>
      </c>
      <c r="T527" s="18">
        <v>45678</v>
      </c>
      <c r="U527" s="17">
        <v>0.5</v>
      </c>
      <c r="V527" s="12" t="str">
        <f t="shared" si="29"/>
        <v>0 г. 0 мес. 22 дн.</v>
      </c>
      <c r="W527" s="22"/>
      <c r="X527" s="72"/>
    </row>
    <row r="528" spans="1:24" ht="35.1" customHeight="1" x14ac:dyDescent="0.25">
      <c r="A528" s="12">
        <f t="shared" si="30"/>
        <v>527</v>
      </c>
      <c r="B528" s="12"/>
      <c r="C528" s="20"/>
      <c r="D528" s="18"/>
      <c r="E528" s="17"/>
      <c r="G528" s="18"/>
      <c r="H528" s="12" t="str">
        <f t="shared" si="31"/>
        <v>0 г. 0 мес. 0 дн.</v>
      </c>
      <c r="T528" s="18"/>
      <c r="U528" s="17"/>
      <c r="V528" s="12" t="str">
        <f t="shared" si="29"/>
        <v>0 г. 0 мес. 0 дн.</v>
      </c>
      <c r="W528" s="22"/>
      <c r="X528" s="72"/>
    </row>
    <row r="529" spans="1:24" ht="35.1" customHeight="1" x14ac:dyDescent="0.25">
      <c r="A529" s="12">
        <f t="shared" si="30"/>
        <v>528</v>
      </c>
      <c r="B529" s="12"/>
      <c r="C529" s="20"/>
      <c r="D529" s="18"/>
      <c r="E529" s="17"/>
      <c r="G529" s="18"/>
      <c r="H529" s="12" t="str">
        <f t="shared" si="31"/>
        <v>0 г. 0 мес. 0 дн.</v>
      </c>
      <c r="T529" s="18"/>
      <c r="U529" s="17"/>
      <c r="V529" s="12" t="str">
        <f t="shared" si="29"/>
        <v>0 г. 0 мес. 0 дн.</v>
      </c>
      <c r="W529" s="22"/>
      <c r="X529" s="72"/>
    </row>
    <row r="530" spans="1:24" ht="35.1" customHeight="1" x14ac:dyDescent="0.25">
      <c r="A530" s="12">
        <f t="shared" si="30"/>
        <v>529</v>
      </c>
      <c r="B530" s="12"/>
      <c r="C530" s="20"/>
      <c r="D530" s="18"/>
      <c r="E530" s="17"/>
      <c r="G530" s="18"/>
      <c r="H530" s="12" t="str">
        <f t="shared" si="31"/>
        <v>0 г. 0 мес. 0 дн.</v>
      </c>
      <c r="T530" s="18"/>
      <c r="V530" s="12" t="str">
        <f t="shared" si="29"/>
        <v>0 г. 0 мес. 0 дн.</v>
      </c>
      <c r="W530" s="22"/>
      <c r="X530" s="72"/>
    </row>
    <row r="531" spans="1:24" ht="35.1" customHeight="1" x14ac:dyDescent="0.25">
      <c r="A531" s="12">
        <f t="shared" si="30"/>
        <v>530</v>
      </c>
      <c r="B531" s="12"/>
      <c r="C531" s="20"/>
      <c r="D531" s="18"/>
      <c r="E531" s="17"/>
      <c r="G531" s="18"/>
      <c r="H531" s="12" t="str">
        <f t="shared" si="31"/>
        <v>0 г. 0 мес. 0 дн.</v>
      </c>
      <c r="T531" s="18"/>
      <c r="U531" s="17"/>
      <c r="V531" s="12" t="str">
        <f t="shared" si="29"/>
        <v>0 г. 0 мес. 0 дн.</v>
      </c>
      <c r="W531" s="22"/>
      <c r="X531" s="72"/>
    </row>
    <row r="532" spans="1:24" ht="35.1" customHeight="1" x14ac:dyDescent="0.25">
      <c r="A532" s="12">
        <f t="shared" si="30"/>
        <v>531</v>
      </c>
      <c r="B532" s="12"/>
      <c r="C532" s="20"/>
      <c r="D532" s="18"/>
      <c r="E532" s="17"/>
      <c r="G532" s="18"/>
      <c r="H532" s="12" t="str">
        <f t="shared" si="31"/>
        <v>0 г. 0 мес. 0 дн.</v>
      </c>
      <c r="T532" s="18"/>
      <c r="U532" s="17"/>
      <c r="V532" s="12" t="str">
        <f t="shared" si="29"/>
        <v>0 г. 0 мес. 0 дн.</v>
      </c>
      <c r="W532" s="22"/>
      <c r="X532" s="72"/>
    </row>
    <row r="533" spans="1:24" ht="35.1" customHeight="1" x14ac:dyDescent="0.25">
      <c r="A533" s="12">
        <f t="shared" si="30"/>
        <v>532</v>
      </c>
      <c r="B533" s="12"/>
      <c r="C533" s="20"/>
      <c r="D533" s="18"/>
      <c r="E533" s="17"/>
      <c r="G533" s="18"/>
      <c r="H533" s="12" t="str">
        <f t="shared" si="31"/>
        <v>0 г. 0 мес. 0 дн.</v>
      </c>
      <c r="T533" s="18"/>
      <c r="U533" s="17"/>
      <c r="V533" s="12" t="str">
        <f t="shared" si="29"/>
        <v>0 г. 0 мес. 0 дн.</v>
      </c>
      <c r="W533" s="22"/>
      <c r="X533" s="72"/>
    </row>
    <row r="534" spans="1:24" ht="35.1" customHeight="1" x14ac:dyDescent="0.25">
      <c r="A534" s="12">
        <f t="shared" si="30"/>
        <v>533</v>
      </c>
      <c r="B534" s="12"/>
      <c r="C534" s="20"/>
      <c r="D534" s="18"/>
      <c r="E534" s="17"/>
      <c r="G534" s="18"/>
      <c r="H534" s="12" t="str">
        <f t="shared" si="31"/>
        <v>0 г. 0 мес. 0 дн.</v>
      </c>
      <c r="T534" s="18"/>
      <c r="U534" s="17"/>
      <c r="V534" s="12" t="str">
        <f t="shared" si="29"/>
        <v>0 г. 0 мес. 0 дн.</v>
      </c>
      <c r="W534" s="22"/>
      <c r="X534" s="72"/>
    </row>
    <row r="535" spans="1:24" ht="35.1" customHeight="1" x14ac:dyDescent="0.25">
      <c r="A535" s="12">
        <f t="shared" si="30"/>
        <v>534</v>
      </c>
      <c r="B535" s="12"/>
      <c r="C535" s="20"/>
      <c r="D535" s="18"/>
      <c r="E535" s="17"/>
      <c r="G535" s="18"/>
      <c r="H535" s="12" t="str">
        <f t="shared" si="31"/>
        <v>0 г. 0 мес. 0 дн.</v>
      </c>
      <c r="T535" s="18"/>
      <c r="U535" s="17"/>
      <c r="V535" s="12" t="str">
        <f t="shared" si="29"/>
        <v>0 г. 0 мес. 0 дн.</v>
      </c>
      <c r="W535" s="22"/>
      <c r="X535" s="72"/>
    </row>
    <row r="536" spans="1:24" ht="35.1" customHeight="1" x14ac:dyDescent="0.25">
      <c r="A536" s="12">
        <f t="shared" si="30"/>
        <v>535</v>
      </c>
      <c r="B536" s="12"/>
      <c r="C536" s="20"/>
      <c r="D536" s="18"/>
      <c r="E536" s="17"/>
      <c r="G536" s="18"/>
      <c r="H536" s="12" t="str">
        <f t="shared" si="31"/>
        <v>0 г. 0 мес. 0 дн.</v>
      </c>
      <c r="T536" s="18"/>
      <c r="U536" s="17"/>
      <c r="V536" s="12" t="str">
        <f t="shared" ref="V536:V599" si="32">DATEDIF(D536,T536,"y") &amp; " г. " &amp; DATEDIF(D536,T536,"ym") &amp; " мес. " &amp; DATEDIF(D536,T536,"md") &amp; " дн."</f>
        <v>0 г. 0 мес. 0 дн.</v>
      </c>
      <c r="W536" s="22"/>
      <c r="X536" s="72"/>
    </row>
    <row r="537" spans="1:24" ht="35.1" customHeight="1" x14ac:dyDescent="0.25">
      <c r="A537" s="12">
        <f t="shared" si="30"/>
        <v>536</v>
      </c>
      <c r="B537" s="12"/>
      <c r="C537" s="20"/>
      <c r="D537" s="18"/>
      <c r="E537" s="17"/>
      <c r="G537" s="18"/>
      <c r="H537" s="12" t="str">
        <f t="shared" si="31"/>
        <v>0 г. 0 мес. 0 дн.</v>
      </c>
      <c r="T537" s="18"/>
      <c r="U537" s="17"/>
      <c r="V537" s="12" t="str">
        <f t="shared" si="32"/>
        <v>0 г. 0 мес. 0 дн.</v>
      </c>
      <c r="W537" s="22"/>
      <c r="X537" s="72"/>
    </row>
    <row r="538" spans="1:24" ht="35.1" customHeight="1" x14ac:dyDescent="0.25">
      <c r="A538" s="12">
        <f t="shared" si="30"/>
        <v>537</v>
      </c>
      <c r="B538" s="12"/>
      <c r="C538" s="20"/>
      <c r="D538" s="18"/>
      <c r="E538" s="17"/>
      <c r="G538" s="18"/>
      <c r="H538" s="12" t="str">
        <f t="shared" si="31"/>
        <v>0 г. 0 мес. 0 дн.</v>
      </c>
      <c r="T538" s="18"/>
      <c r="U538" s="17"/>
      <c r="V538" s="12" t="str">
        <f t="shared" si="32"/>
        <v>0 г. 0 мес. 0 дн.</v>
      </c>
      <c r="W538" s="22"/>
      <c r="X538" s="72"/>
    </row>
    <row r="539" spans="1:24" ht="35.1" customHeight="1" x14ac:dyDescent="0.25">
      <c r="A539" s="12">
        <f t="shared" si="30"/>
        <v>538</v>
      </c>
      <c r="B539" s="12"/>
      <c r="C539" s="20"/>
      <c r="D539" s="18"/>
      <c r="E539" s="17"/>
      <c r="G539" s="18"/>
      <c r="H539" s="12" t="str">
        <f t="shared" si="31"/>
        <v>0 г. 0 мес. 0 дн.</v>
      </c>
      <c r="T539" s="18"/>
      <c r="U539" s="17"/>
      <c r="V539" s="12" t="str">
        <f t="shared" si="32"/>
        <v>0 г. 0 мес. 0 дн.</v>
      </c>
      <c r="W539" s="22"/>
      <c r="X539" s="72"/>
    </row>
    <row r="540" spans="1:24" ht="35.1" customHeight="1" x14ac:dyDescent="0.25">
      <c r="A540" s="12">
        <f t="shared" si="30"/>
        <v>539</v>
      </c>
      <c r="B540" s="12"/>
      <c r="C540" s="20"/>
      <c r="D540" s="18"/>
      <c r="E540" s="17"/>
      <c r="G540" s="18"/>
      <c r="H540" s="12" t="str">
        <f t="shared" si="31"/>
        <v>0 г. 0 мес. 0 дн.</v>
      </c>
      <c r="T540" s="18"/>
      <c r="U540" s="17"/>
      <c r="V540" s="12" t="str">
        <f t="shared" si="32"/>
        <v>0 г. 0 мес. 0 дн.</v>
      </c>
      <c r="W540" s="22"/>
      <c r="X540" s="72"/>
    </row>
    <row r="541" spans="1:24" ht="35.1" customHeight="1" x14ac:dyDescent="0.25">
      <c r="A541" s="12">
        <f t="shared" si="30"/>
        <v>540</v>
      </c>
      <c r="B541" s="12"/>
      <c r="C541" s="20"/>
      <c r="D541" s="18"/>
      <c r="E541" s="17"/>
      <c r="G541" s="18"/>
      <c r="H541" s="12" t="str">
        <f t="shared" si="31"/>
        <v>0 г. 0 мес. 0 дн.</v>
      </c>
      <c r="T541" s="18"/>
      <c r="U541" s="17"/>
      <c r="V541" s="12" t="str">
        <f t="shared" si="32"/>
        <v>0 г. 0 мес. 0 дн.</v>
      </c>
      <c r="W541" s="22"/>
      <c r="X541" s="72"/>
    </row>
    <row r="542" spans="1:24" ht="35.1" customHeight="1" x14ac:dyDescent="0.25">
      <c r="A542" s="12">
        <f t="shared" si="30"/>
        <v>541</v>
      </c>
      <c r="B542" s="12"/>
      <c r="C542" s="20"/>
      <c r="D542" s="18"/>
      <c r="E542" s="17"/>
      <c r="G542" s="18"/>
      <c r="H542" s="12" t="str">
        <f t="shared" si="31"/>
        <v>0 г. 0 мес. 0 дн.</v>
      </c>
      <c r="T542" s="18"/>
      <c r="U542" s="17"/>
      <c r="V542" s="12" t="str">
        <f t="shared" si="32"/>
        <v>0 г. 0 мес. 0 дн.</v>
      </c>
      <c r="W542" s="22"/>
      <c r="X542" s="72"/>
    </row>
    <row r="543" spans="1:24" ht="35.1" customHeight="1" x14ac:dyDescent="0.25">
      <c r="A543" s="12">
        <f t="shared" si="30"/>
        <v>542</v>
      </c>
      <c r="B543" s="12"/>
      <c r="C543" s="20"/>
      <c r="D543" s="18"/>
      <c r="E543" s="17"/>
      <c r="G543" s="18"/>
      <c r="H543" s="12" t="str">
        <f t="shared" si="31"/>
        <v>0 г. 0 мес. 0 дн.</v>
      </c>
      <c r="T543" s="18"/>
      <c r="U543" s="17"/>
      <c r="V543" s="12" t="str">
        <f t="shared" si="32"/>
        <v>0 г. 0 мес. 0 дн.</v>
      </c>
      <c r="W543" s="22"/>
      <c r="X543" s="72"/>
    </row>
    <row r="544" spans="1:24" ht="35.1" customHeight="1" x14ac:dyDescent="0.25">
      <c r="A544" s="12">
        <f t="shared" si="30"/>
        <v>543</v>
      </c>
      <c r="B544" s="12"/>
      <c r="C544" s="20"/>
      <c r="D544" s="18"/>
      <c r="E544" s="17"/>
      <c r="G544" s="18"/>
      <c r="H544" s="12" t="str">
        <f t="shared" si="31"/>
        <v>0 г. 0 мес. 0 дн.</v>
      </c>
      <c r="T544" s="18"/>
      <c r="U544" s="17"/>
      <c r="V544" s="12" t="str">
        <f t="shared" si="32"/>
        <v>0 г. 0 мес. 0 дн.</v>
      </c>
      <c r="W544" s="22"/>
      <c r="X544" s="72"/>
    </row>
    <row r="545" spans="1:24" ht="35.1" customHeight="1" x14ac:dyDescent="0.25">
      <c r="A545" s="12">
        <f t="shared" si="30"/>
        <v>544</v>
      </c>
      <c r="B545" s="12"/>
      <c r="C545" s="20"/>
      <c r="D545" s="18"/>
      <c r="E545" s="17"/>
      <c r="G545" s="18"/>
      <c r="H545" s="12" t="str">
        <f t="shared" si="31"/>
        <v>0 г. 0 мес. 0 дн.</v>
      </c>
      <c r="T545" s="18"/>
      <c r="U545" s="17"/>
      <c r="V545" s="12" t="str">
        <f t="shared" si="32"/>
        <v>0 г. 0 мес. 0 дн.</v>
      </c>
      <c r="W545" s="22"/>
      <c r="X545" s="72"/>
    </row>
    <row r="546" spans="1:24" ht="35.1" customHeight="1" x14ac:dyDescent="0.25">
      <c r="A546" s="12">
        <f t="shared" si="30"/>
        <v>545</v>
      </c>
      <c r="B546" s="12"/>
      <c r="C546" s="20"/>
      <c r="D546" s="18"/>
      <c r="E546" s="17"/>
      <c r="G546" s="18"/>
      <c r="H546" s="12" t="str">
        <f t="shared" si="31"/>
        <v>0 г. 0 мес. 0 дн.</v>
      </c>
      <c r="T546" s="18"/>
      <c r="U546" s="17"/>
      <c r="V546" s="12" t="str">
        <f t="shared" si="32"/>
        <v>0 г. 0 мес. 0 дн.</v>
      </c>
      <c r="W546" s="22"/>
      <c r="X546" s="72"/>
    </row>
    <row r="547" spans="1:24" ht="35.1" customHeight="1" x14ac:dyDescent="0.25">
      <c r="A547" s="12">
        <f t="shared" si="30"/>
        <v>546</v>
      </c>
      <c r="B547" s="12"/>
      <c r="C547" s="20"/>
      <c r="D547" s="18"/>
      <c r="E547" s="17"/>
      <c r="G547" s="18"/>
      <c r="H547" s="12" t="str">
        <f t="shared" si="31"/>
        <v>0 г. 0 мес. 0 дн.</v>
      </c>
      <c r="T547" s="18"/>
      <c r="U547" s="17"/>
      <c r="V547" s="12" t="str">
        <f t="shared" si="32"/>
        <v>0 г. 0 мес. 0 дн.</v>
      </c>
      <c r="W547" s="22"/>
      <c r="X547" s="72"/>
    </row>
    <row r="548" spans="1:24" ht="35.1" customHeight="1" x14ac:dyDescent="0.25">
      <c r="A548" s="12">
        <f t="shared" si="30"/>
        <v>547</v>
      </c>
      <c r="B548" s="12"/>
      <c r="C548" s="20"/>
      <c r="D548" s="18"/>
      <c r="E548" s="17"/>
      <c r="G548" s="18"/>
      <c r="H548" s="12" t="str">
        <f t="shared" si="31"/>
        <v>0 г. 0 мес. 0 дн.</v>
      </c>
      <c r="T548" s="18"/>
      <c r="U548" s="17"/>
      <c r="V548" s="12" t="str">
        <f t="shared" si="32"/>
        <v>0 г. 0 мес. 0 дн.</v>
      </c>
      <c r="W548" s="22"/>
      <c r="X548" s="72"/>
    </row>
    <row r="549" spans="1:24" ht="35.1" customHeight="1" x14ac:dyDescent="0.25">
      <c r="A549" s="12">
        <f t="shared" si="30"/>
        <v>548</v>
      </c>
      <c r="B549" s="12"/>
      <c r="C549" s="20"/>
      <c r="D549" s="18"/>
      <c r="E549" s="17"/>
      <c r="G549" s="18"/>
      <c r="H549" s="12" t="str">
        <f t="shared" si="31"/>
        <v>0 г. 0 мес. 0 дн.</v>
      </c>
      <c r="T549" s="18"/>
      <c r="U549" s="17"/>
      <c r="V549" s="12" t="str">
        <f t="shared" si="32"/>
        <v>0 г. 0 мес. 0 дн.</v>
      </c>
      <c r="W549" s="22"/>
      <c r="X549" s="72"/>
    </row>
    <row r="550" spans="1:24" ht="35.1" customHeight="1" x14ac:dyDescent="0.25">
      <c r="A550" s="12">
        <f t="shared" si="30"/>
        <v>549</v>
      </c>
      <c r="B550" s="12"/>
      <c r="C550" s="20"/>
      <c r="D550" s="18"/>
      <c r="E550" s="17"/>
      <c r="G550" s="18"/>
      <c r="H550" s="12" t="str">
        <f t="shared" si="31"/>
        <v>0 г. 0 мес. 0 дн.</v>
      </c>
      <c r="T550" s="18"/>
      <c r="U550" s="17"/>
      <c r="V550" s="12" t="str">
        <f t="shared" si="32"/>
        <v>0 г. 0 мес. 0 дн.</v>
      </c>
      <c r="W550" s="22"/>
      <c r="X550" s="72"/>
    </row>
    <row r="551" spans="1:24" ht="35.1" customHeight="1" x14ac:dyDescent="0.25">
      <c r="A551" s="12">
        <f t="shared" si="30"/>
        <v>550</v>
      </c>
      <c r="B551" s="12"/>
      <c r="C551" s="20"/>
      <c r="D551" s="18"/>
      <c r="E551" s="17"/>
      <c r="G551" s="18"/>
      <c r="H551" s="12" t="str">
        <f t="shared" si="31"/>
        <v>0 г. 0 мес. 0 дн.</v>
      </c>
      <c r="T551" s="18"/>
      <c r="U551" s="17"/>
      <c r="V551" s="12" t="str">
        <f t="shared" si="32"/>
        <v>0 г. 0 мес. 0 дн.</v>
      </c>
      <c r="W551" s="22"/>
      <c r="X551" s="72"/>
    </row>
    <row r="552" spans="1:24" ht="35.1" customHeight="1" x14ac:dyDescent="0.25">
      <c r="A552" s="12">
        <f t="shared" si="30"/>
        <v>551</v>
      </c>
      <c r="B552" s="12"/>
      <c r="C552" s="20"/>
      <c r="D552" s="18"/>
      <c r="E552" s="17"/>
      <c r="G552" s="18"/>
      <c r="H552" s="12" t="str">
        <f t="shared" si="31"/>
        <v>0 г. 0 мес. 0 дн.</v>
      </c>
      <c r="T552" s="18"/>
      <c r="U552" s="17"/>
      <c r="V552" s="12" t="str">
        <f t="shared" si="32"/>
        <v>0 г. 0 мес. 0 дн.</v>
      </c>
      <c r="W552" s="22"/>
      <c r="X552" s="72"/>
    </row>
    <row r="553" spans="1:24" ht="35.1" customHeight="1" x14ac:dyDescent="0.25">
      <c r="A553" s="12">
        <f t="shared" si="30"/>
        <v>552</v>
      </c>
      <c r="B553" s="12"/>
      <c r="C553" s="20"/>
      <c r="D553" s="18"/>
      <c r="E553" s="17"/>
      <c r="G553" s="18"/>
      <c r="H553" s="12" t="str">
        <f t="shared" si="31"/>
        <v>0 г. 0 мес. 0 дн.</v>
      </c>
      <c r="T553" s="18"/>
      <c r="U553" s="17"/>
      <c r="V553" s="12" t="str">
        <f t="shared" si="32"/>
        <v>0 г. 0 мес. 0 дн.</v>
      </c>
      <c r="W553" s="22"/>
      <c r="X553" s="72"/>
    </row>
    <row r="554" spans="1:24" ht="35.1" customHeight="1" x14ac:dyDescent="0.25">
      <c r="A554" s="12">
        <f t="shared" si="30"/>
        <v>553</v>
      </c>
      <c r="B554" s="12"/>
      <c r="C554" s="20"/>
      <c r="D554" s="18"/>
      <c r="E554" s="17"/>
      <c r="G554" s="18"/>
      <c r="H554" s="12" t="str">
        <f t="shared" si="31"/>
        <v>0 г. 0 мес. 0 дн.</v>
      </c>
      <c r="T554" s="18"/>
      <c r="U554" s="17"/>
      <c r="V554" s="12" t="str">
        <f t="shared" si="32"/>
        <v>0 г. 0 мес. 0 дн.</v>
      </c>
      <c r="W554" s="22"/>
      <c r="X554" s="72"/>
    </row>
    <row r="555" spans="1:24" ht="35.1" customHeight="1" x14ac:dyDescent="0.25">
      <c r="A555" s="12">
        <f t="shared" si="30"/>
        <v>554</v>
      </c>
      <c r="B555" s="12"/>
      <c r="C555" s="20"/>
      <c r="D555" s="18"/>
      <c r="E555" s="17"/>
      <c r="G555" s="18"/>
      <c r="H555" s="12" t="str">
        <f t="shared" si="31"/>
        <v>0 г. 0 мес. 0 дн.</v>
      </c>
      <c r="T555" s="18"/>
      <c r="U555" s="17"/>
      <c r="V555" s="12" t="str">
        <f t="shared" si="32"/>
        <v>0 г. 0 мес. 0 дн.</v>
      </c>
      <c r="W555" s="22"/>
      <c r="X555" s="72"/>
    </row>
    <row r="556" spans="1:24" ht="35.1" customHeight="1" x14ac:dyDescent="0.25">
      <c r="A556" s="12">
        <f t="shared" si="30"/>
        <v>555</v>
      </c>
      <c r="B556" s="12"/>
      <c r="C556" s="20"/>
      <c r="D556" s="18"/>
      <c r="E556" s="17"/>
      <c r="G556" s="18"/>
      <c r="H556" s="12" t="str">
        <f t="shared" si="31"/>
        <v>0 г. 0 мес. 0 дн.</v>
      </c>
      <c r="T556" s="18"/>
      <c r="U556" s="17"/>
      <c r="V556" s="12" t="str">
        <f t="shared" si="32"/>
        <v>0 г. 0 мес. 0 дн.</v>
      </c>
      <c r="W556" s="22"/>
      <c r="X556" s="72"/>
    </row>
    <row r="557" spans="1:24" ht="35.1" customHeight="1" x14ac:dyDescent="0.25">
      <c r="A557" s="12">
        <f t="shared" si="30"/>
        <v>556</v>
      </c>
      <c r="B557" s="12"/>
      <c r="C557" s="20"/>
      <c r="D557" s="18"/>
      <c r="E557" s="17"/>
      <c r="G557" s="18"/>
      <c r="H557" s="12" t="str">
        <f t="shared" si="31"/>
        <v>0 г. 0 мес. 0 дн.</v>
      </c>
      <c r="T557" s="18"/>
      <c r="U557" s="17"/>
      <c r="V557" s="12" t="str">
        <f t="shared" si="32"/>
        <v>0 г. 0 мес. 0 дн.</v>
      </c>
      <c r="W557" s="22"/>
      <c r="X557" s="72"/>
    </row>
    <row r="558" spans="1:24" ht="35.1" customHeight="1" x14ac:dyDescent="0.25">
      <c r="A558" s="12">
        <f t="shared" si="30"/>
        <v>557</v>
      </c>
      <c r="B558" s="12"/>
      <c r="C558" s="20"/>
      <c r="D558" s="18"/>
      <c r="E558" s="17"/>
      <c r="G558" s="18"/>
      <c r="H558" s="12" t="str">
        <f t="shared" si="31"/>
        <v>0 г. 0 мес. 0 дн.</v>
      </c>
      <c r="T558" s="18"/>
      <c r="U558" s="17"/>
      <c r="V558" s="12" t="str">
        <f t="shared" si="32"/>
        <v>0 г. 0 мес. 0 дн.</v>
      </c>
      <c r="W558" s="22"/>
      <c r="X558" s="72"/>
    </row>
    <row r="559" spans="1:24" ht="35.1" customHeight="1" x14ac:dyDescent="0.25">
      <c r="A559" s="12">
        <f t="shared" si="30"/>
        <v>558</v>
      </c>
      <c r="B559" s="12"/>
      <c r="C559" s="20"/>
      <c r="D559" s="18"/>
      <c r="E559" s="17"/>
      <c r="G559" s="18"/>
      <c r="H559" s="12" t="str">
        <f t="shared" si="31"/>
        <v>0 г. 0 мес. 0 дн.</v>
      </c>
      <c r="T559" s="18"/>
      <c r="U559" s="17"/>
      <c r="V559" s="12" t="str">
        <f t="shared" si="32"/>
        <v>0 г. 0 мес. 0 дн.</v>
      </c>
      <c r="W559" s="22"/>
      <c r="X559" s="72"/>
    </row>
    <row r="560" spans="1:24" ht="35.1" customHeight="1" x14ac:dyDescent="0.25">
      <c r="A560" s="12">
        <f t="shared" si="30"/>
        <v>559</v>
      </c>
      <c r="B560" s="12"/>
      <c r="C560" s="20"/>
      <c r="D560" s="18"/>
      <c r="E560" s="17"/>
      <c r="G560" s="18"/>
      <c r="H560" s="12" t="str">
        <f t="shared" si="31"/>
        <v>0 г. 0 мес. 0 дн.</v>
      </c>
      <c r="T560" s="18"/>
      <c r="U560" s="17"/>
      <c r="V560" s="12" t="str">
        <f t="shared" si="32"/>
        <v>0 г. 0 мес. 0 дн.</v>
      </c>
      <c r="W560" s="22"/>
      <c r="X560" s="72"/>
    </row>
    <row r="561" spans="1:24" ht="35.1" customHeight="1" x14ac:dyDescent="0.25">
      <c r="A561" s="12">
        <f t="shared" si="30"/>
        <v>560</v>
      </c>
      <c r="B561" s="12"/>
      <c r="C561" s="20"/>
      <c r="D561" s="18"/>
      <c r="E561" s="17"/>
      <c r="G561" s="18"/>
      <c r="H561" s="12" t="str">
        <f t="shared" si="31"/>
        <v>0 г. 0 мес. 0 дн.</v>
      </c>
      <c r="T561" s="18"/>
      <c r="U561" s="17"/>
      <c r="V561" s="12" t="str">
        <f t="shared" si="32"/>
        <v>0 г. 0 мес. 0 дн.</v>
      </c>
      <c r="W561" s="22"/>
      <c r="X561" s="72"/>
    </row>
    <row r="562" spans="1:24" ht="35.1" customHeight="1" x14ac:dyDescent="0.25">
      <c r="A562" s="12">
        <f t="shared" si="30"/>
        <v>561</v>
      </c>
      <c r="B562" s="12"/>
      <c r="C562" s="20"/>
      <c r="D562" s="18"/>
      <c r="E562" s="17"/>
      <c r="G562" s="18"/>
      <c r="H562" s="12" t="str">
        <f t="shared" si="31"/>
        <v>0 г. 0 мес. 0 дн.</v>
      </c>
      <c r="T562" s="18"/>
      <c r="U562" s="17"/>
      <c r="V562" s="12" t="str">
        <f t="shared" si="32"/>
        <v>0 г. 0 мес. 0 дн.</v>
      </c>
      <c r="W562" s="22"/>
      <c r="X562" s="72"/>
    </row>
    <row r="563" spans="1:24" ht="35.1" customHeight="1" x14ac:dyDescent="0.25">
      <c r="A563" s="12">
        <f t="shared" si="30"/>
        <v>562</v>
      </c>
      <c r="B563" s="12"/>
      <c r="C563" s="20"/>
      <c r="D563" s="18"/>
      <c r="E563" s="17"/>
      <c r="G563" s="18"/>
      <c r="H563" s="12" t="str">
        <f t="shared" si="31"/>
        <v>0 г. 0 мес. 0 дн.</v>
      </c>
      <c r="T563" s="18"/>
      <c r="U563" s="17"/>
      <c r="V563" s="12" t="str">
        <f t="shared" si="32"/>
        <v>0 г. 0 мес. 0 дн.</v>
      </c>
      <c r="W563" s="22"/>
      <c r="X563" s="72"/>
    </row>
    <row r="564" spans="1:24" ht="35.1" customHeight="1" x14ac:dyDescent="0.25">
      <c r="A564" s="12">
        <f t="shared" si="30"/>
        <v>563</v>
      </c>
      <c r="B564" s="12"/>
      <c r="C564" s="20"/>
      <c r="D564" s="18"/>
      <c r="E564" s="17"/>
      <c r="G564" s="18"/>
      <c r="H564" s="12" t="str">
        <f t="shared" si="31"/>
        <v>0 г. 0 мес. 0 дн.</v>
      </c>
      <c r="T564" s="18"/>
      <c r="U564" s="17"/>
      <c r="V564" s="12" t="str">
        <f t="shared" si="32"/>
        <v>0 г. 0 мес. 0 дн.</v>
      </c>
      <c r="W564" s="22"/>
      <c r="X564" s="72"/>
    </row>
    <row r="565" spans="1:24" ht="35.1" customHeight="1" x14ac:dyDescent="0.25">
      <c r="A565" s="12">
        <f t="shared" si="30"/>
        <v>564</v>
      </c>
      <c r="B565" s="12"/>
      <c r="C565" s="20"/>
      <c r="D565" s="18"/>
      <c r="E565" s="17"/>
      <c r="G565" s="18"/>
      <c r="H565" s="12" t="str">
        <f t="shared" si="31"/>
        <v>0 г. 0 мес. 0 дн.</v>
      </c>
      <c r="T565" s="18"/>
      <c r="U565" s="17"/>
      <c r="V565" s="12" t="str">
        <f t="shared" si="32"/>
        <v>0 г. 0 мес. 0 дн.</v>
      </c>
      <c r="W565" s="22"/>
      <c r="X565" s="72"/>
    </row>
    <row r="566" spans="1:24" ht="35.1" customHeight="1" x14ac:dyDescent="0.25">
      <c r="A566" s="12">
        <f t="shared" si="30"/>
        <v>565</v>
      </c>
      <c r="B566" s="12"/>
      <c r="C566" s="20"/>
      <c r="D566" s="18"/>
      <c r="E566" s="17"/>
      <c r="G566" s="18"/>
      <c r="H566" s="12" t="str">
        <f t="shared" si="31"/>
        <v>0 г. 0 мес. 0 дн.</v>
      </c>
      <c r="T566" s="18"/>
      <c r="U566" s="17"/>
      <c r="V566" s="12" t="str">
        <f t="shared" si="32"/>
        <v>0 г. 0 мес. 0 дн.</v>
      </c>
      <c r="W566" s="22"/>
      <c r="X566" s="72"/>
    </row>
    <row r="567" spans="1:24" ht="35.1" customHeight="1" x14ac:dyDescent="0.25">
      <c r="A567" s="12">
        <f t="shared" si="30"/>
        <v>566</v>
      </c>
      <c r="B567" s="12"/>
      <c r="C567" s="20"/>
      <c r="D567" s="18"/>
      <c r="E567" s="17"/>
      <c r="G567" s="18"/>
      <c r="H567" s="12" t="str">
        <f t="shared" si="31"/>
        <v>0 г. 0 мес. 0 дн.</v>
      </c>
      <c r="T567" s="18"/>
      <c r="U567" s="17"/>
      <c r="V567" s="12" t="str">
        <f t="shared" si="32"/>
        <v>0 г. 0 мес. 0 дн.</v>
      </c>
      <c r="W567" s="22"/>
      <c r="X567" s="72"/>
    </row>
    <row r="568" spans="1:24" ht="35.1" customHeight="1" x14ac:dyDescent="0.25">
      <c r="A568" s="12">
        <f t="shared" si="30"/>
        <v>567</v>
      </c>
      <c r="B568" s="12"/>
      <c r="C568" s="20"/>
      <c r="D568" s="18"/>
      <c r="E568" s="17"/>
      <c r="G568" s="18"/>
      <c r="H568" s="12" t="str">
        <f t="shared" si="31"/>
        <v>0 г. 0 мес. 0 дн.</v>
      </c>
      <c r="T568" s="18"/>
      <c r="U568" s="17"/>
      <c r="V568" s="12" t="str">
        <f t="shared" si="32"/>
        <v>0 г. 0 мес. 0 дн.</v>
      </c>
      <c r="W568" s="22"/>
      <c r="X568" s="72"/>
    </row>
    <row r="569" spans="1:24" ht="35.1" customHeight="1" x14ac:dyDescent="0.25">
      <c r="A569" s="12">
        <f t="shared" si="30"/>
        <v>568</v>
      </c>
      <c r="B569" s="12"/>
      <c r="C569" s="20"/>
      <c r="D569" s="18"/>
      <c r="E569" s="17"/>
      <c r="G569" s="18"/>
      <c r="H569" s="12" t="str">
        <f t="shared" si="31"/>
        <v>0 г. 0 мес. 0 дн.</v>
      </c>
      <c r="T569" s="18"/>
      <c r="U569" s="17"/>
      <c r="V569" s="12" t="str">
        <f t="shared" si="32"/>
        <v>0 г. 0 мес. 0 дн.</v>
      </c>
      <c r="W569" s="22"/>
      <c r="X569" s="72"/>
    </row>
    <row r="570" spans="1:24" ht="35.1" customHeight="1" x14ac:dyDescent="0.25">
      <c r="A570" s="12">
        <f t="shared" si="30"/>
        <v>569</v>
      </c>
      <c r="B570" s="12"/>
      <c r="C570" s="20"/>
      <c r="D570" s="18"/>
      <c r="E570" s="17"/>
      <c r="G570" s="18"/>
      <c r="H570" s="12" t="str">
        <f t="shared" si="31"/>
        <v>0 г. 0 мес. 0 дн.</v>
      </c>
      <c r="T570" s="18"/>
      <c r="U570" s="17"/>
      <c r="V570" s="12" t="str">
        <f t="shared" si="32"/>
        <v>0 г. 0 мес. 0 дн.</v>
      </c>
      <c r="W570" s="22"/>
      <c r="X570" s="72"/>
    </row>
    <row r="571" spans="1:24" ht="35.1" customHeight="1" x14ac:dyDescent="0.25">
      <c r="A571" s="12">
        <f t="shared" si="30"/>
        <v>570</v>
      </c>
      <c r="B571" s="12"/>
      <c r="C571" s="20"/>
      <c r="D571" s="18"/>
      <c r="E571" s="17"/>
      <c r="G571" s="18"/>
      <c r="H571" s="12" t="str">
        <f t="shared" si="31"/>
        <v>0 г. 0 мес. 0 дн.</v>
      </c>
      <c r="T571" s="18"/>
      <c r="U571" s="17"/>
      <c r="V571" s="12" t="str">
        <f t="shared" si="32"/>
        <v>0 г. 0 мес. 0 дн.</v>
      </c>
      <c r="W571" s="22"/>
      <c r="X571" s="72"/>
    </row>
    <row r="572" spans="1:24" ht="35.1" customHeight="1" x14ac:dyDescent="0.25">
      <c r="A572" s="12">
        <f t="shared" si="30"/>
        <v>571</v>
      </c>
      <c r="B572" s="12"/>
      <c r="C572" s="20"/>
      <c r="D572" s="18"/>
      <c r="E572" s="17"/>
      <c r="G572" s="18"/>
      <c r="H572" s="12" t="str">
        <f t="shared" si="31"/>
        <v>0 г. 0 мес. 0 дн.</v>
      </c>
      <c r="T572" s="18"/>
      <c r="U572" s="17"/>
      <c r="V572" s="12" t="str">
        <f t="shared" si="32"/>
        <v>0 г. 0 мес. 0 дн.</v>
      </c>
      <c r="W572" s="22"/>
      <c r="X572" s="72"/>
    </row>
    <row r="573" spans="1:24" ht="35.1" customHeight="1" x14ac:dyDescent="0.25">
      <c r="A573" s="12">
        <f t="shared" si="30"/>
        <v>572</v>
      </c>
      <c r="B573" s="12"/>
      <c r="C573" s="20"/>
      <c r="D573" s="18"/>
      <c r="E573" s="17"/>
      <c r="G573" s="18"/>
      <c r="H573" s="12" t="str">
        <f t="shared" si="31"/>
        <v>0 г. 0 мес. 0 дн.</v>
      </c>
      <c r="T573" s="18"/>
      <c r="U573" s="17"/>
      <c r="V573" s="12" t="str">
        <f t="shared" si="32"/>
        <v>0 г. 0 мес. 0 дн.</v>
      </c>
      <c r="W573" s="22"/>
      <c r="X573" s="72"/>
    </row>
    <row r="574" spans="1:24" ht="35.1" customHeight="1" x14ac:dyDescent="0.25">
      <c r="A574" s="12">
        <f t="shared" si="30"/>
        <v>573</v>
      </c>
      <c r="B574" s="12"/>
      <c r="C574" s="20"/>
      <c r="D574" s="18"/>
      <c r="E574" s="17"/>
      <c r="G574" s="18"/>
      <c r="H574" s="12" t="str">
        <f t="shared" si="31"/>
        <v>0 г. 0 мес. 0 дн.</v>
      </c>
      <c r="T574" s="18"/>
      <c r="U574" s="17"/>
      <c r="V574" s="12" t="str">
        <f t="shared" si="32"/>
        <v>0 г. 0 мес. 0 дн.</v>
      </c>
      <c r="W574" s="22"/>
      <c r="X574" s="72"/>
    </row>
    <row r="575" spans="1:24" ht="35.1" customHeight="1" x14ac:dyDescent="0.25">
      <c r="A575" s="12">
        <f t="shared" si="30"/>
        <v>574</v>
      </c>
      <c r="B575" s="12"/>
      <c r="C575" s="20"/>
      <c r="D575" s="18"/>
      <c r="E575" s="17"/>
      <c r="G575" s="18"/>
      <c r="H575" s="12" t="str">
        <f t="shared" si="31"/>
        <v>0 г. 0 мес. 0 дн.</v>
      </c>
      <c r="T575" s="18"/>
      <c r="U575" s="17"/>
      <c r="V575" s="12" t="str">
        <f t="shared" si="32"/>
        <v>0 г. 0 мес. 0 дн.</v>
      </c>
      <c r="W575" s="22"/>
      <c r="X575" s="72"/>
    </row>
    <row r="576" spans="1:24" ht="35.1" customHeight="1" x14ac:dyDescent="0.25">
      <c r="A576" s="12">
        <f t="shared" si="30"/>
        <v>575</v>
      </c>
      <c r="B576" s="12"/>
      <c r="C576" s="20"/>
      <c r="D576" s="18"/>
      <c r="E576" s="17"/>
      <c r="G576" s="18"/>
      <c r="H576" s="12" t="str">
        <f t="shared" si="31"/>
        <v>0 г. 0 мес. 0 дн.</v>
      </c>
      <c r="T576" s="18"/>
      <c r="U576" s="17"/>
      <c r="V576" s="12" t="str">
        <f t="shared" si="32"/>
        <v>0 г. 0 мес. 0 дн.</v>
      </c>
      <c r="W576" s="22"/>
      <c r="X576" s="72"/>
    </row>
    <row r="577" spans="1:24" ht="35.1" customHeight="1" x14ac:dyDescent="0.25">
      <c r="A577" s="12">
        <f t="shared" ref="A577:A640" si="33">ROW(A576)</f>
        <v>576</v>
      </c>
      <c r="B577" s="12"/>
      <c r="C577" s="20"/>
      <c r="D577" s="18"/>
      <c r="E577" s="17"/>
      <c r="G577" s="18"/>
      <c r="H577" s="12" t="str">
        <f t="shared" si="31"/>
        <v>0 г. 0 мес. 0 дн.</v>
      </c>
      <c r="V577" s="12" t="str">
        <f t="shared" si="32"/>
        <v>0 г. 0 мес. 0 дн.</v>
      </c>
      <c r="W577" s="22"/>
      <c r="X577" s="72"/>
    </row>
    <row r="578" spans="1:24" ht="35.1" customHeight="1" x14ac:dyDescent="0.25">
      <c r="A578" s="12">
        <f t="shared" si="33"/>
        <v>577</v>
      </c>
      <c r="B578" s="12"/>
      <c r="C578" s="20"/>
      <c r="D578" s="18"/>
      <c r="E578" s="17"/>
      <c r="G578" s="18"/>
      <c r="H578" s="12" t="str">
        <f t="shared" si="31"/>
        <v>0 г. 0 мес. 0 дн.</v>
      </c>
      <c r="T578" s="18"/>
      <c r="U578" s="17"/>
      <c r="V578" s="12" t="str">
        <f t="shared" si="32"/>
        <v>0 г. 0 мес. 0 дн.</v>
      </c>
      <c r="W578" s="22"/>
      <c r="X578" s="72"/>
    </row>
    <row r="579" spans="1:24" ht="35.1" customHeight="1" x14ac:dyDescent="0.25">
      <c r="A579" s="12">
        <f t="shared" si="33"/>
        <v>578</v>
      </c>
      <c r="B579" s="12"/>
      <c r="C579" s="20"/>
      <c r="D579" s="18"/>
      <c r="E579" s="17"/>
      <c r="G579" s="18"/>
      <c r="H579" s="12" t="str">
        <f t="shared" si="31"/>
        <v>0 г. 0 мес. 0 дн.</v>
      </c>
      <c r="V579" s="12" t="str">
        <f t="shared" si="32"/>
        <v>0 г. 0 мес. 0 дн.</v>
      </c>
      <c r="W579" s="22"/>
      <c r="X579" s="72"/>
    </row>
    <row r="580" spans="1:24" ht="35.1" customHeight="1" x14ac:dyDescent="0.25">
      <c r="A580" s="12">
        <f t="shared" si="33"/>
        <v>579</v>
      </c>
      <c r="B580" s="12"/>
      <c r="C580" s="20"/>
      <c r="D580" s="18"/>
      <c r="H580" s="12" t="str">
        <f t="shared" si="31"/>
        <v>0 г. 0 мес. 0 дн.</v>
      </c>
      <c r="V580" s="12" t="str">
        <f t="shared" si="32"/>
        <v>0 г. 0 мес. 0 дн.</v>
      </c>
      <c r="W580" s="22"/>
      <c r="X580" s="72"/>
    </row>
    <row r="581" spans="1:24" ht="35.1" customHeight="1" x14ac:dyDescent="0.25">
      <c r="A581" s="12">
        <f t="shared" si="33"/>
        <v>580</v>
      </c>
      <c r="B581" s="12"/>
      <c r="C581" s="20"/>
      <c r="D581" s="18"/>
      <c r="H581" s="12" t="str">
        <f t="shared" si="31"/>
        <v>0 г. 0 мес. 0 дн.</v>
      </c>
      <c r="V581" s="12" t="str">
        <f t="shared" si="32"/>
        <v>0 г. 0 мес. 0 дн.</v>
      </c>
      <c r="W581" s="22"/>
      <c r="X581" s="72"/>
    </row>
    <row r="582" spans="1:24" ht="35.1" customHeight="1" x14ac:dyDescent="0.25">
      <c r="A582" s="12">
        <f t="shared" si="33"/>
        <v>581</v>
      </c>
      <c r="B582" s="12"/>
      <c r="C582" s="20"/>
      <c r="D582" s="18"/>
      <c r="H582" s="12" t="str">
        <f t="shared" ref="H582:H645" si="34">DATEDIF(G582,D582,"y") &amp; " г. " &amp; DATEDIF(G582,D582,"ym") &amp; " мес. " &amp; DATEDIF(G582,D582,"md") &amp; " дн."</f>
        <v>0 г. 0 мес. 0 дн.</v>
      </c>
      <c r="V582" s="12" t="str">
        <f t="shared" si="32"/>
        <v>0 г. 0 мес. 0 дн.</v>
      </c>
      <c r="W582" s="22"/>
      <c r="X582" s="72"/>
    </row>
    <row r="583" spans="1:24" ht="35.1" customHeight="1" x14ac:dyDescent="0.25">
      <c r="A583" s="12">
        <f t="shared" si="33"/>
        <v>582</v>
      </c>
      <c r="B583" s="12"/>
      <c r="C583" s="20"/>
      <c r="D583" s="18"/>
      <c r="H583" s="12" t="str">
        <f t="shared" si="34"/>
        <v>0 г. 0 мес. 0 дн.</v>
      </c>
      <c r="V583" s="12" t="str">
        <f t="shared" si="32"/>
        <v>0 г. 0 мес. 0 дн.</v>
      </c>
      <c r="W583" s="22"/>
      <c r="X583" s="72"/>
    </row>
    <row r="584" spans="1:24" ht="35.1" customHeight="1" x14ac:dyDescent="0.25">
      <c r="A584" s="12">
        <f t="shared" si="33"/>
        <v>583</v>
      </c>
      <c r="B584" s="12"/>
      <c r="C584" s="20"/>
      <c r="D584" s="18"/>
      <c r="H584" s="12" t="str">
        <f t="shared" si="34"/>
        <v>0 г. 0 мес. 0 дн.</v>
      </c>
      <c r="V584" s="12" t="str">
        <f t="shared" si="32"/>
        <v>0 г. 0 мес. 0 дн.</v>
      </c>
      <c r="W584" s="22"/>
      <c r="X584" s="72"/>
    </row>
    <row r="585" spans="1:24" ht="35.1" customHeight="1" x14ac:dyDescent="0.25">
      <c r="A585" s="12">
        <f t="shared" si="33"/>
        <v>584</v>
      </c>
      <c r="B585" s="12"/>
      <c r="C585" s="20"/>
      <c r="D585" s="18"/>
      <c r="H585" s="12" t="str">
        <f t="shared" si="34"/>
        <v>0 г. 0 мес. 0 дн.</v>
      </c>
      <c r="V585" s="12" t="str">
        <f t="shared" si="32"/>
        <v>0 г. 0 мес. 0 дн.</v>
      </c>
      <c r="W585" s="22"/>
      <c r="X585" s="72"/>
    </row>
    <row r="586" spans="1:24" ht="35.1" customHeight="1" x14ac:dyDescent="0.25">
      <c r="A586" s="12">
        <f t="shared" si="33"/>
        <v>585</v>
      </c>
      <c r="B586" s="12"/>
      <c r="C586" s="20"/>
      <c r="D586" s="18"/>
      <c r="H586" s="12" t="str">
        <f t="shared" si="34"/>
        <v>0 г. 0 мес. 0 дн.</v>
      </c>
      <c r="V586" s="12" t="str">
        <f t="shared" si="32"/>
        <v>0 г. 0 мес. 0 дн.</v>
      </c>
      <c r="W586" s="22"/>
      <c r="X586" s="72"/>
    </row>
    <row r="587" spans="1:24" ht="35.1" customHeight="1" x14ac:dyDescent="0.25">
      <c r="A587" s="12">
        <f t="shared" si="33"/>
        <v>586</v>
      </c>
      <c r="B587" s="12"/>
      <c r="C587" s="20"/>
      <c r="D587" s="18"/>
      <c r="H587" s="12" t="str">
        <f t="shared" si="34"/>
        <v>0 г. 0 мес. 0 дн.</v>
      </c>
      <c r="V587" s="12" t="str">
        <f t="shared" si="32"/>
        <v>0 г. 0 мес. 0 дн.</v>
      </c>
      <c r="W587" s="22"/>
      <c r="X587" s="72"/>
    </row>
    <row r="588" spans="1:24" ht="35.1" customHeight="1" x14ac:dyDescent="0.25">
      <c r="A588" s="12">
        <f t="shared" si="33"/>
        <v>587</v>
      </c>
      <c r="B588" s="12"/>
      <c r="C588" s="20"/>
      <c r="D588" s="18"/>
      <c r="H588" s="12" t="str">
        <f t="shared" si="34"/>
        <v>0 г. 0 мес. 0 дн.</v>
      </c>
      <c r="V588" s="12" t="str">
        <f t="shared" si="32"/>
        <v>0 г. 0 мес. 0 дн.</v>
      </c>
      <c r="W588" s="22"/>
      <c r="X588" s="72"/>
    </row>
    <row r="589" spans="1:24" ht="35.1" customHeight="1" x14ac:dyDescent="0.25">
      <c r="A589" s="12">
        <f t="shared" si="33"/>
        <v>588</v>
      </c>
      <c r="B589" s="12"/>
      <c r="C589" s="20"/>
      <c r="D589" s="18"/>
      <c r="H589" s="12" t="str">
        <f t="shared" si="34"/>
        <v>0 г. 0 мес. 0 дн.</v>
      </c>
      <c r="V589" s="12" t="str">
        <f t="shared" si="32"/>
        <v>0 г. 0 мес. 0 дн.</v>
      </c>
      <c r="W589" s="22"/>
      <c r="X589" s="72"/>
    </row>
    <row r="590" spans="1:24" ht="35.1" customHeight="1" x14ac:dyDescent="0.25">
      <c r="A590" s="12">
        <f t="shared" si="33"/>
        <v>589</v>
      </c>
      <c r="B590" s="12"/>
      <c r="C590" s="20"/>
      <c r="D590" s="18"/>
      <c r="H590" s="12" t="str">
        <f t="shared" si="34"/>
        <v>0 г. 0 мес. 0 дн.</v>
      </c>
      <c r="V590" s="12" t="str">
        <f t="shared" si="32"/>
        <v>0 г. 0 мес. 0 дн.</v>
      </c>
      <c r="W590" s="22"/>
      <c r="X590" s="72"/>
    </row>
    <row r="591" spans="1:24" ht="35.1" customHeight="1" x14ac:dyDescent="0.25">
      <c r="A591" s="12">
        <f t="shared" si="33"/>
        <v>590</v>
      </c>
      <c r="B591" s="12"/>
      <c r="C591" s="20"/>
      <c r="D591" s="18"/>
      <c r="H591" s="12" t="str">
        <f t="shared" si="34"/>
        <v>0 г. 0 мес. 0 дн.</v>
      </c>
      <c r="V591" s="12" t="str">
        <f t="shared" si="32"/>
        <v>0 г. 0 мес. 0 дн.</v>
      </c>
      <c r="W591" s="22"/>
      <c r="X591" s="72"/>
    </row>
    <row r="592" spans="1:24" ht="35.1" customHeight="1" x14ac:dyDescent="0.25">
      <c r="A592" s="12">
        <f t="shared" si="33"/>
        <v>591</v>
      </c>
      <c r="B592" s="12"/>
      <c r="C592" s="20"/>
      <c r="D592" s="18"/>
      <c r="H592" s="12" t="str">
        <f t="shared" si="34"/>
        <v>0 г. 0 мес. 0 дн.</v>
      </c>
      <c r="V592" s="12" t="str">
        <f t="shared" si="32"/>
        <v>0 г. 0 мес. 0 дн.</v>
      </c>
      <c r="W592" s="22"/>
      <c r="X592" s="72"/>
    </row>
    <row r="593" spans="1:24" ht="35.1" customHeight="1" x14ac:dyDescent="0.25">
      <c r="A593" s="12">
        <f t="shared" si="33"/>
        <v>592</v>
      </c>
      <c r="B593" s="12"/>
      <c r="C593" s="20"/>
      <c r="D593" s="18"/>
      <c r="H593" s="12" t="str">
        <f t="shared" si="34"/>
        <v>0 г. 0 мес. 0 дн.</v>
      </c>
      <c r="V593" s="12" t="str">
        <f t="shared" si="32"/>
        <v>0 г. 0 мес. 0 дн.</v>
      </c>
      <c r="W593" s="22"/>
      <c r="X593" s="72"/>
    </row>
    <row r="594" spans="1:24" ht="35.1" customHeight="1" x14ac:dyDescent="0.25">
      <c r="A594" s="12">
        <f t="shared" si="33"/>
        <v>593</v>
      </c>
      <c r="B594" s="12"/>
      <c r="C594" s="20"/>
      <c r="D594" s="18"/>
      <c r="H594" s="12" t="str">
        <f t="shared" si="34"/>
        <v>0 г. 0 мес. 0 дн.</v>
      </c>
      <c r="V594" s="12" t="str">
        <f t="shared" si="32"/>
        <v>0 г. 0 мес. 0 дн.</v>
      </c>
      <c r="W594" s="22"/>
      <c r="X594" s="72"/>
    </row>
    <row r="595" spans="1:24" ht="35.1" customHeight="1" x14ac:dyDescent="0.25">
      <c r="A595" s="12">
        <f t="shared" si="33"/>
        <v>594</v>
      </c>
      <c r="B595" s="12"/>
      <c r="C595" s="20"/>
      <c r="D595" s="18"/>
      <c r="H595" s="12" t="str">
        <f t="shared" si="34"/>
        <v>0 г. 0 мес. 0 дн.</v>
      </c>
      <c r="V595" s="12" t="str">
        <f t="shared" si="32"/>
        <v>0 г. 0 мес. 0 дн.</v>
      </c>
      <c r="W595" s="22"/>
      <c r="X595" s="72"/>
    </row>
    <row r="596" spans="1:24" ht="35.1" customHeight="1" x14ac:dyDescent="0.25">
      <c r="A596" s="12">
        <f t="shared" si="33"/>
        <v>595</v>
      </c>
      <c r="B596" s="12"/>
      <c r="C596" s="20"/>
      <c r="D596" s="18"/>
      <c r="H596" s="12" t="str">
        <f t="shared" si="34"/>
        <v>0 г. 0 мес. 0 дн.</v>
      </c>
      <c r="V596" s="12" t="str">
        <f t="shared" si="32"/>
        <v>0 г. 0 мес. 0 дн.</v>
      </c>
      <c r="W596" s="22"/>
      <c r="X596" s="72"/>
    </row>
    <row r="597" spans="1:24" ht="35.1" customHeight="1" x14ac:dyDescent="0.25">
      <c r="A597" s="12">
        <f t="shared" si="33"/>
        <v>596</v>
      </c>
      <c r="B597" s="12"/>
      <c r="C597" s="20"/>
      <c r="D597" s="18"/>
      <c r="H597" s="12" t="str">
        <f t="shared" si="34"/>
        <v>0 г. 0 мес. 0 дн.</v>
      </c>
      <c r="V597" s="12" t="str">
        <f t="shared" si="32"/>
        <v>0 г. 0 мес. 0 дн.</v>
      </c>
      <c r="W597" s="22"/>
      <c r="X597" s="72"/>
    </row>
    <row r="598" spans="1:24" ht="35.1" customHeight="1" x14ac:dyDescent="0.25">
      <c r="A598" s="12">
        <f t="shared" si="33"/>
        <v>597</v>
      </c>
      <c r="B598" s="12"/>
      <c r="C598" s="20"/>
      <c r="D598" s="18"/>
      <c r="H598" s="12" t="str">
        <f t="shared" si="34"/>
        <v>0 г. 0 мес. 0 дн.</v>
      </c>
      <c r="V598" s="12" t="str">
        <f t="shared" si="32"/>
        <v>0 г. 0 мес. 0 дн.</v>
      </c>
      <c r="W598" s="22"/>
      <c r="X598" s="72"/>
    </row>
    <row r="599" spans="1:24" ht="35.1" customHeight="1" x14ac:dyDescent="0.25">
      <c r="A599" s="12">
        <f t="shared" si="33"/>
        <v>598</v>
      </c>
      <c r="B599" s="12"/>
      <c r="C599" s="20"/>
      <c r="D599" s="18"/>
      <c r="H599" s="12" t="str">
        <f t="shared" si="34"/>
        <v>0 г. 0 мес. 0 дн.</v>
      </c>
      <c r="V599" s="12" t="str">
        <f t="shared" si="32"/>
        <v>0 г. 0 мес. 0 дн.</v>
      </c>
      <c r="W599" s="22"/>
      <c r="X599" s="72"/>
    </row>
    <row r="600" spans="1:24" ht="35.1" customHeight="1" x14ac:dyDescent="0.25">
      <c r="A600" s="12">
        <f t="shared" si="33"/>
        <v>599</v>
      </c>
      <c r="B600" s="12"/>
      <c r="C600" s="20"/>
      <c r="D600" s="18"/>
      <c r="H600" s="12" t="str">
        <f t="shared" si="34"/>
        <v>0 г. 0 мес. 0 дн.</v>
      </c>
      <c r="V600" s="12" t="str">
        <f t="shared" ref="V600:V663" si="35">DATEDIF(D600,T600,"y") &amp; " г. " &amp; DATEDIF(D600,T600,"ym") &amp; " мес. " &amp; DATEDIF(D600,T600,"md") &amp; " дн."</f>
        <v>0 г. 0 мес. 0 дн.</v>
      </c>
      <c r="W600" s="22"/>
      <c r="X600" s="72"/>
    </row>
    <row r="601" spans="1:24" ht="35.1" customHeight="1" x14ac:dyDescent="0.25">
      <c r="A601" s="12">
        <f t="shared" si="33"/>
        <v>600</v>
      </c>
      <c r="B601" s="12"/>
      <c r="C601" s="20"/>
      <c r="D601" s="18"/>
      <c r="H601" s="12" t="str">
        <f t="shared" si="34"/>
        <v>0 г. 0 мес. 0 дн.</v>
      </c>
      <c r="V601" s="12" t="str">
        <f t="shared" si="35"/>
        <v>0 г. 0 мес. 0 дн.</v>
      </c>
      <c r="W601" s="22"/>
      <c r="X601" s="72"/>
    </row>
    <row r="602" spans="1:24" ht="35.1" customHeight="1" x14ac:dyDescent="0.25">
      <c r="A602" s="12">
        <f t="shared" si="33"/>
        <v>601</v>
      </c>
      <c r="B602" s="12"/>
      <c r="C602" s="20"/>
      <c r="D602" s="18"/>
      <c r="H602" s="12" t="str">
        <f t="shared" si="34"/>
        <v>0 г. 0 мес. 0 дн.</v>
      </c>
      <c r="V602" s="12" t="str">
        <f t="shared" si="35"/>
        <v>0 г. 0 мес. 0 дн.</v>
      </c>
      <c r="W602" s="22"/>
      <c r="X602" s="72"/>
    </row>
    <row r="603" spans="1:24" ht="35.1" customHeight="1" x14ac:dyDescent="0.25">
      <c r="A603" s="12">
        <f t="shared" si="33"/>
        <v>602</v>
      </c>
      <c r="B603" s="12"/>
      <c r="C603" s="20"/>
      <c r="D603" s="18"/>
      <c r="H603" s="12" t="str">
        <f t="shared" si="34"/>
        <v>0 г. 0 мес. 0 дн.</v>
      </c>
      <c r="V603" s="12" t="str">
        <f t="shared" si="35"/>
        <v>0 г. 0 мес. 0 дн.</v>
      </c>
      <c r="W603" s="22"/>
      <c r="X603" s="72"/>
    </row>
    <row r="604" spans="1:24" ht="35.1" customHeight="1" x14ac:dyDescent="0.25">
      <c r="A604" s="12">
        <f t="shared" si="33"/>
        <v>603</v>
      </c>
      <c r="B604" s="12"/>
      <c r="C604" s="20"/>
      <c r="D604" s="18"/>
      <c r="H604" s="12" t="str">
        <f t="shared" si="34"/>
        <v>0 г. 0 мес. 0 дн.</v>
      </c>
      <c r="V604" s="12" t="str">
        <f t="shared" si="35"/>
        <v>0 г. 0 мес. 0 дн.</v>
      </c>
      <c r="W604" s="22"/>
      <c r="X604" s="72"/>
    </row>
    <row r="605" spans="1:24" ht="35.1" customHeight="1" x14ac:dyDescent="0.25">
      <c r="A605" s="12">
        <f t="shared" si="33"/>
        <v>604</v>
      </c>
      <c r="B605" s="12"/>
      <c r="C605" s="20"/>
      <c r="D605" s="18"/>
      <c r="H605" s="12" t="str">
        <f t="shared" si="34"/>
        <v>0 г. 0 мес. 0 дн.</v>
      </c>
      <c r="V605" s="12" t="str">
        <f t="shared" si="35"/>
        <v>0 г. 0 мес. 0 дн.</v>
      </c>
      <c r="W605" s="22"/>
      <c r="X605" s="72"/>
    </row>
    <row r="606" spans="1:24" ht="35.1" customHeight="1" x14ac:dyDescent="0.25">
      <c r="A606" s="12">
        <f t="shared" si="33"/>
        <v>605</v>
      </c>
      <c r="B606" s="12"/>
      <c r="C606" s="20"/>
      <c r="D606" s="18"/>
      <c r="H606" s="12" t="str">
        <f t="shared" si="34"/>
        <v>0 г. 0 мес. 0 дн.</v>
      </c>
      <c r="V606" s="12" t="str">
        <f t="shared" si="35"/>
        <v>0 г. 0 мес. 0 дн.</v>
      </c>
      <c r="W606" s="22"/>
      <c r="X606" s="72"/>
    </row>
    <row r="607" spans="1:24" ht="35.1" customHeight="1" x14ac:dyDescent="0.25">
      <c r="A607" s="12">
        <f t="shared" si="33"/>
        <v>606</v>
      </c>
      <c r="B607" s="12"/>
      <c r="C607" s="20"/>
      <c r="D607" s="18"/>
      <c r="H607" s="12" t="str">
        <f t="shared" si="34"/>
        <v>0 г. 0 мес. 0 дн.</v>
      </c>
      <c r="V607" s="12" t="str">
        <f t="shared" si="35"/>
        <v>0 г. 0 мес. 0 дн.</v>
      </c>
      <c r="W607" s="22"/>
      <c r="X607" s="72"/>
    </row>
    <row r="608" spans="1:24" ht="35.1" customHeight="1" x14ac:dyDescent="0.25">
      <c r="A608" s="12">
        <f t="shared" si="33"/>
        <v>607</v>
      </c>
      <c r="B608" s="12"/>
      <c r="C608" s="20"/>
      <c r="D608" s="18"/>
      <c r="H608" s="12" t="str">
        <f t="shared" si="34"/>
        <v>0 г. 0 мес. 0 дн.</v>
      </c>
      <c r="V608" s="12" t="str">
        <f t="shared" si="35"/>
        <v>0 г. 0 мес. 0 дн.</v>
      </c>
      <c r="W608" s="22"/>
      <c r="X608" s="72"/>
    </row>
    <row r="609" spans="1:24" ht="35.1" customHeight="1" x14ac:dyDescent="0.25">
      <c r="A609" s="12">
        <f t="shared" si="33"/>
        <v>608</v>
      </c>
      <c r="B609" s="12"/>
      <c r="C609" s="20"/>
      <c r="D609" s="18"/>
      <c r="H609" s="12" t="str">
        <f t="shared" si="34"/>
        <v>0 г. 0 мес. 0 дн.</v>
      </c>
      <c r="V609" s="12" t="str">
        <f t="shared" si="35"/>
        <v>0 г. 0 мес. 0 дн.</v>
      </c>
      <c r="W609" s="22"/>
      <c r="X609" s="72"/>
    </row>
    <row r="610" spans="1:24" ht="35.1" customHeight="1" x14ac:dyDescent="0.25">
      <c r="A610" s="12">
        <f t="shared" si="33"/>
        <v>609</v>
      </c>
      <c r="B610" s="12"/>
      <c r="C610" s="20"/>
      <c r="D610" s="18"/>
      <c r="H610" s="12" t="str">
        <f t="shared" si="34"/>
        <v>0 г. 0 мес. 0 дн.</v>
      </c>
      <c r="V610" s="12" t="str">
        <f t="shared" si="35"/>
        <v>0 г. 0 мес. 0 дн.</v>
      </c>
      <c r="W610" s="22"/>
      <c r="X610" s="72"/>
    </row>
    <row r="611" spans="1:24" ht="35.1" customHeight="1" x14ac:dyDescent="0.25">
      <c r="A611" s="12">
        <f t="shared" si="33"/>
        <v>610</v>
      </c>
      <c r="B611" s="12"/>
      <c r="C611" s="20"/>
      <c r="D611" s="18"/>
      <c r="H611" s="12" t="str">
        <f t="shared" si="34"/>
        <v>0 г. 0 мес. 0 дн.</v>
      </c>
      <c r="V611" s="12" t="str">
        <f t="shared" si="35"/>
        <v>0 г. 0 мес. 0 дн.</v>
      </c>
      <c r="W611" s="22"/>
      <c r="X611" s="72"/>
    </row>
    <row r="612" spans="1:24" ht="35.1" customHeight="1" x14ac:dyDescent="0.25">
      <c r="A612" s="12">
        <f t="shared" si="33"/>
        <v>611</v>
      </c>
      <c r="B612" s="12"/>
      <c r="C612" s="20"/>
      <c r="D612" s="18"/>
      <c r="H612" s="12" t="str">
        <f t="shared" si="34"/>
        <v>0 г. 0 мес. 0 дн.</v>
      </c>
      <c r="V612" s="12" t="str">
        <f t="shared" si="35"/>
        <v>0 г. 0 мес. 0 дн.</v>
      </c>
      <c r="W612" s="22"/>
      <c r="X612" s="72"/>
    </row>
    <row r="613" spans="1:24" ht="35.1" customHeight="1" x14ac:dyDescent="0.25">
      <c r="A613" s="12">
        <f t="shared" si="33"/>
        <v>612</v>
      </c>
      <c r="B613" s="12"/>
      <c r="C613" s="20"/>
      <c r="D613" s="18"/>
      <c r="H613" s="12" t="str">
        <f t="shared" si="34"/>
        <v>0 г. 0 мес. 0 дн.</v>
      </c>
      <c r="V613" s="12" t="str">
        <f t="shared" si="35"/>
        <v>0 г. 0 мес. 0 дн.</v>
      </c>
      <c r="W613" s="22"/>
      <c r="X613" s="72"/>
    </row>
    <row r="614" spans="1:24" ht="35.1" customHeight="1" x14ac:dyDescent="0.25">
      <c r="A614" s="12">
        <f t="shared" si="33"/>
        <v>613</v>
      </c>
      <c r="B614" s="12"/>
      <c r="C614" s="20"/>
      <c r="D614" s="18"/>
      <c r="H614" s="12" t="str">
        <f t="shared" si="34"/>
        <v>0 г. 0 мес. 0 дн.</v>
      </c>
      <c r="V614" s="12" t="str">
        <f t="shared" si="35"/>
        <v>0 г. 0 мес. 0 дн.</v>
      </c>
      <c r="W614" s="22"/>
      <c r="X614" s="72"/>
    </row>
    <row r="615" spans="1:24" ht="35.1" customHeight="1" x14ac:dyDescent="0.25">
      <c r="A615" s="12">
        <f t="shared" si="33"/>
        <v>614</v>
      </c>
      <c r="B615" s="12"/>
      <c r="C615" s="20"/>
      <c r="D615" s="18"/>
      <c r="H615" s="12" t="str">
        <f t="shared" si="34"/>
        <v>0 г. 0 мес. 0 дн.</v>
      </c>
      <c r="V615" s="12" t="str">
        <f t="shared" si="35"/>
        <v>0 г. 0 мес. 0 дн.</v>
      </c>
      <c r="W615" s="22"/>
      <c r="X615" s="72"/>
    </row>
    <row r="616" spans="1:24" ht="35.1" customHeight="1" x14ac:dyDescent="0.25">
      <c r="A616" s="12">
        <f t="shared" si="33"/>
        <v>615</v>
      </c>
      <c r="B616" s="12"/>
      <c r="C616" s="20"/>
      <c r="D616" s="18"/>
      <c r="H616" s="12" t="str">
        <f t="shared" si="34"/>
        <v>0 г. 0 мес. 0 дн.</v>
      </c>
      <c r="V616" s="12" t="str">
        <f t="shared" si="35"/>
        <v>0 г. 0 мес. 0 дн.</v>
      </c>
      <c r="W616" s="22"/>
      <c r="X616" s="72"/>
    </row>
    <row r="617" spans="1:24" ht="35.1" customHeight="1" x14ac:dyDescent="0.25">
      <c r="A617" s="12">
        <f t="shared" si="33"/>
        <v>616</v>
      </c>
      <c r="B617" s="12"/>
      <c r="C617" s="20"/>
      <c r="D617" s="18"/>
      <c r="H617" s="12" t="str">
        <f t="shared" si="34"/>
        <v>0 г. 0 мес. 0 дн.</v>
      </c>
      <c r="V617" s="12" t="str">
        <f t="shared" si="35"/>
        <v>0 г. 0 мес. 0 дн.</v>
      </c>
      <c r="W617" s="22"/>
      <c r="X617" s="72"/>
    </row>
    <row r="618" spans="1:24" ht="35.1" customHeight="1" x14ac:dyDescent="0.25">
      <c r="A618" s="12">
        <f t="shared" si="33"/>
        <v>617</v>
      </c>
      <c r="B618" s="12"/>
      <c r="C618" s="20"/>
      <c r="D618" s="18"/>
      <c r="H618" s="12" t="str">
        <f t="shared" si="34"/>
        <v>0 г. 0 мес. 0 дн.</v>
      </c>
      <c r="V618" s="12" t="str">
        <f t="shared" si="35"/>
        <v>0 г. 0 мес. 0 дн.</v>
      </c>
      <c r="W618" s="22"/>
      <c r="X618" s="72"/>
    </row>
    <row r="619" spans="1:24" ht="35.1" customHeight="1" x14ac:dyDescent="0.25">
      <c r="A619" s="12">
        <f t="shared" si="33"/>
        <v>618</v>
      </c>
      <c r="B619" s="12"/>
      <c r="C619" s="20"/>
      <c r="D619" s="18"/>
      <c r="H619" s="12" t="str">
        <f t="shared" si="34"/>
        <v>0 г. 0 мес. 0 дн.</v>
      </c>
      <c r="V619" s="12" t="str">
        <f t="shared" si="35"/>
        <v>0 г. 0 мес. 0 дн.</v>
      </c>
      <c r="W619" s="22"/>
      <c r="X619" s="72"/>
    </row>
    <row r="620" spans="1:24" ht="35.1" customHeight="1" x14ac:dyDescent="0.25">
      <c r="A620" s="12">
        <f t="shared" si="33"/>
        <v>619</v>
      </c>
      <c r="B620" s="12"/>
      <c r="C620" s="20"/>
      <c r="D620" s="18"/>
      <c r="H620" s="12" t="str">
        <f t="shared" si="34"/>
        <v>0 г. 0 мес. 0 дн.</v>
      </c>
      <c r="V620" s="12" t="str">
        <f t="shared" si="35"/>
        <v>0 г. 0 мес. 0 дн.</v>
      </c>
      <c r="W620" s="22"/>
      <c r="X620" s="72"/>
    </row>
    <row r="621" spans="1:24" ht="35.1" customHeight="1" x14ac:dyDescent="0.25">
      <c r="A621" s="12">
        <f t="shared" si="33"/>
        <v>620</v>
      </c>
      <c r="B621" s="12"/>
      <c r="C621" s="20"/>
      <c r="D621" s="18"/>
      <c r="H621" s="12" t="str">
        <f t="shared" si="34"/>
        <v>0 г. 0 мес. 0 дн.</v>
      </c>
      <c r="V621" s="12" t="str">
        <f t="shared" si="35"/>
        <v>0 г. 0 мес. 0 дн.</v>
      </c>
      <c r="W621" s="22"/>
      <c r="X621" s="72"/>
    </row>
    <row r="622" spans="1:24" ht="35.1" customHeight="1" x14ac:dyDescent="0.25">
      <c r="A622" s="12">
        <f t="shared" si="33"/>
        <v>621</v>
      </c>
      <c r="B622" s="12"/>
      <c r="C622" s="20"/>
      <c r="D622" s="18"/>
      <c r="H622" s="12" t="str">
        <f t="shared" si="34"/>
        <v>0 г. 0 мес. 0 дн.</v>
      </c>
      <c r="V622" s="12" t="str">
        <f t="shared" si="35"/>
        <v>0 г. 0 мес. 0 дн.</v>
      </c>
      <c r="W622" s="22"/>
      <c r="X622" s="72"/>
    </row>
    <row r="623" spans="1:24" ht="35.1" customHeight="1" x14ac:dyDescent="0.25">
      <c r="A623" s="12">
        <f t="shared" si="33"/>
        <v>622</v>
      </c>
      <c r="B623" s="12"/>
      <c r="C623" s="20"/>
      <c r="D623" s="18"/>
      <c r="H623" s="12" t="str">
        <f t="shared" si="34"/>
        <v>0 г. 0 мес. 0 дн.</v>
      </c>
      <c r="V623" s="12" t="str">
        <f t="shared" si="35"/>
        <v>0 г. 0 мес. 0 дн.</v>
      </c>
      <c r="W623" s="22"/>
      <c r="X623" s="72"/>
    </row>
    <row r="624" spans="1:24" ht="35.1" customHeight="1" x14ac:dyDescent="0.25">
      <c r="A624" s="12">
        <f t="shared" si="33"/>
        <v>623</v>
      </c>
      <c r="B624" s="12"/>
      <c r="C624" s="20"/>
      <c r="D624" s="18"/>
      <c r="H624" s="12" t="str">
        <f t="shared" si="34"/>
        <v>0 г. 0 мес. 0 дн.</v>
      </c>
      <c r="V624" s="12" t="str">
        <f t="shared" si="35"/>
        <v>0 г. 0 мес. 0 дн.</v>
      </c>
      <c r="W624" s="22"/>
      <c r="X624" s="72"/>
    </row>
    <row r="625" spans="1:24" ht="35.1" customHeight="1" x14ac:dyDescent="0.25">
      <c r="A625" s="12">
        <f t="shared" si="33"/>
        <v>624</v>
      </c>
      <c r="B625" s="12"/>
      <c r="C625" s="20"/>
      <c r="D625" s="18"/>
      <c r="H625" s="12" t="str">
        <f t="shared" si="34"/>
        <v>0 г. 0 мес. 0 дн.</v>
      </c>
      <c r="V625" s="12" t="str">
        <f t="shared" si="35"/>
        <v>0 г. 0 мес. 0 дн.</v>
      </c>
      <c r="W625" s="22"/>
      <c r="X625" s="72"/>
    </row>
    <row r="626" spans="1:24" ht="35.1" customHeight="1" x14ac:dyDescent="0.25">
      <c r="A626" s="12">
        <f t="shared" si="33"/>
        <v>625</v>
      </c>
      <c r="B626" s="12"/>
      <c r="C626" s="20"/>
      <c r="D626" s="18"/>
      <c r="H626" s="12" t="str">
        <f t="shared" si="34"/>
        <v>0 г. 0 мес. 0 дн.</v>
      </c>
      <c r="V626" s="12" t="str">
        <f t="shared" si="35"/>
        <v>0 г. 0 мес. 0 дн.</v>
      </c>
      <c r="W626" s="22"/>
      <c r="X626" s="72"/>
    </row>
    <row r="627" spans="1:24" ht="35.1" customHeight="1" x14ac:dyDescent="0.25">
      <c r="A627" s="12">
        <f t="shared" si="33"/>
        <v>626</v>
      </c>
      <c r="B627" s="12"/>
      <c r="C627" s="20"/>
      <c r="D627" s="18"/>
      <c r="H627" s="12" t="str">
        <f t="shared" si="34"/>
        <v>0 г. 0 мес. 0 дн.</v>
      </c>
      <c r="V627" s="12" t="str">
        <f t="shared" si="35"/>
        <v>0 г. 0 мес. 0 дн.</v>
      </c>
      <c r="W627" s="22"/>
      <c r="X627" s="72"/>
    </row>
    <row r="628" spans="1:24" ht="35.1" customHeight="1" x14ac:dyDescent="0.25">
      <c r="A628" s="12">
        <f t="shared" si="33"/>
        <v>627</v>
      </c>
      <c r="B628" s="12"/>
      <c r="C628" s="20"/>
      <c r="D628" s="18"/>
      <c r="H628" s="12" t="str">
        <f t="shared" si="34"/>
        <v>0 г. 0 мес. 0 дн.</v>
      </c>
      <c r="V628" s="12" t="str">
        <f t="shared" si="35"/>
        <v>0 г. 0 мес. 0 дн.</v>
      </c>
      <c r="W628" s="22"/>
      <c r="X628" s="72"/>
    </row>
    <row r="629" spans="1:24" ht="35.1" customHeight="1" x14ac:dyDescent="0.25">
      <c r="A629" s="12">
        <f t="shared" si="33"/>
        <v>628</v>
      </c>
      <c r="B629" s="12"/>
      <c r="C629" s="20"/>
      <c r="D629" s="18"/>
      <c r="H629" s="12" t="str">
        <f t="shared" si="34"/>
        <v>0 г. 0 мес. 0 дн.</v>
      </c>
      <c r="V629" s="12" t="str">
        <f t="shared" si="35"/>
        <v>0 г. 0 мес. 0 дн.</v>
      </c>
      <c r="W629" s="22"/>
      <c r="X629" s="72"/>
    </row>
    <row r="630" spans="1:24" ht="35.1" customHeight="1" x14ac:dyDescent="0.25">
      <c r="A630" s="12">
        <f t="shared" si="33"/>
        <v>629</v>
      </c>
      <c r="B630" s="12"/>
      <c r="C630" s="20"/>
      <c r="D630" s="18"/>
      <c r="H630" s="12" t="str">
        <f t="shared" si="34"/>
        <v>0 г. 0 мес. 0 дн.</v>
      </c>
      <c r="V630" s="12" t="str">
        <f t="shared" si="35"/>
        <v>0 г. 0 мес. 0 дн.</v>
      </c>
      <c r="W630" s="22"/>
      <c r="X630" s="72"/>
    </row>
    <row r="631" spans="1:24" ht="35.1" customHeight="1" x14ac:dyDescent="0.25">
      <c r="A631" s="12">
        <f t="shared" si="33"/>
        <v>630</v>
      </c>
      <c r="B631" s="12"/>
      <c r="C631" s="20"/>
      <c r="D631" s="18"/>
      <c r="H631" s="12" t="str">
        <f t="shared" si="34"/>
        <v>0 г. 0 мес. 0 дн.</v>
      </c>
      <c r="V631" s="12" t="str">
        <f t="shared" si="35"/>
        <v>0 г. 0 мес. 0 дн.</v>
      </c>
      <c r="W631" s="22"/>
      <c r="X631" s="72"/>
    </row>
    <row r="632" spans="1:24" ht="35.1" customHeight="1" x14ac:dyDescent="0.25">
      <c r="A632" s="12">
        <f t="shared" si="33"/>
        <v>631</v>
      </c>
      <c r="B632" s="12"/>
      <c r="C632" s="20"/>
      <c r="D632" s="18"/>
      <c r="H632" s="12" t="str">
        <f t="shared" si="34"/>
        <v>0 г. 0 мес. 0 дн.</v>
      </c>
      <c r="V632" s="12" t="str">
        <f t="shared" si="35"/>
        <v>0 г. 0 мес. 0 дн.</v>
      </c>
      <c r="W632" s="22"/>
      <c r="X632" s="72"/>
    </row>
    <row r="633" spans="1:24" ht="35.1" customHeight="1" x14ac:dyDescent="0.25">
      <c r="A633" s="12">
        <f t="shared" si="33"/>
        <v>632</v>
      </c>
      <c r="B633" s="12"/>
      <c r="C633" s="20"/>
      <c r="D633" s="18"/>
      <c r="H633" s="12" t="str">
        <f t="shared" si="34"/>
        <v>0 г. 0 мес. 0 дн.</v>
      </c>
      <c r="V633" s="12" t="str">
        <f t="shared" si="35"/>
        <v>0 г. 0 мес. 0 дн.</v>
      </c>
      <c r="W633" s="22"/>
      <c r="X633" s="72"/>
    </row>
    <row r="634" spans="1:24" ht="35.1" customHeight="1" x14ac:dyDescent="0.25">
      <c r="A634" s="12">
        <f t="shared" si="33"/>
        <v>633</v>
      </c>
      <c r="B634" s="12"/>
      <c r="C634" s="20"/>
      <c r="D634" s="18"/>
      <c r="H634" s="12" t="str">
        <f t="shared" si="34"/>
        <v>0 г. 0 мес. 0 дн.</v>
      </c>
      <c r="V634" s="12" t="str">
        <f t="shared" si="35"/>
        <v>0 г. 0 мес. 0 дн.</v>
      </c>
      <c r="W634" s="22"/>
      <c r="X634" s="72"/>
    </row>
    <row r="635" spans="1:24" ht="35.1" customHeight="1" x14ac:dyDescent="0.25">
      <c r="A635" s="12">
        <f t="shared" si="33"/>
        <v>634</v>
      </c>
      <c r="B635" s="12"/>
      <c r="C635" s="20"/>
      <c r="D635" s="18"/>
      <c r="H635" s="12" t="str">
        <f t="shared" si="34"/>
        <v>0 г. 0 мес. 0 дн.</v>
      </c>
      <c r="V635" s="12" t="str">
        <f t="shared" si="35"/>
        <v>0 г. 0 мес. 0 дн.</v>
      </c>
      <c r="W635" s="22"/>
      <c r="X635" s="72"/>
    </row>
    <row r="636" spans="1:24" ht="35.1" customHeight="1" x14ac:dyDescent="0.25">
      <c r="A636" s="12">
        <f t="shared" si="33"/>
        <v>635</v>
      </c>
      <c r="B636" s="12"/>
      <c r="C636" s="20"/>
      <c r="D636" s="18"/>
      <c r="H636" s="12" t="str">
        <f t="shared" si="34"/>
        <v>0 г. 0 мес. 0 дн.</v>
      </c>
      <c r="V636" s="12" t="str">
        <f t="shared" si="35"/>
        <v>0 г. 0 мес. 0 дн.</v>
      </c>
      <c r="W636" s="22"/>
      <c r="X636" s="72"/>
    </row>
    <row r="637" spans="1:24" ht="35.1" customHeight="1" x14ac:dyDescent="0.25">
      <c r="A637" s="12">
        <f t="shared" si="33"/>
        <v>636</v>
      </c>
      <c r="B637" s="12"/>
      <c r="C637" s="20"/>
      <c r="D637" s="18"/>
      <c r="H637" s="12" t="str">
        <f t="shared" si="34"/>
        <v>0 г. 0 мес. 0 дн.</v>
      </c>
      <c r="V637" s="12" t="str">
        <f t="shared" si="35"/>
        <v>0 г. 0 мес. 0 дн.</v>
      </c>
      <c r="W637" s="22"/>
      <c r="X637" s="72"/>
    </row>
    <row r="638" spans="1:24" ht="35.1" customHeight="1" x14ac:dyDescent="0.25">
      <c r="A638" s="12">
        <f t="shared" si="33"/>
        <v>637</v>
      </c>
      <c r="B638" s="12"/>
      <c r="C638" s="20"/>
      <c r="D638" s="18"/>
      <c r="H638" s="12" t="str">
        <f t="shared" si="34"/>
        <v>0 г. 0 мес. 0 дн.</v>
      </c>
      <c r="V638" s="12" t="str">
        <f t="shared" si="35"/>
        <v>0 г. 0 мес. 0 дн.</v>
      </c>
      <c r="W638" s="22"/>
      <c r="X638" s="72"/>
    </row>
    <row r="639" spans="1:24" ht="35.1" customHeight="1" x14ac:dyDescent="0.25">
      <c r="A639" s="12">
        <f t="shared" si="33"/>
        <v>638</v>
      </c>
      <c r="B639" s="12"/>
      <c r="C639" s="20"/>
      <c r="D639" s="18"/>
      <c r="H639" s="12" t="str">
        <f t="shared" si="34"/>
        <v>0 г. 0 мес. 0 дн.</v>
      </c>
      <c r="V639" s="12" t="str">
        <f t="shared" si="35"/>
        <v>0 г. 0 мес. 0 дн.</v>
      </c>
      <c r="W639" s="22"/>
      <c r="X639" s="72"/>
    </row>
    <row r="640" spans="1:24" ht="35.1" customHeight="1" x14ac:dyDescent="0.25">
      <c r="A640" s="12">
        <f t="shared" si="33"/>
        <v>639</v>
      </c>
      <c r="B640" s="12"/>
      <c r="C640" s="20"/>
      <c r="D640" s="18"/>
      <c r="H640" s="12" t="str">
        <f t="shared" si="34"/>
        <v>0 г. 0 мес. 0 дн.</v>
      </c>
      <c r="V640" s="12" t="str">
        <f t="shared" si="35"/>
        <v>0 г. 0 мес. 0 дн.</v>
      </c>
      <c r="W640" s="22"/>
      <c r="X640" s="72"/>
    </row>
    <row r="641" spans="1:24" ht="35.1" customHeight="1" x14ac:dyDescent="0.25">
      <c r="A641" s="12">
        <f t="shared" ref="A641:A704" si="36">ROW(A640)</f>
        <v>640</v>
      </c>
      <c r="B641" s="12"/>
      <c r="C641" s="20"/>
      <c r="D641" s="18"/>
      <c r="H641" s="12" t="str">
        <f t="shared" si="34"/>
        <v>0 г. 0 мес. 0 дн.</v>
      </c>
      <c r="V641" s="12" t="str">
        <f t="shared" si="35"/>
        <v>0 г. 0 мес. 0 дн.</v>
      </c>
      <c r="W641" s="22"/>
      <c r="X641" s="72"/>
    </row>
    <row r="642" spans="1:24" ht="35.1" customHeight="1" x14ac:dyDescent="0.25">
      <c r="A642" s="12">
        <f t="shared" si="36"/>
        <v>641</v>
      </c>
      <c r="B642" s="12"/>
      <c r="C642" s="20"/>
      <c r="D642" s="18"/>
      <c r="H642" s="12" t="str">
        <f t="shared" si="34"/>
        <v>0 г. 0 мес. 0 дн.</v>
      </c>
      <c r="V642" s="12" t="str">
        <f t="shared" si="35"/>
        <v>0 г. 0 мес. 0 дн.</v>
      </c>
      <c r="W642" s="22"/>
      <c r="X642" s="72"/>
    </row>
    <row r="643" spans="1:24" ht="35.1" customHeight="1" x14ac:dyDescent="0.25">
      <c r="A643" s="12">
        <f t="shared" si="36"/>
        <v>642</v>
      </c>
      <c r="B643" s="12"/>
      <c r="C643" s="20"/>
      <c r="D643" s="18"/>
      <c r="H643" s="12" t="str">
        <f t="shared" si="34"/>
        <v>0 г. 0 мес. 0 дн.</v>
      </c>
      <c r="V643" s="12" t="str">
        <f t="shared" si="35"/>
        <v>0 г. 0 мес. 0 дн.</v>
      </c>
      <c r="W643" s="22"/>
      <c r="X643" s="72"/>
    </row>
    <row r="644" spans="1:24" ht="35.1" customHeight="1" x14ac:dyDescent="0.25">
      <c r="A644" s="12">
        <f t="shared" si="36"/>
        <v>643</v>
      </c>
      <c r="B644" s="12"/>
      <c r="C644" s="20"/>
      <c r="D644" s="18"/>
      <c r="H644" s="12" t="str">
        <f t="shared" si="34"/>
        <v>0 г. 0 мес. 0 дн.</v>
      </c>
      <c r="V644" s="12" t="str">
        <f t="shared" si="35"/>
        <v>0 г. 0 мес. 0 дн.</v>
      </c>
      <c r="W644" s="22"/>
      <c r="X644" s="72"/>
    </row>
    <row r="645" spans="1:24" ht="35.1" customHeight="1" x14ac:dyDescent="0.25">
      <c r="A645" s="12">
        <f t="shared" si="36"/>
        <v>644</v>
      </c>
      <c r="B645" s="12"/>
      <c r="C645" s="20"/>
      <c r="D645" s="18"/>
      <c r="H645" s="12" t="str">
        <f t="shared" si="34"/>
        <v>0 г. 0 мес. 0 дн.</v>
      </c>
      <c r="V645" s="12" t="str">
        <f t="shared" si="35"/>
        <v>0 г. 0 мес. 0 дн.</v>
      </c>
      <c r="W645" s="22"/>
      <c r="X645" s="72"/>
    </row>
    <row r="646" spans="1:24" ht="35.1" customHeight="1" x14ac:dyDescent="0.25">
      <c r="A646" s="12">
        <f t="shared" si="36"/>
        <v>645</v>
      </c>
      <c r="B646" s="12"/>
      <c r="C646" s="20"/>
      <c r="D646" s="18"/>
      <c r="H646" s="12" t="str">
        <f t="shared" ref="H646:H709" si="37">DATEDIF(G646,D646,"y") &amp; " г. " &amp; DATEDIF(G646,D646,"ym") &amp; " мес. " &amp; DATEDIF(G646,D646,"md") &amp; " дн."</f>
        <v>0 г. 0 мес. 0 дн.</v>
      </c>
      <c r="V646" s="12" t="str">
        <f t="shared" si="35"/>
        <v>0 г. 0 мес. 0 дн.</v>
      </c>
      <c r="W646" s="22"/>
      <c r="X646" s="72"/>
    </row>
    <row r="647" spans="1:24" ht="35.1" customHeight="1" x14ac:dyDescent="0.25">
      <c r="A647" s="12">
        <f t="shared" si="36"/>
        <v>646</v>
      </c>
      <c r="B647" s="12"/>
      <c r="C647" s="20"/>
      <c r="D647" s="18"/>
      <c r="H647" s="12" t="str">
        <f t="shared" si="37"/>
        <v>0 г. 0 мес. 0 дн.</v>
      </c>
      <c r="V647" s="12" t="str">
        <f t="shared" si="35"/>
        <v>0 г. 0 мес. 0 дн.</v>
      </c>
      <c r="W647" s="22"/>
      <c r="X647" s="72"/>
    </row>
    <row r="648" spans="1:24" ht="35.1" customHeight="1" x14ac:dyDescent="0.25">
      <c r="A648" s="12">
        <f t="shared" si="36"/>
        <v>647</v>
      </c>
      <c r="B648" s="12"/>
      <c r="C648" s="20"/>
      <c r="D648" s="18"/>
      <c r="H648" s="12" t="str">
        <f t="shared" si="37"/>
        <v>0 г. 0 мес. 0 дн.</v>
      </c>
      <c r="V648" s="12" t="str">
        <f t="shared" si="35"/>
        <v>0 г. 0 мес. 0 дн.</v>
      </c>
      <c r="W648" s="22"/>
      <c r="X648" s="72"/>
    </row>
    <row r="649" spans="1:24" ht="35.1" customHeight="1" x14ac:dyDescent="0.25">
      <c r="A649" s="12">
        <f t="shared" si="36"/>
        <v>648</v>
      </c>
      <c r="B649" s="12"/>
      <c r="C649" s="20"/>
      <c r="D649" s="18"/>
      <c r="H649" s="12" t="str">
        <f t="shared" si="37"/>
        <v>0 г. 0 мес. 0 дн.</v>
      </c>
      <c r="V649" s="12" t="str">
        <f t="shared" si="35"/>
        <v>0 г. 0 мес. 0 дн.</v>
      </c>
      <c r="W649" s="22"/>
      <c r="X649" s="72"/>
    </row>
    <row r="650" spans="1:24" ht="35.1" customHeight="1" x14ac:dyDescent="0.25">
      <c r="A650" s="12">
        <f t="shared" si="36"/>
        <v>649</v>
      </c>
      <c r="B650" s="12"/>
      <c r="C650" s="20"/>
      <c r="D650" s="18"/>
      <c r="H650" s="12" t="str">
        <f t="shared" si="37"/>
        <v>0 г. 0 мес. 0 дн.</v>
      </c>
      <c r="V650" s="12" t="str">
        <f t="shared" si="35"/>
        <v>0 г. 0 мес. 0 дн.</v>
      </c>
      <c r="W650" s="22"/>
      <c r="X650" s="72"/>
    </row>
    <row r="651" spans="1:24" ht="35.1" customHeight="1" x14ac:dyDescent="0.25">
      <c r="A651" s="12">
        <f t="shared" si="36"/>
        <v>650</v>
      </c>
      <c r="B651" s="12"/>
      <c r="C651" s="20"/>
      <c r="D651" s="18"/>
      <c r="H651" s="12" t="str">
        <f t="shared" si="37"/>
        <v>0 г. 0 мес. 0 дн.</v>
      </c>
      <c r="V651" s="12" t="str">
        <f t="shared" si="35"/>
        <v>0 г. 0 мес. 0 дн.</v>
      </c>
      <c r="W651" s="22"/>
      <c r="X651" s="72"/>
    </row>
    <row r="652" spans="1:24" ht="35.1" customHeight="1" x14ac:dyDescent="0.25">
      <c r="A652" s="12">
        <f t="shared" si="36"/>
        <v>651</v>
      </c>
      <c r="B652" s="12"/>
      <c r="C652" s="20"/>
      <c r="D652" s="18"/>
      <c r="H652" s="12" t="str">
        <f t="shared" si="37"/>
        <v>0 г. 0 мес. 0 дн.</v>
      </c>
      <c r="V652" s="12" t="str">
        <f t="shared" si="35"/>
        <v>0 г. 0 мес. 0 дн.</v>
      </c>
      <c r="W652" s="22"/>
      <c r="X652" s="72"/>
    </row>
    <row r="653" spans="1:24" ht="35.1" customHeight="1" x14ac:dyDescent="0.25">
      <c r="A653" s="12">
        <f t="shared" si="36"/>
        <v>652</v>
      </c>
      <c r="B653" s="12"/>
      <c r="C653" s="20"/>
      <c r="D653" s="18"/>
      <c r="H653" s="12" t="str">
        <f t="shared" si="37"/>
        <v>0 г. 0 мес. 0 дн.</v>
      </c>
      <c r="V653" s="12" t="str">
        <f t="shared" si="35"/>
        <v>0 г. 0 мес. 0 дн.</v>
      </c>
      <c r="W653" s="22"/>
      <c r="X653" s="72"/>
    </row>
    <row r="654" spans="1:24" ht="35.1" customHeight="1" x14ac:dyDescent="0.25">
      <c r="A654" s="12">
        <f t="shared" si="36"/>
        <v>653</v>
      </c>
      <c r="B654" s="12"/>
      <c r="C654" s="20"/>
      <c r="D654" s="18"/>
      <c r="H654" s="12" t="str">
        <f t="shared" si="37"/>
        <v>0 г. 0 мес. 0 дн.</v>
      </c>
      <c r="V654" s="12" t="str">
        <f t="shared" si="35"/>
        <v>0 г. 0 мес. 0 дн.</v>
      </c>
      <c r="W654" s="22"/>
      <c r="X654" s="72"/>
    </row>
    <row r="655" spans="1:24" ht="35.1" customHeight="1" x14ac:dyDescent="0.25">
      <c r="A655" s="12">
        <f t="shared" si="36"/>
        <v>654</v>
      </c>
      <c r="B655" s="12"/>
      <c r="C655" s="20"/>
      <c r="D655" s="18"/>
      <c r="H655" s="12" t="str">
        <f t="shared" si="37"/>
        <v>0 г. 0 мес. 0 дн.</v>
      </c>
      <c r="V655" s="12" t="str">
        <f t="shared" si="35"/>
        <v>0 г. 0 мес. 0 дн.</v>
      </c>
      <c r="W655" s="22"/>
      <c r="X655" s="72"/>
    </row>
    <row r="656" spans="1:24" ht="35.1" customHeight="1" x14ac:dyDescent="0.25">
      <c r="A656" s="12">
        <f t="shared" si="36"/>
        <v>655</v>
      </c>
      <c r="B656" s="12"/>
      <c r="C656" s="20"/>
      <c r="D656" s="18"/>
      <c r="H656" s="12" t="str">
        <f t="shared" si="37"/>
        <v>0 г. 0 мес. 0 дн.</v>
      </c>
      <c r="V656" s="12" t="str">
        <f t="shared" si="35"/>
        <v>0 г. 0 мес. 0 дн.</v>
      </c>
      <c r="W656" s="22"/>
      <c r="X656" s="72"/>
    </row>
    <row r="657" spans="1:24" ht="35.1" customHeight="1" x14ac:dyDescent="0.25">
      <c r="A657" s="12">
        <f t="shared" si="36"/>
        <v>656</v>
      </c>
      <c r="B657" s="12"/>
      <c r="C657" s="20"/>
      <c r="D657" s="18"/>
      <c r="H657" s="12" t="str">
        <f t="shared" si="37"/>
        <v>0 г. 0 мес. 0 дн.</v>
      </c>
      <c r="V657" s="12" t="str">
        <f t="shared" si="35"/>
        <v>0 г. 0 мес. 0 дн.</v>
      </c>
      <c r="W657" s="22"/>
      <c r="X657" s="72"/>
    </row>
    <row r="658" spans="1:24" ht="35.1" customHeight="1" x14ac:dyDescent="0.25">
      <c r="A658" s="12">
        <f t="shared" si="36"/>
        <v>657</v>
      </c>
      <c r="B658" s="12"/>
      <c r="C658" s="20"/>
      <c r="D658" s="18"/>
      <c r="H658" s="12" t="str">
        <f t="shared" si="37"/>
        <v>0 г. 0 мес. 0 дн.</v>
      </c>
      <c r="V658" s="12" t="str">
        <f t="shared" si="35"/>
        <v>0 г. 0 мес. 0 дн.</v>
      </c>
      <c r="W658" s="22"/>
      <c r="X658" s="72"/>
    </row>
    <row r="659" spans="1:24" ht="35.1" customHeight="1" x14ac:dyDescent="0.25">
      <c r="A659" s="12">
        <f t="shared" si="36"/>
        <v>658</v>
      </c>
      <c r="B659" s="12"/>
      <c r="C659" s="20"/>
      <c r="D659" s="18"/>
      <c r="H659" s="12" t="str">
        <f t="shared" si="37"/>
        <v>0 г. 0 мес. 0 дн.</v>
      </c>
      <c r="V659" s="12" t="str">
        <f t="shared" si="35"/>
        <v>0 г. 0 мес. 0 дн.</v>
      </c>
      <c r="W659" s="22"/>
      <c r="X659" s="72"/>
    </row>
    <row r="660" spans="1:24" ht="35.1" customHeight="1" x14ac:dyDescent="0.25">
      <c r="A660" s="12">
        <f t="shared" si="36"/>
        <v>659</v>
      </c>
      <c r="B660" s="12"/>
      <c r="C660" s="20"/>
      <c r="D660" s="18"/>
      <c r="H660" s="12" t="str">
        <f t="shared" si="37"/>
        <v>0 г. 0 мес. 0 дн.</v>
      </c>
      <c r="V660" s="12" t="str">
        <f t="shared" si="35"/>
        <v>0 г. 0 мес. 0 дн.</v>
      </c>
      <c r="W660" s="22"/>
      <c r="X660" s="72"/>
    </row>
    <row r="661" spans="1:24" ht="35.1" customHeight="1" x14ac:dyDescent="0.25">
      <c r="A661" s="12">
        <f t="shared" si="36"/>
        <v>660</v>
      </c>
      <c r="B661" s="12"/>
      <c r="C661" s="20"/>
      <c r="D661" s="18"/>
      <c r="H661" s="12" t="str">
        <f t="shared" si="37"/>
        <v>0 г. 0 мес. 0 дн.</v>
      </c>
      <c r="V661" s="12" t="str">
        <f t="shared" si="35"/>
        <v>0 г. 0 мес. 0 дн.</v>
      </c>
      <c r="W661" s="22"/>
      <c r="X661" s="72"/>
    </row>
    <row r="662" spans="1:24" ht="35.1" customHeight="1" x14ac:dyDescent="0.25">
      <c r="A662" s="12">
        <f t="shared" si="36"/>
        <v>661</v>
      </c>
      <c r="B662" s="12"/>
      <c r="C662" s="20"/>
      <c r="D662" s="18"/>
      <c r="H662" s="12" t="str">
        <f t="shared" si="37"/>
        <v>0 г. 0 мес. 0 дн.</v>
      </c>
      <c r="V662" s="12" t="str">
        <f t="shared" si="35"/>
        <v>0 г. 0 мес. 0 дн.</v>
      </c>
      <c r="W662" s="22"/>
      <c r="X662" s="72"/>
    </row>
    <row r="663" spans="1:24" ht="35.1" customHeight="1" x14ac:dyDescent="0.25">
      <c r="A663" s="12">
        <f t="shared" si="36"/>
        <v>662</v>
      </c>
      <c r="B663" s="12"/>
      <c r="C663" s="20"/>
      <c r="D663" s="18"/>
      <c r="H663" s="12" t="str">
        <f t="shared" si="37"/>
        <v>0 г. 0 мес. 0 дн.</v>
      </c>
      <c r="V663" s="12" t="str">
        <f t="shared" si="35"/>
        <v>0 г. 0 мес. 0 дн.</v>
      </c>
      <c r="W663" s="22"/>
      <c r="X663" s="72"/>
    </row>
    <row r="664" spans="1:24" ht="35.1" customHeight="1" x14ac:dyDescent="0.25">
      <c r="A664" s="12">
        <f t="shared" si="36"/>
        <v>663</v>
      </c>
      <c r="B664" s="12"/>
      <c r="C664" s="20"/>
      <c r="D664" s="18"/>
      <c r="H664" s="12" t="str">
        <f t="shared" si="37"/>
        <v>0 г. 0 мес. 0 дн.</v>
      </c>
      <c r="V664" s="12" t="str">
        <f t="shared" ref="V664:V727" si="38">DATEDIF(D664,T664,"y") &amp; " г. " &amp; DATEDIF(D664,T664,"ym") &amp; " мес. " &amp; DATEDIF(D664,T664,"md") &amp; " дн."</f>
        <v>0 г. 0 мес. 0 дн.</v>
      </c>
      <c r="W664" s="22"/>
      <c r="X664" s="72"/>
    </row>
    <row r="665" spans="1:24" ht="35.1" customHeight="1" x14ac:dyDescent="0.25">
      <c r="A665" s="12">
        <f t="shared" si="36"/>
        <v>664</v>
      </c>
      <c r="B665" s="12"/>
      <c r="C665" s="20"/>
      <c r="D665" s="18"/>
      <c r="H665" s="12" t="str">
        <f t="shared" si="37"/>
        <v>0 г. 0 мес. 0 дн.</v>
      </c>
      <c r="V665" s="12" t="str">
        <f t="shared" si="38"/>
        <v>0 г. 0 мес. 0 дн.</v>
      </c>
      <c r="W665" s="22"/>
      <c r="X665" s="72"/>
    </row>
    <row r="666" spans="1:24" ht="35.1" customHeight="1" x14ac:dyDescent="0.25">
      <c r="A666" s="12">
        <f t="shared" si="36"/>
        <v>665</v>
      </c>
      <c r="B666" s="12"/>
      <c r="C666" s="20"/>
      <c r="D666" s="18"/>
      <c r="H666" s="12" t="str">
        <f t="shared" si="37"/>
        <v>0 г. 0 мес. 0 дн.</v>
      </c>
      <c r="V666" s="12" t="str">
        <f t="shared" si="38"/>
        <v>0 г. 0 мес. 0 дн.</v>
      </c>
      <c r="W666" s="22"/>
      <c r="X666" s="72"/>
    </row>
    <row r="667" spans="1:24" ht="35.1" customHeight="1" x14ac:dyDescent="0.25">
      <c r="A667" s="12">
        <f t="shared" si="36"/>
        <v>666</v>
      </c>
      <c r="B667" s="12"/>
      <c r="C667" s="20"/>
      <c r="D667" s="18"/>
      <c r="H667" s="12" t="str">
        <f t="shared" si="37"/>
        <v>0 г. 0 мес. 0 дн.</v>
      </c>
      <c r="V667" s="12" t="str">
        <f t="shared" si="38"/>
        <v>0 г. 0 мес. 0 дн.</v>
      </c>
      <c r="W667" s="22"/>
      <c r="X667" s="72"/>
    </row>
    <row r="668" spans="1:24" ht="35.1" customHeight="1" x14ac:dyDescent="0.25">
      <c r="A668" s="12">
        <f t="shared" si="36"/>
        <v>667</v>
      </c>
      <c r="B668" s="12"/>
      <c r="C668" s="20"/>
      <c r="D668" s="18"/>
      <c r="H668" s="12" t="str">
        <f t="shared" si="37"/>
        <v>0 г. 0 мес. 0 дн.</v>
      </c>
      <c r="V668" s="12" t="str">
        <f t="shared" si="38"/>
        <v>0 г. 0 мес. 0 дн.</v>
      </c>
      <c r="W668" s="22"/>
      <c r="X668" s="72"/>
    </row>
    <row r="669" spans="1:24" ht="35.1" customHeight="1" x14ac:dyDescent="0.25">
      <c r="A669" s="12">
        <f t="shared" si="36"/>
        <v>668</v>
      </c>
      <c r="B669" s="12"/>
      <c r="C669" s="20"/>
      <c r="D669" s="18"/>
      <c r="H669" s="12" t="str">
        <f t="shared" si="37"/>
        <v>0 г. 0 мес. 0 дн.</v>
      </c>
      <c r="V669" s="12" t="str">
        <f t="shared" si="38"/>
        <v>0 г. 0 мес. 0 дн.</v>
      </c>
      <c r="W669" s="22"/>
      <c r="X669" s="72"/>
    </row>
    <row r="670" spans="1:24" ht="35.1" customHeight="1" x14ac:dyDescent="0.25">
      <c r="A670" s="12">
        <f t="shared" si="36"/>
        <v>669</v>
      </c>
      <c r="B670" s="12"/>
      <c r="C670" s="20"/>
      <c r="D670" s="18"/>
      <c r="H670" s="12" t="str">
        <f t="shared" si="37"/>
        <v>0 г. 0 мес. 0 дн.</v>
      </c>
      <c r="V670" s="12" t="str">
        <f t="shared" si="38"/>
        <v>0 г. 0 мес. 0 дн.</v>
      </c>
      <c r="W670" s="22"/>
      <c r="X670" s="72"/>
    </row>
    <row r="671" spans="1:24" ht="35.1" customHeight="1" x14ac:dyDescent="0.25">
      <c r="A671" s="12">
        <f t="shared" si="36"/>
        <v>670</v>
      </c>
      <c r="B671" s="12"/>
      <c r="C671" s="20"/>
      <c r="D671" s="18"/>
      <c r="H671" s="12" t="str">
        <f t="shared" si="37"/>
        <v>0 г. 0 мес. 0 дн.</v>
      </c>
      <c r="V671" s="12" t="str">
        <f t="shared" si="38"/>
        <v>0 г. 0 мес. 0 дн.</v>
      </c>
      <c r="W671" s="22"/>
      <c r="X671" s="72"/>
    </row>
    <row r="672" spans="1:24" ht="35.1" customHeight="1" x14ac:dyDescent="0.25">
      <c r="A672" s="12">
        <f t="shared" si="36"/>
        <v>671</v>
      </c>
      <c r="B672" s="12"/>
      <c r="C672" s="20"/>
      <c r="D672" s="18"/>
      <c r="H672" s="12" t="str">
        <f t="shared" si="37"/>
        <v>0 г. 0 мес. 0 дн.</v>
      </c>
      <c r="V672" s="12" t="str">
        <f t="shared" si="38"/>
        <v>0 г. 0 мес. 0 дн.</v>
      </c>
      <c r="W672" s="22"/>
      <c r="X672" s="72"/>
    </row>
    <row r="673" spans="1:24" ht="35.1" customHeight="1" x14ac:dyDescent="0.25">
      <c r="A673" s="12">
        <f t="shared" si="36"/>
        <v>672</v>
      </c>
      <c r="B673" s="12"/>
      <c r="C673" s="20"/>
      <c r="D673" s="18"/>
      <c r="H673" s="12" t="str">
        <f t="shared" si="37"/>
        <v>0 г. 0 мес. 0 дн.</v>
      </c>
      <c r="V673" s="12" t="str">
        <f t="shared" si="38"/>
        <v>0 г. 0 мес. 0 дн.</v>
      </c>
      <c r="W673" s="22"/>
      <c r="X673" s="72"/>
    </row>
    <row r="674" spans="1:24" ht="35.1" customHeight="1" x14ac:dyDescent="0.25">
      <c r="A674" s="12">
        <f t="shared" si="36"/>
        <v>673</v>
      </c>
      <c r="B674" s="12"/>
      <c r="C674" s="20"/>
      <c r="D674" s="18"/>
      <c r="H674" s="12" t="str">
        <f t="shared" si="37"/>
        <v>0 г. 0 мес. 0 дн.</v>
      </c>
      <c r="V674" s="12" t="str">
        <f t="shared" si="38"/>
        <v>0 г. 0 мес. 0 дн.</v>
      </c>
      <c r="W674" s="22"/>
      <c r="X674" s="72"/>
    </row>
    <row r="675" spans="1:24" ht="35.1" customHeight="1" x14ac:dyDescent="0.25">
      <c r="A675" s="12">
        <f t="shared" si="36"/>
        <v>674</v>
      </c>
      <c r="B675" s="12"/>
      <c r="C675" s="20"/>
      <c r="D675" s="18"/>
      <c r="H675" s="12" t="str">
        <f t="shared" si="37"/>
        <v>0 г. 0 мес. 0 дн.</v>
      </c>
      <c r="V675" s="12" t="str">
        <f t="shared" si="38"/>
        <v>0 г. 0 мес. 0 дн.</v>
      </c>
      <c r="W675" s="22"/>
      <c r="X675" s="72"/>
    </row>
    <row r="676" spans="1:24" ht="35.1" customHeight="1" x14ac:dyDescent="0.25">
      <c r="A676" s="12">
        <f t="shared" si="36"/>
        <v>675</v>
      </c>
      <c r="B676" s="12"/>
      <c r="C676" s="20"/>
      <c r="D676" s="18"/>
      <c r="H676" s="12" t="str">
        <f t="shared" si="37"/>
        <v>0 г. 0 мес. 0 дн.</v>
      </c>
      <c r="V676" s="12" t="str">
        <f t="shared" si="38"/>
        <v>0 г. 0 мес. 0 дн.</v>
      </c>
      <c r="W676" s="22"/>
      <c r="X676" s="72"/>
    </row>
    <row r="677" spans="1:24" ht="35.1" customHeight="1" x14ac:dyDescent="0.25">
      <c r="A677" s="12">
        <f t="shared" si="36"/>
        <v>676</v>
      </c>
      <c r="B677" s="12"/>
      <c r="C677" s="20"/>
      <c r="D677" s="18"/>
      <c r="H677" s="12" t="str">
        <f t="shared" si="37"/>
        <v>0 г. 0 мес. 0 дн.</v>
      </c>
      <c r="V677" s="12" t="str">
        <f t="shared" si="38"/>
        <v>0 г. 0 мес. 0 дн.</v>
      </c>
      <c r="W677" s="22"/>
      <c r="X677" s="72"/>
    </row>
    <row r="678" spans="1:24" ht="35.1" customHeight="1" x14ac:dyDescent="0.25">
      <c r="A678" s="12">
        <f t="shared" si="36"/>
        <v>677</v>
      </c>
      <c r="B678" s="12"/>
      <c r="C678" s="20"/>
      <c r="D678" s="18"/>
      <c r="H678" s="12" t="str">
        <f t="shared" si="37"/>
        <v>0 г. 0 мес. 0 дн.</v>
      </c>
      <c r="V678" s="12" t="str">
        <f t="shared" si="38"/>
        <v>0 г. 0 мес. 0 дн.</v>
      </c>
      <c r="W678" s="22"/>
      <c r="X678" s="72"/>
    </row>
    <row r="679" spans="1:24" ht="35.1" customHeight="1" x14ac:dyDescent="0.25">
      <c r="A679" s="12">
        <f t="shared" si="36"/>
        <v>678</v>
      </c>
      <c r="B679" s="12"/>
      <c r="C679" s="20"/>
      <c r="D679" s="18"/>
      <c r="H679" s="12" t="str">
        <f t="shared" si="37"/>
        <v>0 г. 0 мес. 0 дн.</v>
      </c>
      <c r="V679" s="12" t="str">
        <f t="shared" si="38"/>
        <v>0 г. 0 мес. 0 дн.</v>
      </c>
      <c r="W679" s="22"/>
      <c r="X679" s="72"/>
    </row>
    <row r="680" spans="1:24" ht="35.1" customHeight="1" x14ac:dyDescent="0.25">
      <c r="A680" s="12">
        <f t="shared" si="36"/>
        <v>679</v>
      </c>
      <c r="B680" s="12"/>
      <c r="C680" s="20"/>
      <c r="D680" s="18"/>
      <c r="H680" s="12" t="str">
        <f t="shared" si="37"/>
        <v>0 г. 0 мес. 0 дн.</v>
      </c>
      <c r="V680" s="12" t="str">
        <f t="shared" si="38"/>
        <v>0 г. 0 мес. 0 дн.</v>
      </c>
      <c r="W680" s="22"/>
      <c r="X680" s="72"/>
    </row>
    <row r="681" spans="1:24" ht="35.1" customHeight="1" x14ac:dyDescent="0.25">
      <c r="A681" s="12">
        <f t="shared" si="36"/>
        <v>680</v>
      </c>
      <c r="B681" s="12"/>
      <c r="C681" s="20"/>
      <c r="D681" s="18"/>
      <c r="H681" s="12" t="str">
        <f t="shared" si="37"/>
        <v>0 г. 0 мес. 0 дн.</v>
      </c>
      <c r="V681" s="12" t="str">
        <f t="shared" si="38"/>
        <v>0 г. 0 мес. 0 дн.</v>
      </c>
      <c r="W681" s="22"/>
      <c r="X681" s="72"/>
    </row>
    <row r="682" spans="1:24" ht="35.1" customHeight="1" x14ac:dyDescent="0.25">
      <c r="A682" s="12">
        <f t="shared" si="36"/>
        <v>681</v>
      </c>
      <c r="B682" s="12"/>
      <c r="C682" s="20"/>
      <c r="D682" s="18"/>
      <c r="H682" s="12" t="str">
        <f t="shared" si="37"/>
        <v>0 г. 0 мес. 0 дн.</v>
      </c>
      <c r="V682" s="12" t="str">
        <f t="shared" si="38"/>
        <v>0 г. 0 мес. 0 дн.</v>
      </c>
      <c r="W682" s="22"/>
      <c r="X682" s="72"/>
    </row>
    <row r="683" spans="1:24" ht="35.1" customHeight="1" x14ac:dyDescent="0.25">
      <c r="A683" s="12">
        <f t="shared" si="36"/>
        <v>682</v>
      </c>
      <c r="B683" s="12"/>
      <c r="C683" s="20"/>
      <c r="D683" s="18"/>
      <c r="H683" s="12" t="str">
        <f t="shared" si="37"/>
        <v>0 г. 0 мес. 0 дн.</v>
      </c>
      <c r="V683" s="12" t="str">
        <f t="shared" si="38"/>
        <v>0 г. 0 мес. 0 дн.</v>
      </c>
      <c r="W683" s="22"/>
      <c r="X683" s="72"/>
    </row>
    <row r="684" spans="1:24" ht="35.1" customHeight="1" x14ac:dyDescent="0.25">
      <c r="A684" s="12">
        <f t="shared" si="36"/>
        <v>683</v>
      </c>
      <c r="B684" s="12"/>
      <c r="C684" s="20"/>
      <c r="D684" s="18"/>
      <c r="H684" s="12" t="str">
        <f t="shared" si="37"/>
        <v>0 г. 0 мес. 0 дн.</v>
      </c>
      <c r="V684" s="12" t="str">
        <f t="shared" si="38"/>
        <v>0 г. 0 мес. 0 дн.</v>
      </c>
      <c r="W684" s="22"/>
      <c r="X684" s="72"/>
    </row>
    <row r="685" spans="1:24" ht="35.1" customHeight="1" x14ac:dyDescent="0.25">
      <c r="A685" s="12">
        <f t="shared" si="36"/>
        <v>684</v>
      </c>
      <c r="B685" s="12"/>
      <c r="C685" s="20"/>
      <c r="D685" s="18"/>
      <c r="H685" s="12" t="str">
        <f t="shared" si="37"/>
        <v>0 г. 0 мес. 0 дн.</v>
      </c>
      <c r="V685" s="12" t="str">
        <f t="shared" si="38"/>
        <v>0 г. 0 мес. 0 дн.</v>
      </c>
      <c r="W685" s="22"/>
      <c r="X685" s="72"/>
    </row>
    <row r="686" spans="1:24" ht="35.1" customHeight="1" x14ac:dyDescent="0.25">
      <c r="A686" s="12">
        <f t="shared" si="36"/>
        <v>685</v>
      </c>
      <c r="B686" s="12"/>
      <c r="C686" s="20"/>
      <c r="D686" s="18"/>
      <c r="H686" s="12" t="str">
        <f t="shared" si="37"/>
        <v>0 г. 0 мес. 0 дн.</v>
      </c>
      <c r="V686" s="12" t="str">
        <f t="shared" si="38"/>
        <v>0 г. 0 мес. 0 дн.</v>
      </c>
      <c r="W686" s="22"/>
      <c r="X686" s="72"/>
    </row>
    <row r="687" spans="1:24" ht="35.1" customHeight="1" x14ac:dyDescent="0.25">
      <c r="A687" s="12">
        <f t="shared" si="36"/>
        <v>686</v>
      </c>
      <c r="B687" s="12"/>
      <c r="C687" s="20"/>
      <c r="D687" s="18"/>
      <c r="H687" s="12" t="str">
        <f t="shared" si="37"/>
        <v>0 г. 0 мес. 0 дн.</v>
      </c>
      <c r="V687" s="12" t="str">
        <f t="shared" si="38"/>
        <v>0 г. 0 мес. 0 дн.</v>
      </c>
      <c r="W687" s="22"/>
      <c r="X687" s="72"/>
    </row>
    <row r="688" spans="1:24" ht="35.1" customHeight="1" x14ac:dyDescent="0.25">
      <c r="A688" s="12">
        <f t="shared" si="36"/>
        <v>687</v>
      </c>
      <c r="B688" s="12"/>
      <c r="C688" s="20"/>
      <c r="D688" s="18"/>
      <c r="H688" s="12" t="str">
        <f t="shared" si="37"/>
        <v>0 г. 0 мес. 0 дн.</v>
      </c>
      <c r="V688" s="12" t="str">
        <f t="shared" si="38"/>
        <v>0 г. 0 мес. 0 дн.</v>
      </c>
      <c r="W688" s="22"/>
      <c r="X688" s="72"/>
    </row>
    <row r="689" spans="1:24" ht="35.1" customHeight="1" x14ac:dyDescent="0.25">
      <c r="A689" s="12">
        <f t="shared" si="36"/>
        <v>688</v>
      </c>
      <c r="B689" s="12"/>
      <c r="C689" s="20"/>
      <c r="D689" s="18"/>
      <c r="H689" s="12" t="str">
        <f t="shared" si="37"/>
        <v>0 г. 0 мес. 0 дн.</v>
      </c>
      <c r="V689" s="12" t="str">
        <f t="shared" si="38"/>
        <v>0 г. 0 мес. 0 дн.</v>
      </c>
      <c r="W689" s="22"/>
      <c r="X689" s="72"/>
    </row>
    <row r="690" spans="1:24" ht="35.1" customHeight="1" x14ac:dyDescent="0.25">
      <c r="A690" s="12">
        <f t="shared" si="36"/>
        <v>689</v>
      </c>
      <c r="B690" s="12"/>
      <c r="C690" s="20"/>
      <c r="D690" s="18"/>
      <c r="H690" s="12" t="str">
        <f t="shared" si="37"/>
        <v>0 г. 0 мес. 0 дн.</v>
      </c>
      <c r="V690" s="12" t="str">
        <f t="shared" si="38"/>
        <v>0 г. 0 мес. 0 дн.</v>
      </c>
      <c r="W690" s="22"/>
      <c r="X690" s="72"/>
    </row>
    <row r="691" spans="1:24" ht="35.1" customHeight="1" x14ac:dyDescent="0.25">
      <c r="A691" s="12">
        <f t="shared" si="36"/>
        <v>690</v>
      </c>
      <c r="B691" s="12"/>
      <c r="C691" s="20"/>
      <c r="D691" s="18"/>
      <c r="H691" s="12" t="str">
        <f t="shared" si="37"/>
        <v>0 г. 0 мес. 0 дн.</v>
      </c>
      <c r="V691" s="12" t="str">
        <f t="shared" si="38"/>
        <v>0 г. 0 мес. 0 дн.</v>
      </c>
      <c r="W691" s="22"/>
      <c r="X691" s="72"/>
    </row>
    <row r="692" spans="1:24" ht="35.1" customHeight="1" x14ac:dyDescent="0.25">
      <c r="A692" s="12">
        <f t="shared" si="36"/>
        <v>691</v>
      </c>
      <c r="B692" s="12"/>
      <c r="C692" s="20"/>
      <c r="D692" s="18"/>
      <c r="H692" s="12" t="str">
        <f t="shared" si="37"/>
        <v>0 г. 0 мес. 0 дн.</v>
      </c>
      <c r="V692" s="12" t="str">
        <f t="shared" si="38"/>
        <v>0 г. 0 мес. 0 дн.</v>
      </c>
      <c r="W692" s="22"/>
      <c r="X692" s="72"/>
    </row>
    <row r="693" spans="1:24" ht="35.1" customHeight="1" x14ac:dyDescent="0.25">
      <c r="A693" s="12">
        <f t="shared" si="36"/>
        <v>692</v>
      </c>
      <c r="B693" s="12"/>
      <c r="C693" s="20"/>
      <c r="D693" s="18"/>
      <c r="H693" s="12" t="str">
        <f t="shared" si="37"/>
        <v>0 г. 0 мес. 0 дн.</v>
      </c>
      <c r="V693" s="12" t="str">
        <f t="shared" si="38"/>
        <v>0 г. 0 мес. 0 дн.</v>
      </c>
      <c r="W693" s="22"/>
      <c r="X693" s="72"/>
    </row>
    <row r="694" spans="1:24" ht="35.1" customHeight="1" x14ac:dyDescent="0.25">
      <c r="A694" s="12">
        <f t="shared" si="36"/>
        <v>693</v>
      </c>
      <c r="B694" s="12"/>
      <c r="C694" s="20"/>
      <c r="D694" s="18"/>
      <c r="H694" s="12" t="str">
        <f t="shared" si="37"/>
        <v>0 г. 0 мес. 0 дн.</v>
      </c>
      <c r="V694" s="12" t="str">
        <f t="shared" si="38"/>
        <v>0 г. 0 мес. 0 дн.</v>
      </c>
      <c r="W694" s="22"/>
      <c r="X694" s="72"/>
    </row>
    <row r="695" spans="1:24" ht="35.1" customHeight="1" x14ac:dyDescent="0.25">
      <c r="A695" s="12">
        <f t="shared" si="36"/>
        <v>694</v>
      </c>
      <c r="B695" s="12"/>
      <c r="C695" s="20"/>
      <c r="D695" s="18"/>
      <c r="H695" s="12" t="str">
        <f t="shared" si="37"/>
        <v>0 г. 0 мес. 0 дн.</v>
      </c>
      <c r="V695" s="12" t="str">
        <f t="shared" si="38"/>
        <v>0 г. 0 мес. 0 дн.</v>
      </c>
      <c r="W695" s="22"/>
      <c r="X695" s="72"/>
    </row>
    <row r="696" spans="1:24" ht="35.1" customHeight="1" x14ac:dyDescent="0.25">
      <c r="A696" s="12">
        <f t="shared" si="36"/>
        <v>695</v>
      </c>
      <c r="B696" s="12"/>
      <c r="C696" s="20"/>
      <c r="D696" s="18"/>
      <c r="H696" s="12" t="str">
        <f t="shared" si="37"/>
        <v>0 г. 0 мес. 0 дн.</v>
      </c>
      <c r="V696" s="12" t="str">
        <f t="shared" si="38"/>
        <v>0 г. 0 мес. 0 дн.</v>
      </c>
      <c r="W696" s="22"/>
      <c r="X696" s="72"/>
    </row>
    <row r="697" spans="1:24" ht="35.1" customHeight="1" x14ac:dyDescent="0.25">
      <c r="A697" s="12">
        <f t="shared" si="36"/>
        <v>696</v>
      </c>
      <c r="B697" s="12"/>
      <c r="C697" s="20"/>
      <c r="D697" s="18"/>
      <c r="H697" s="12" t="str">
        <f t="shared" si="37"/>
        <v>0 г. 0 мес. 0 дн.</v>
      </c>
      <c r="V697" s="12" t="str">
        <f t="shared" si="38"/>
        <v>0 г. 0 мес. 0 дн.</v>
      </c>
      <c r="W697" s="22"/>
      <c r="X697" s="72"/>
    </row>
    <row r="698" spans="1:24" ht="35.1" customHeight="1" x14ac:dyDescent="0.25">
      <c r="A698" s="12">
        <f t="shared" si="36"/>
        <v>697</v>
      </c>
      <c r="B698" s="12"/>
      <c r="C698" s="20"/>
      <c r="D698" s="18"/>
      <c r="H698" s="12" t="str">
        <f t="shared" si="37"/>
        <v>0 г. 0 мес. 0 дн.</v>
      </c>
      <c r="V698" s="12" t="str">
        <f t="shared" si="38"/>
        <v>0 г. 0 мес. 0 дн.</v>
      </c>
      <c r="W698" s="22"/>
      <c r="X698" s="72"/>
    </row>
    <row r="699" spans="1:24" ht="35.1" customHeight="1" x14ac:dyDescent="0.25">
      <c r="A699" s="12">
        <f t="shared" si="36"/>
        <v>698</v>
      </c>
      <c r="B699" s="12"/>
      <c r="C699" s="20"/>
      <c r="D699" s="18"/>
      <c r="H699" s="12" t="str">
        <f t="shared" si="37"/>
        <v>0 г. 0 мес. 0 дн.</v>
      </c>
      <c r="V699" s="12" t="str">
        <f t="shared" si="38"/>
        <v>0 г. 0 мес. 0 дн.</v>
      </c>
      <c r="W699" s="22"/>
      <c r="X699" s="72"/>
    </row>
    <row r="700" spans="1:24" ht="35.1" customHeight="1" x14ac:dyDescent="0.25">
      <c r="A700" s="12">
        <f t="shared" si="36"/>
        <v>699</v>
      </c>
      <c r="B700" s="12"/>
      <c r="C700" s="20"/>
      <c r="D700" s="18"/>
      <c r="H700" s="12" t="str">
        <f t="shared" si="37"/>
        <v>0 г. 0 мес. 0 дн.</v>
      </c>
      <c r="V700" s="12" t="str">
        <f t="shared" si="38"/>
        <v>0 г. 0 мес. 0 дн.</v>
      </c>
      <c r="W700" s="22"/>
      <c r="X700" s="72"/>
    </row>
    <row r="701" spans="1:24" ht="35.1" customHeight="1" x14ac:dyDescent="0.25">
      <c r="A701" s="12">
        <f t="shared" si="36"/>
        <v>700</v>
      </c>
      <c r="B701" s="12"/>
      <c r="C701" s="20"/>
      <c r="D701" s="18"/>
      <c r="H701" s="12" t="str">
        <f t="shared" si="37"/>
        <v>0 г. 0 мес. 0 дн.</v>
      </c>
      <c r="V701" s="12" t="str">
        <f t="shared" si="38"/>
        <v>0 г. 0 мес. 0 дн.</v>
      </c>
      <c r="W701" s="22"/>
      <c r="X701" s="72"/>
    </row>
    <row r="702" spans="1:24" ht="35.1" customHeight="1" x14ac:dyDescent="0.25">
      <c r="A702" s="12">
        <f t="shared" si="36"/>
        <v>701</v>
      </c>
      <c r="B702" s="12"/>
      <c r="C702" s="20"/>
      <c r="D702" s="18"/>
      <c r="H702" s="12" t="str">
        <f t="shared" si="37"/>
        <v>0 г. 0 мес. 0 дн.</v>
      </c>
      <c r="V702" s="12" t="str">
        <f t="shared" si="38"/>
        <v>0 г. 0 мес. 0 дн.</v>
      </c>
      <c r="W702" s="22"/>
      <c r="X702" s="72"/>
    </row>
    <row r="703" spans="1:24" ht="35.1" customHeight="1" x14ac:dyDescent="0.25">
      <c r="A703" s="12">
        <f t="shared" si="36"/>
        <v>702</v>
      </c>
      <c r="B703" s="12"/>
      <c r="C703" s="20"/>
      <c r="D703" s="18"/>
      <c r="H703" s="12" t="str">
        <f t="shared" si="37"/>
        <v>0 г. 0 мес. 0 дн.</v>
      </c>
      <c r="V703" s="12" t="str">
        <f t="shared" si="38"/>
        <v>0 г. 0 мес. 0 дн.</v>
      </c>
      <c r="W703" s="22"/>
      <c r="X703" s="72"/>
    </row>
    <row r="704" spans="1:24" ht="35.1" customHeight="1" x14ac:dyDescent="0.25">
      <c r="A704" s="12">
        <f t="shared" si="36"/>
        <v>703</v>
      </c>
      <c r="B704" s="12"/>
      <c r="C704" s="20"/>
      <c r="D704" s="18"/>
      <c r="H704" s="12" t="str">
        <f t="shared" si="37"/>
        <v>0 г. 0 мес. 0 дн.</v>
      </c>
      <c r="V704" s="12" t="str">
        <f t="shared" si="38"/>
        <v>0 г. 0 мес. 0 дн.</v>
      </c>
      <c r="W704" s="22"/>
      <c r="X704" s="72"/>
    </row>
    <row r="705" spans="1:24" ht="35.1" customHeight="1" x14ac:dyDescent="0.25">
      <c r="A705" s="12">
        <f t="shared" ref="A705:A768" si="39">ROW(A704)</f>
        <v>704</v>
      </c>
      <c r="B705" s="12"/>
      <c r="C705" s="20"/>
      <c r="D705" s="18"/>
      <c r="H705" s="12" t="str">
        <f t="shared" si="37"/>
        <v>0 г. 0 мес. 0 дн.</v>
      </c>
      <c r="V705" s="12" t="str">
        <f t="shared" si="38"/>
        <v>0 г. 0 мес. 0 дн.</v>
      </c>
      <c r="W705" s="22"/>
      <c r="X705" s="72"/>
    </row>
    <row r="706" spans="1:24" ht="35.1" customHeight="1" x14ac:dyDescent="0.25">
      <c r="A706" s="12">
        <f t="shared" si="39"/>
        <v>705</v>
      </c>
      <c r="B706" s="12"/>
      <c r="C706" s="20"/>
      <c r="D706" s="18"/>
      <c r="H706" s="12" t="str">
        <f t="shared" si="37"/>
        <v>0 г. 0 мес. 0 дн.</v>
      </c>
      <c r="V706" s="12" t="str">
        <f t="shared" si="38"/>
        <v>0 г. 0 мес. 0 дн.</v>
      </c>
      <c r="W706" s="22"/>
      <c r="X706" s="72"/>
    </row>
    <row r="707" spans="1:24" ht="35.1" customHeight="1" x14ac:dyDescent="0.25">
      <c r="A707" s="12">
        <f t="shared" si="39"/>
        <v>706</v>
      </c>
      <c r="B707" s="12"/>
      <c r="C707" s="20"/>
      <c r="D707" s="18"/>
      <c r="H707" s="12" t="str">
        <f t="shared" si="37"/>
        <v>0 г. 0 мес. 0 дн.</v>
      </c>
      <c r="V707" s="12" t="str">
        <f t="shared" si="38"/>
        <v>0 г. 0 мес. 0 дн.</v>
      </c>
      <c r="W707" s="22"/>
      <c r="X707" s="72"/>
    </row>
    <row r="708" spans="1:24" ht="35.1" customHeight="1" x14ac:dyDescent="0.25">
      <c r="A708" s="12">
        <f t="shared" si="39"/>
        <v>707</v>
      </c>
      <c r="B708" s="12"/>
      <c r="C708" s="20"/>
      <c r="D708" s="18"/>
      <c r="H708" s="12" t="str">
        <f t="shared" si="37"/>
        <v>0 г. 0 мес. 0 дн.</v>
      </c>
      <c r="V708" s="12" t="str">
        <f t="shared" si="38"/>
        <v>0 г. 0 мес. 0 дн.</v>
      </c>
      <c r="W708" s="22"/>
      <c r="X708" s="72"/>
    </row>
    <row r="709" spans="1:24" ht="35.1" customHeight="1" x14ac:dyDescent="0.25">
      <c r="A709" s="12">
        <f t="shared" si="39"/>
        <v>708</v>
      </c>
      <c r="B709" s="12"/>
      <c r="C709" s="20"/>
      <c r="D709" s="18"/>
      <c r="H709" s="12" t="str">
        <f t="shared" si="37"/>
        <v>0 г. 0 мес. 0 дн.</v>
      </c>
      <c r="V709" s="12" t="str">
        <f t="shared" si="38"/>
        <v>0 г. 0 мес. 0 дн.</v>
      </c>
      <c r="W709" s="22"/>
      <c r="X709" s="72"/>
    </row>
    <row r="710" spans="1:24" ht="35.1" customHeight="1" x14ac:dyDescent="0.25">
      <c r="A710" s="12">
        <f t="shared" si="39"/>
        <v>709</v>
      </c>
      <c r="B710" s="12"/>
      <c r="C710" s="20"/>
      <c r="D710" s="18"/>
      <c r="H710" s="12" t="str">
        <f t="shared" ref="H710:H773" si="40">DATEDIF(G710,D710,"y") &amp; " г. " &amp; DATEDIF(G710,D710,"ym") &amp; " мес. " &amp; DATEDIF(G710,D710,"md") &amp; " дн."</f>
        <v>0 г. 0 мес. 0 дн.</v>
      </c>
      <c r="V710" s="12" t="str">
        <f t="shared" si="38"/>
        <v>0 г. 0 мес. 0 дн.</v>
      </c>
      <c r="W710" s="22"/>
      <c r="X710" s="72"/>
    </row>
    <row r="711" spans="1:24" ht="35.1" customHeight="1" x14ac:dyDescent="0.25">
      <c r="A711" s="12">
        <f t="shared" si="39"/>
        <v>710</v>
      </c>
      <c r="B711" s="12"/>
      <c r="C711" s="20"/>
      <c r="D711" s="18"/>
      <c r="H711" s="12" t="str">
        <f t="shared" si="40"/>
        <v>0 г. 0 мес. 0 дн.</v>
      </c>
      <c r="V711" s="12" t="str">
        <f t="shared" si="38"/>
        <v>0 г. 0 мес. 0 дн.</v>
      </c>
      <c r="W711" s="22"/>
      <c r="X711" s="72"/>
    </row>
    <row r="712" spans="1:24" ht="35.1" customHeight="1" x14ac:dyDescent="0.25">
      <c r="A712" s="12">
        <f t="shared" si="39"/>
        <v>711</v>
      </c>
      <c r="B712" s="12"/>
      <c r="C712" s="20"/>
      <c r="D712" s="18"/>
      <c r="H712" s="12" t="str">
        <f t="shared" si="40"/>
        <v>0 г. 0 мес. 0 дн.</v>
      </c>
      <c r="V712" s="12" t="str">
        <f t="shared" si="38"/>
        <v>0 г. 0 мес. 0 дн.</v>
      </c>
      <c r="W712" s="22"/>
      <c r="X712" s="72"/>
    </row>
    <row r="713" spans="1:24" ht="35.1" customHeight="1" x14ac:dyDescent="0.25">
      <c r="A713" s="12">
        <f t="shared" si="39"/>
        <v>712</v>
      </c>
      <c r="B713" s="12"/>
      <c r="C713" s="20"/>
      <c r="D713" s="18"/>
      <c r="H713" s="12" t="str">
        <f t="shared" si="40"/>
        <v>0 г. 0 мес. 0 дн.</v>
      </c>
      <c r="V713" s="12" t="str">
        <f t="shared" si="38"/>
        <v>0 г. 0 мес. 0 дн.</v>
      </c>
      <c r="W713" s="22"/>
      <c r="X713" s="72"/>
    </row>
    <row r="714" spans="1:24" ht="35.1" customHeight="1" x14ac:dyDescent="0.25">
      <c r="A714" s="12">
        <f t="shared" si="39"/>
        <v>713</v>
      </c>
      <c r="B714" s="12"/>
      <c r="C714" s="20"/>
      <c r="D714" s="18"/>
      <c r="H714" s="12" t="str">
        <f t="shared" si="40"/>
        <v>0 г. 0 мес. 0 дн.</v>
      </c>
      <c r="V714" s="12" t="str">
        <f t="shared" si="38"/>
        <v>0 г. 0 мес. 0 дн.</v>
      </c>
      <c r="W714" s="22"/>
      <c r="X714" s="72"/>
    </row>
    <row r="715" spans="1:24" ht="35.1" customHeight="1" x14ac:dyDescent="0.25">
      <c r="A715" s="12">
        <f t="shared" si="39"/>
        <v>714</v>
      </c>
      <c r="B715" s="12"/>
      <c r="C715" s="20"/>
      <c r="D715" s="18"/>
      <c r="H715" s="12" t="str">
        <f t="shared" si="40"/>
        <v>0 г. 0 мес. 0 дн.</v>
      </c>
      <c r="V715" s="12" t="str">
        <f t="shared" si="38"/>
        <v>0 г. 0 мес. 0 дн.</v>
      </c>
      <c r="W715" s="22"/>
      <c r="X715" s="72"/>
    </row>
    <row r="716" spans="1:24" ht="35.1" customHeight="1" x14ac:dyDescent="0.25">
      <c r="A716" s="12">
        <f t="shared" si="39"/>
        <v>715</v>
      </c>
      <c r="B716" s="12"/>
      <c r="C716" s="20"/>
      <c r="D716" s="18"/>
      <c r="H716" s="12" t="str">
        <f t="shared" si="40"/>
        <v>0 г. 0 мес. 0 дн.</v>
      </c>
      <c r="V716" s="12" t="str">
        <f t="shared" si="38"/>
        <v>0 г. 0 мес. 0 дн.</v>
      </c>
      <c r="W716" s="22"/>
      <c r="X716" s="72"/>
    </row>
    <row r="717" spans="1:24" ht="35.1" customHeight="1" x14ac:dyDescent="0.25">
      <c r="A717" s="12">
        <f t="shared" si="39"/>
        <v>716</v>
      </c>
      <c r="B717" s="12"/>
      <c r="C717" s="20"/>
      <c r="D717" s="18"/>
      <c r="H717" s="12" t="str">
        <f t="shared" si="40"/>
        <v>0 г. 0 мес. 0 дн.</v>
      </c>
      <c r="V717" s="12" t="str">
        <f t="shared" si="38"/>
        <v>0 г. 0 мес. 0 дн.</v>
      </c>
      <c r="W717" s="22"/>
      <c r="X717" s="72"/>
    </row>
    <row r="718" spans="1:24" ht="35.1" customHeight="1" x14ac:dyDescent="0.25">
      <c r="A718" s="12">
        <f t="shared" si="39"/>
        <v>717</v>
      </c>
      <c r="B718" s="12"/>
      <c r="C718" s="20"/>
      <c r="D718" s="18"/>
      <c r="H718" s="12" t="str">
        <f t="shared" si="40"/>
        <v>0 г. 0 мес. 0 дн.</v>
      </c>
      <c r="V718" s="12" t="str">
        <f t="shared" si="38"/>
        <v>0 г. 0 мес. 0 дн.</v>
      </c>
      <c r="W718" s="22"/>
      <c r="X718" s="72"/>
    </row>
    <row r="719" spans="1:24" ht="35.1" customHeight="1" x14ac:dyDescent="0.25">
      <c r="A719" s="12">
        <f t="shared" si="39"/>
        <v>718</v>
      </c>
      <c r="B719" s="12"/>
      <c r="C719" s="20"/>
      <c r="D719" s="18"/>
      <c r="H719" s="12" t="str">
        <f t="shared" si="40"/>
        <v>0 г. 0 мес. 0 дн.</v>
      </c>
      <c r="V719" s="12" t="str">
        <f t="shared" si="38"/>
        <v>0 г. 0 мес. 0 дн.</v>
      </c>
      <c r="W719" s="22"/>
      <c r="X719" s="72"/>
    </row>
    <row r="720" spans="1:24" ht="35.1" customHeight="1" x14ac:dyDescent="0.25">
      <c r="A720" s="12">
        <f t="shared" si="39"/>
        <v>719</v>
      </c>
      <c r="B720" s="12"/>
      <c r="C720" s="20"/>
      <c r="D720" s="18"/>
      <c r="H720" s="12" t="str">
        <f t="shared" si="40"/>
        <v>0 г. 0 мес. 0 дн.</v>
      </c>
      <c r="V720" s="12" t="str">
        <f t="shared" si="38"/>
        <v>0 г. 0 мес. 0 дн.</v>
      </c>
      <c r="W720" s="22"/>
      <c r="X720" s="72"/>
    </row>
    <row r="721" spans="1:24" ht="35.1" customHeight="1" x14ac:dyDescent="0.25">
      <c r="A721" s="12">
        <f t="shared" si="39"/>
        <v>720</v>
      </c>
      <c r="B721" s="12"/>
      <c r="C721" s="20"/>
      <c r="D721" s="18"/>
      <c r="H721" s="12" t="str">
        <f t="shared" si="40"/>
        <v>0 г. 0 мес. 0 дн.</v>
      </c>
      <c r="V721" s="12" t="str">
        <f t="shared" si="38"/>
        <v>0 г. 0 мес. 0 дн.</v>
      </c>
      <c r="W721" s="22"/>
      <c r="X721" s="72"/>
    </row>
    <row r="722" spans="1:24" ht="35.1" customHeight="1" x14ac:dyDescent="0.25">
      <c r="A722" s="12">
        <f t="shared" si="39"/>
        <v>721</v>
      </c>
      <c r="B722" s="12"/>
      <c r="C722" s="20"/>
      <c r="D722" s="18"/>
      <c r="H722" s="12" t="str">
        <f t="shared" si="40"/>
        <v>0 г. 0 мес. 0 дн.</v>
      </c>
      <c r="V722" s="12" t="str">
        <f t="shared" si="38"/>
        <v>0 г. 0 мес. 0 дн.</v>
      </c>
      <c r="W722" s="22"/>
      <c r="X722" s="72"/>
    </row>
    <row r="723" spans="1:24" ht="35.1" customHeight="1" x14ac:dyDescent="0.25">
      <c r="A723" s="12">
        <f t="shared" si="39"/>
        <v>722</v>
      </c>
      <c r="B723" s="12"/>
      <c r="C723" s="20"/>
      <c r="D723" s="18"/>
      <c r="H723" s="12" t="str">
        <f t="shared" si="40"/>
        <v>0 г. 0 мес. 0 дн.</v>
      </c>
      <c r="V723" s="12" t="str">
        <f t="shared" si="38"/>
        <v>0 г. 0 мес. 0 дн.</v>
      </c>
      <c r="W723" s="22"/>
      <c r="X723" s="72"/>
    </row>
    <row r="724" spans="1:24" ht="35.1" customHeight="1" x14ac:dyDescent="0.25">
      <c r="A724" s="12">
        <f t="shared" si="39"/>
        <v>723</v>
      </c>
      <c r="B724" s="12"/>
      <c r="C724" s="20"/>
      <c r="D724" s="18"/>
      <c r="H724" s="12" t="str">
        <f t="shared" si="40"/>
        <v>0 г. 0 мес. 0 дн.</v>
      </c>
      <c r="V724" s="12" t="str">
        <f t="shared" si="38"/>
        <v>0 г. 0 мес. 0 дн.</v>
      </c>
      <c r="W724" s="22"/>
      <c r="X724" s="72"/>
    </row>
    <row r="725" spans="1:24" ht="35.1" customHeight="1" x14ac:dyDescent="0.25">
      <c r="A725" s="12">
        <f t="shared" si="39"/>
        <v>724</v>
      </c>
      <c r="B725" s="12"/>
      <c r="C725" s="20"/>
      <c r="D725" s="18"/>
      <c r="H725" s="12" t="str">
        <f t="shared" si="40"/>
        <v>0 г. 0 мес. 0 дн.</v>
      </c>
      <c r="V725" s="12" t="str">
        <f t="shared" si="38"/>
        <v>0 г. 0 мес. 0 дн.</v>
      </c>
      <c r="W725" s="22"/>
      <c r="X725" s="72"/>
    </row>
    <row r="726" spans="1:24" ht="35.1" customHeight="1" x14ac:dyDescent="0.25">
      <c r="A726" s="12">
        <f t="shared" si="39"/>
        <v>725</v>
      </c>
      <c r="B726" s="12"/>
      <c r="C726" s="20"/>
      <c r="D726" s="18"/>
      <c r="H726" s="12" t="str">
        <f t="shared" si="40"/>
        <v>0 г. 0 мес. 0 дн.</v>
      </c>
      <c r="V726" s="12" t="str">
        <f t="shared" si="38"/>
        <v>0 г. 0 мес. 0 дн.</v>
      </c>
      <c r="W726" s="22"/>
      <c r="X726" s="72"/>
    </row>
    <row r="727" spans="1:24" ht="35.1" customHeight="1" x14ac:dyDescent="0.25">
      <c r="A727" s="12">
        <f t="shared" si="39"/>
        <v>726</v>
      </c>
      <c r="B727" s="12"/>
      <c r="C727" s="20"/>
      <c r="D727" s="18"/>
      <c r="H727" s="12" t="str">
        <f t="shared" si="40"/>
        <v>0 г. 0 мес. 0 дн.</v>
      </c>
      <c r="V727" s="12" t="str">
        <f t="shared" si="38"/>
        <v>0 г. 0 мес. 0 дн.</v>
      </c>
      <c r="W727" s="22"/>
      <c r="X727" s="72"/>
    </row>
    <row r="728" spans="1:24" ht="35.1" customHeight="1" x14ac:dyDescent="0.25">
      <c r="A728" s="12">
        <f t="shared" si="39"/>
        <v>727</v>
      </c>
      <c r="B728" s="12"/>
      <c r="C728" s="20"/>
      <c r="D728" s="18"/>
      <c r="H728" s="12" t="str">
        <f t="shared" si="40"/>
        <v>0 г. 0 мес. 0 дн.</v>
      </c>
      <c r="V728" s="12" t="str">
        <f t="shared" ref="V728:V791" si="41">DATEDIF(D728,T728,"y") &amp; " г. " &amp; DATEDIF(D728,T728,"ym") &amp; " мес. " &amp; DATEDIF(D728,T728,"md") &amp; " дн."</f>
        <v>0 г. 0 мес. 0 дн.</v>
      </c>
      <c r="W728" s="22"/>
      <c r="X728" s="72"/>
    </row>
    <row r="729" spans="1:24" ht="35.1" customHeight="1" x14ac:dyDescent="0.25">
      <c r="A729" s="12">
        <f t="shared" si="39"/>
        <v>728</v>
      </c>
      <c r="B729" s="12"/>
      <c r="C729" s="20"/>
      <c r="D729" s="18"/>
      <c r="H729" s="12" t="str">
        <f t="shared" si="40"/>
        <v>0 г. 0 мес. 0 дн.</v>
      </c>
      <c r="V729" s="12" t="str">
        <f t="shared" si="41"/>
        <v>0 г. 0 мес. 0 дн.</v>
      </c>
      <c r="W729" s="22"/>
      <c r="X729" s="72"/>
    </row>
    <row r="730" spans="1:24" ht="35.1" customHeight="1" x14ac:dyDescent="0.25">
      <c r="A730" s="12">
        <f t="shared" si="39"/>
        <v>729</v>
      </c>
      <c r="B730" s="12"/>
      <c r="C730" s="20"/>
      <c r="D730" s="18"/>
      <c r="H730" s="12" t="str">
        <f t="shared" si="40"/>
        <v>0 г. 0 мес. 0 дн.</v>
      </c>
      <c r="V730" s="12" t="str">
        <f t="shared" si="41"/>
        <v>0 г. 0 мес. 0 дн.</v>
      </c>
      <c r="W730" s="22"/>
      <c r="X730" s="72"/>
    </row>
    <row r="731" spans="1:24" ht="35.1" customHeight="1" x14ac:dyDescent="0.25">
      <c r="A731" s="12">
        <f t="shared" si="39"/>
        <v>730</v>
      </c>
      <c r="B731" s="12"/>
      <c r="C731" s="20"/>
      <c r="D731" s="18"/>
      <c r="H731" s="12" t="str">
        <f t="shared" si="40"/>
        <v>0 г. 0 мес. 0 дн.</v>
      </c>
      <c r="V731" s="12" t="str">
        <f t="shared" si="41"/>
        <v>0 г. 0 мес. 0 дн.</v>
      </c>
      <c r="W731" s="22"/>
      <c r="X731" s="72"/>
    </row>
    <row r="732" spans="1:24" ht="35.1" customHeight="1" x14ac:dyDescent="0.25">
      <c r="A732" s="12">
        <f t="shared" si="39"/>
        <v>731</v>
      </c>
      <c r="B732" s="12"/>
      <c r="C732" s="20"/>
      <c r="D732" s="18"/>
      <c r="H732" s="12" t="str">
        <f t="shared" si="40"/>
        <v>0 г. 0 мес. 0 дн.</v>
      </c>
      <c r="V732" s="12" t="str">
        <f t="shared" si="41"/>
        <v>0 г. 0 мес. 0 дн.</v>
      </c>
      <c r="W732" s="22"/>
      <c r="X732" s="72"/>
    </row>
    <row r="733" spans="1:24" ht="35.1" customHeight="1" x14ac:dyDescent="0.25">
      <c r="A733" s="12">
        <f t="shared" si="39"/>
        <v>732</v>
      </c>
      <c r="B733" s="12"/>
      <c r="C733" s="20"/>
      <c r="D733" s="18"/>
      <c r="H733" s="12" t="str">
        <f t="shared" si="40"/>
        <v>0 г. 0 мес. 0 дн.</v>
      </c>
      <c r="V733" s="12" t="str">
        <f t="shared" si="41"/>
        <v>0 г. 0 мес. 0 дн.</v>
      </c>
      <c r="W733" s="22"/>
      <c r="X733" s="72"/>
    </row>
    <row r="734" spans="1:24" ht="35.1" customHeight="1" x14ac:dyDescent="0.25">
      <c r="A734" s="12">
        <f t="shared" si="39"/>
        <v>733</v>
      </c>
      <c r="B734" s="12"/>
      <c r="C734" s="20"/>
      <c r="D734" s="18"/>
      <c r="H734" s="12" t="str">
        <f t="shared" si="40"/>
        <v>0 г. 0 мес. 0 дн.</v>
      </c>
      <c r="V734" s="12" t="str">
        <f t="shared" si="41"/>
        <v>0 г. 0 мес. 0 дн.</v>
      </c>
      <c r="W734" s="22"/>
      <c r="X734" s="72"/>
    </row>
    <row r="735" spans="1:24" ht="35.1" customHeight="1" x14ac:dyDescent="0.25">
      <c r="A735" s="12">
        <f t="shared" si="39"/>
        <v>734</v>
      </c>
      <c r="B735" s="12"/>
      <c r="C735" s="20"/>
      <c r="D735" s="18"/>
      <c r="H735" s="12" t="str">
        <f t="shared" si="40"/>
        <v>0 г. 0 мес. 0 дн.</v>
      </c>
      <c r="V735" s="12" t="str">
        <f t="shared" si="41"/>
        <v>0 г. 0 мес. 0 дн.</v>
      </c>
      <c r="W735" s="22"/>
      <c r="X735" s="72"/>
    </row>
    <row r="736" spans="1:24" ht="35.1" customHeight="1" x14ac:dyDescent="0.25">
      <c r="A736" s="12">
        <f t="shared" si="39"/>
        <v>735</v>
      </c>
      <c r="B736" s="12"/>
      <c r="C736" s="20"/>
      <c r="D736" s="18"/>
      <c r="H736" s="12" t="str">
        <f t="shared" si="40"/>
        <v>0 г. 0 мес. 0 дн.</v>
      </c>
      <c r="V736" s="12" t="str">
        <f t="shared" si="41"/>
        <v>0 г. 0 мес. 0 дн.</v>
      </c>
      <c r="W736" s="22"/>
      <c r="X736" s="72"/>
    </row>
    <row r="737" spans="1:24" ht="35.1" customHeight="1" x14ac:dyDescent="0.25">
      <c r="A737" s="12">
        <f t="shared" si="39"/>
        <v>736</v>
      </c>
      <c r="B737" s="12"/>
      <c r="C737" s="20"/>
      <c r="D737" s="18"/>
      <c r="H737" s="12" t="str">
        <f t="shared" si="40"/>
        <v>0 г. 0 мес. 0 дн.</v>
      </c>
      <c r="V737" s="12" t="str">
        <f t="shared" si="41"/>
        <v>0 г. 0 мес. 0 дн.</v>
      </c>
      <c r="W737" s="22"/>
      <c r="X737" s="72"/>
    </row>
    <row r="738" spans="1:24" ht="35.1" customHeight="1" x14ac:dyDescent="0.25">
      <c r="A738" s="12">
        <f t="shared" si="39"/>
        <v>737</v>
      </c>
      <c r="B738" s="12"/>
      <c r="C738" s="20"/>
      <c r="D738" s="18"/>
      <c r="H738" s="12" t="str">
        <f t="shared" si="40"/>
        <v>0 г. 0 мес. 0 дн.</v>
      </c>
      <c r="V738" s="12" t="str">
        <f t="shared" si="41"/>
        <v>0 г. 0 мес. 0 дн.</v>
      </c>
      <c r="W738" s="22"/>
      <c r="X738" s="72"/>
    </row>
    <row r="739" spans="1:24" ht="35.1" customHeight="1" x14ac:dyDescent="0.25">
      <c r="A739" s="12">
        <f t="shared" si="39"/>
        <v>738</v>
      </c>
      <c r="B739" s="12"/>
      <c r="C739" s="20"/>
      <c r="D739" s="18"/>
      <c r="H739" s="12" t="str">
        <f t="shared" si="40"/>
        <v>0 г. 0 мес. 0 дн.</v>
      </c>
      <c r="V739" s="12" t="str">
        <f t="shared" si="41"/>
        <v>0 г. 0 мес. 0 дн.</v>
      </c>
      <c r="W739" s="22"/>
      <c r="X739" s="72"/>
    </row>
    <row r="740" spans="1:24" ht="35.1" customHeight="1" x14ac:dyDescent="0.25">
      <c r="A740" s="12">
        <f t="shared" si="39"/>
        <v>739</v>
      </c>
      <c r="B740" s="12"/>
      <c r="C740" s="20"/>
      <c r="D740" s="18"/>
      <c r="H740" s="12" t="str">
        <f t="shared" si="40"/>
        <v>0 г. 0 мес. 0 дн.</v>
      </c>
      <c r="V740" s="12" t="str">
        <f t="shared" si="41"/>
        <v>0 г. 0 мес. 0 дн.</v>
      </c>
      <c r="W740" s="22"/>
      <c r="X740" s="72"/>
    </row>
    <row r="741" spans="1:24" ht="35.1" customHeight="1" x14ac:dyDescent="0.25">
      <c r="A741" s="12">
        <f t="shared" si="39"/>
        <v>740</v>
      </c>
      <c r="B741" s="12"/>
      <c r="C741" s="20"/>
      <c r="D741" s="18"/>
      <c r="H741" s="12" t="str">
        <f t="shared" si="40"/>
        <v>0 г. 0 мес. 0 дн.</v>
      </c>
      <c r="V741" s="12" t="str">
        <f t="shared" si="41"/>
        <v>0 г. 0 мес. 0 дн.</v>
      </c>
      <c r="W741" s="22"/>
      <c r="X741" s="72"/>
    </row>
    <row r="742" spans="1:24" ht="35.1" customHeight="1" x14ac:dyDescent="0.25">
      <c r="A742" s="12">
        <f t="shared" si="39"/>
        <v>741</v>
      </c>
      <c r="B742" s="12"/>
      <c r="C742" s="20"/>
      <c r="D742" s="18"/>
      <c r="H742" s="12" t="str">
        <f t="shared" si="40"/>
        <v>0 г. 0 мес. 0 дн.</v>
      </c>
      <c r="V742" s="12" t="str">
        <f t="shared" si="41"/>
        <v>0 г. 0 мес. 0 дн.</v>
      </c>
      <c r="W742" s="22"/>
      <c r="X742" s="72"/>
    </row>
    <row r="743" spans="1:24" ht="35.1" customHeight="1" x14ac:dyDescent="0.25">
      <c r="A743" s="12">
        <f t="shared" si="39"/>
        <v>742</v>
      </c>
      <c r="B743" s="12"/>
      <c r="C743" s="20"/>
      <c r="D743" s="18"/>
      <c r="H743" s="12" t="str">
        <f t="shared" si="40"/>
        <v>0 г. 0 мес. 0 дн.</v>
      </c>
      <c r="V743" s="12" t="str">
        <f t="shared" si="41"/>
        <v>0 г. 0 мес. 0 дн.</v>
      </c>
      <c r="W743" s="22"/>
      <c r="X743" s="72"/>
    </row>
    <row r="744" spans="1:24" ht="35.1" customHeight="1" x14ac:dyDescent="0.25">
      <c r="A744" s="12">
        <f t="shared" si="39"/>
        <v>743</v>
      </c>
      <c r="B744" s="12"/>
      <c r="C744" s="20"/>
      <c r="D744" s="18"/>
      <c r="H744" s="12" t="str">
        <f t="shared" si="40"/>
        <v>0 г. 0 мес. 0 дн.</v>
      </c>
      <c r="V744" s="12" t="str">
        <f t="shared" si="41"/>
        <v>0 г. 0 мес. 0 дн.</v>
      </c>
      <c r="W744" s="22"/>
      <c r="X744" s="72"/>
    </row>
    <row r="745" spans="1:24" ht="35.1" customHeight="1" x14ac:dyDescent="0.25">
      <c r="A745" s="12">
        <f t="shared" si="39"/>
        <v>744</v>
      </c>
      <c r="B745" s="12"/>
      <c r="C745" s="20"/>
      <c r="D745" s="18"/>
      <c r="H745" s="12" t="str">
        <f t="shared" si="40"/>
        <v>0 г. 0 мес. 0 дн.</v>
      </c>
      <c r="V745" s="12" t="str">
        <f t="shared" si="41"/>
        <v>0 г. 0 мес. 0 дн.</v>
      </c>
      <c r="W745" s="22"/>
      <c r="X745" s="72"/>
    </row>
    <row r="746" spans="1:24" ht="35.1" customHeight="1" x14ac:dyDescent="0.25">
      <c r="A746" s="12">
        <f t="shared" si="39"/>
        <v>745</v>
      </c>
      <c r="B746" s="12"/>
      <c r="C746" s="20"/>
      <c r="D746" s="18"/>
      <c r="H746" s="12" t="str">
        <f t="shared" si="40"/>
        <v>0 г. 0 мес. 0 дн.</v>
      </c>
      <c r="V746" s="12" t="str">
        <f t="shared" si="41"/>
        <v>0 г. 0 мес. 0 дн.</v>
      </c>
      <c r="W746" s="22"/>
      <c r="X746" s="72"/>
    </row>
    <row r="747" spans="1:24" ht="35.1" customHeight="1" x14ac:dyDescent="0.25">
      <c r="A747" s="12">
        <f t="shared" si="39"/>
        <v>746</v>
      </c>
      <c r="B747" s="12"/>
      <c r="C747" s="20"/>
      <c r="D747" s="18"/>
      <c r="H747" s="12" t="str">
        <f t="shared" si="40"/>
        <v>0 г. 0 мес. 0 дн.</v>
      </c>
      <c r="V747" s="12" t="str">
        <f t="shared" si="41"/>
        <v>0 г. 0 мес. 0 дн.</v>
      </c>
      <c r="W747" s="22"/>
      <c r="X747" s="72"/>
    </row>
    <row r="748" spans="1:24" ht="35.1" customHeight="1" x14ac:dyDescent="0.25">
      <c r="A748" s="12">
        <f t="shared" si="39"/>
        <v>747</v>
      </c>
      <c r="B748" s="12"/>
      <c r="C748" s="20"/>
      <c r="D748" s="18"/>
      <c r="H748" s="12" t="str">
        <f t="shared" si="40"/>
        <v>0 г. 0 мес. 0 дн.</v>
      </c>
      <c r="V748" s="12" t="str">
        <f t="shared" si="41"/>
        <v>0 г. 0 мес. 0 дн.</v>
      </c>
      <c r="W748" s="22"/>
      <c r="X748" s="72"/>
    </row>
    <row r="749" spans="1:24" ht="35.1" customHeight="1" x14ac:dyDescent="0.25">
      <c r="A749" s="12">
        <f t="shared" si="39"/>
        <v>748</v>
      </c>
      <c r="B749" s="12"/>
      <c r="C749" s="20"/>
      <c r="D749" s="18"/>
      <c r="H749" s="12" t="str">
        <f t="shared" si="40"/>
        <v>0 г. 0 мес. 0 дн.</v>
      </c>
      <c r="V749" s="12" t="str">
        <f t="shared" si="41"/>
        <v>0 г. 0 мес. 0 дн.</v>
      </c>
      <c r="W749" s="22"/>
      <c r="X749" s="72"/>
    </row>
    <row r="750" spans="1:24" ht="35.1" customHeight="1" x14ac:dyDescent="0.25">
      <c r="A750" s="12">
        <f t="shared" si="39"/>
        <v>749</v>
      </c>
      <c r="B750" s="12"/>
      <c r="C750" s="20"/>
      <c r="D750" s="18"/>
      <c r="H750" s="12" t="str">
        <f t="shared" si="40"/>
        <v>0 г. 0 мес. 0 дн.</v>
      </c>
      <c r="V750" s="12" t="str">
        <f t="shared" si="41"/>
        <v>0 г. 0 мес. 0 дн.</v>
      </c>
      <c r="W750" s="22"/>
      <c r="X750" s="72"/>
    </row>
    <row r="751" spans="1:24" ht="35.1" customHeight="1" x14ac:dyDescent="0.25">
      <c r="A751" s="12">
        <f t="shared" si="39"/>
        <v>750</v>
      </c>
      <c r="B751" s="12"/>
      <c r="C751" s="20"/>
      <c r="D751" s="18"/>
      <c r="H751" s="12" t="str">
        <f t="shared" si="40"/>
        <v>0 г. 0 мес. 0 дн.</v>
      </c>
      <c r="V751" s="12" t="str">
        <f t="shared" si="41"/>
        <v>0 г. 0 мес. 0 дн.</v>
      </c>
      <c r="W751" s="22"/>
      <c r="X751" s="72"/>
    </row>
    <row r="752" spans="1:24" ht="35.1" customHeight="1" x14ac:dyDescent="0.25">
      <c r="A752" s="12">
        <f t="shared" si="39"/>
        <v>751</v>
      </c>
      <c r="B752" s="12"/>
      <c r="C752" s="20"/>
      <c r="D752" s="18"/>
      <c r="H752" s="12" t="str">
        <f t="shared" si="40"/>
        <v>0 г. 0 мес. 0 дн.</v>
      </c>
      <c r="V752" s="12" t="str">
        <f t="shared" si="41"/>
        <v>0 г. 0 мес. 0 дн.</v>
      </c>
      <c r="W752" s="22"/>
      <c r="X752" s="72"/>
    </row>
    <row r="753" spans="1:24" ht="35.1" customHeight="1" x14ac:dyDescent="0.25">
      <c r="A753" s="12">
        <f t="shared" si="39"/>
        <v>752</v>
      </c>
      <c r="B753" s="12"/>
      <c r="C753" s="20"/>
      <c r="D753" s="18"/>
      <c r="H753" s="12" t="str">
        <f t="shared" si="40"/>
        <v>0 г. 0 мес. 0 дн.</v>
      </c>
      <c r="V753" s="12" t="str">
        <f t="shared" si="41"/>
        <v>0 г. 0 мес. 0 дн.</v>
      </c>
      <c r="W753" s="22"/>
      <c r="X753" s="72"/>
    </row>
    <row r="754" spans="1:24" ht="35.1" customHeight="1" x14ac:dyDescent="0.25">
      <c r="A754" s="12">
        <f t="shared" si="39"/>
        <v>753</v>
      </c>
      <c r="B754" s="12"/>
      <c r="C754" s="20"/>
      <c r="D754" s="18"/>
      <c r="H754" s="12" t="str">
        <f t="shared" si="40"/>
        <v>0 г. 0 мес. 0 дн.</v>
      </c>
      <c r="V754" s="12" t="str">
        <f t="shared" si="41"/>
        <v>0 г. 0 мес. 0 дн.</v>
      </c>
      <c r="W754" s="22"/>
      <c r="X754" s="72"/>
    </row>
    <row r="755" spans="1:24" ht="35.1" customHeight="1" x14ac:dyDescent="0.25">
      <c r="A755" s="12">
        <f t="shared" si="39"/>
        <v>754</v>
      </c>
      <c r="B755" s="12"/>
      <c r="C755" s="20"/>
      <c r="D755" s="18"/>
      <c r="H755" s="12" t="str">
        <f t="shared" si="40"/>
        <v>0 г. 0 мес. 0 дн.</v>
      </c>
      <c r="V755" s="12" t="str">
        <f t="shared" si="41"/>
        <v>0 г. 0 мес. 0 дн.</v>
      </c>
      <c r="W755" s="22"/>
      <c r="X755" s="72"/>
    </row>
    <row r="756" spans="1:24" ht="35.1" customHeight="1" x14ac:dyDescent="0.25">
      <c r="A756" s="12">
        <f t="shared" si="39"/>
        <v>755</v>
      </c>
      <c r="B756" s="12"/>
      <c r="C756" s="20"/>
      <c r="D756" s="18"/>
      <c r="H756" s="12" t="str">
        <f t="shared" si="40"/>
        <v>0 г. 0 мес. 0 дн.</v>
      </c>
      <c r="V756" s="12" t="str">
        <f t="shared" si="41"/>
        <v>0 г. 0 мес. 0 дн.</v>
      </c>
      <c r="W756" s="22"/>
      <c r="X756" s="72"/>
    </row>
    <row r="757" spans="1:24" ht="35.1" customHeight="1" x14ac:dyDescent="0.25">
      <c r="A757" s="12">
        <f t="shared" si="39"/>
        <v>756</v>
      </c>
      <c r="B757" s="12"/>
      <c r="C757" s="20"/>
      <c r="D757" s="18"/>
      <c r="H757" s="12" t="str">
        <f t="shared" si="40"/>
        <v>0 г. 0 мес. 0 дн.</v>
      </c>
      <c r="V757" s="12" t="str">
        <f t="shared" si="41"/>
        <v>0 г. 0 мес. 0 дн.</v>
      </c>
      <c r="W757" s="22"/>
      <c r="X757" s="72"/>
    </row>
    <row r="758" spans="1:24" ht="35.1" customHeight="1" x14ac:dyDescent="0.25">
      <c r="A758" s="12">
        <f t="shared" si="39"/>
        <v>757</v>
      </c>
      <c r="B758" s="12"/>
      <c r="C758" s="20"/>
      <c r="D758" s="18"/>
      <c r="H758" s="12" t="str">
        <f t="shared" si="40"/>
        <v>0 г. 0 мес. 0 дн.</v>
      </c>
      <c r="V758" s="12" t="str">
        <f t="shared" si="41"/>
        <v>0 г. 0 мес. 0 дн.</v>
      </c>
      <c r="W758" s="22"/>
      <c r="X758" s="72"/>
    </row>
    <row r="759" spans="1:24" ht="35.1" customHeight="1" x14ac:dyDescent="0.25">
      <c r="A759" s="12">
        <f t="shared" si="39"/>
        <v>758</v>
      </c>
      <c r="B759" s="12"/>
      <c r="C759" s="20"/>
      <c r="D759" s="18"/>
      <c r="H759" s="12" t="str">
        <f t="shared" si="40"/>
        <v>0 г. 0 мес. 0 дн.</v>
      </c>
      <c r="V759" s="12" t="str">
        <f t="shared" si="41"/>
        <v>0 г. 0 мес. 0 дн.</v>
      </c>
      <c r="W759" s="22"/>
      <c r="X759" s="72"/>
    </row>
    <row r="760" spans="1:24" ht="35.1" customHeight="1" x14ac:dyDescent="0.25">
      <c r="A760" s="12">
        <f t="shared" si="39"/>
        <v>759</v>
      </c>
      <c r="B760" s="12"/>
      <c r="C760" s="20"/>
      <c r="D760" s="18"/>
      <c r="H760" s="12" t="str">
        <f t="shared" si="40"/>
        <v>0 г. 0 мес. 0 дн.</v>
      </c>
      <c r="V760" s="12" t="str">
        <f t="shared" si="41"/>
        <v>0 г. 0 мес. 0 дн.</v>
      </c>
      <c r="W760" s="22"/>
      <c r="X760" s="72"/>
    </row>
    <row r="761" spans="1:24" ht="35.1" customHeight="1" x14ac:dyDescent="0.25">
      <c r="A761" s="12">
        <f t="shared" si="39"/>
        <v>760</v>
      </c>
      <c r="B761" s="12"/>
      <c r="C761" s="20"/>
      <c r="D761" s="18"/>
      <c r="H761" s="12" t="str">
        <f t="shared" si="40"/>
        <v>0 г. 0 мес. 0 дн.</v>
      </c>
      <c r="V761" s="12" t="str">
        <f t="shared" si="41"/>
        <v>0 г. 0 мес. 0 дн.</v>
      </c>
      <c r="W761" s="22"/>
      <c r="X761" s="72"/>
    </row>
    <row r="762" spans="1:24" ht="35.1" customHeight="1" x14ac:dyDescent="0.25">
      <c r="A762" s="12">
        <f t="shared" si="39"/>
        <v>761</v>
      </c>
      <c r="B762" s="12"/>
      <c r="C762" s="20"/>
      <c r="D762" s="18"/>
      <c r="H762" s="12" t="str">
        <f t="shared" si="40"/>
        <v>0 г. 0 мес. 0 дн.</v>
      </c>
      <c r="V762" s="12" t="str">
        <f t="shared" si="41"/>
        <v>0 г. 0 мес. 0 дн.</v>
      </c>
      <c r="W762" s="22"/>
      <c r="X762" s="72"/>
    </row>
    <row r="763" spans="1:24" ht="35.1" customHeight="1" x14ac:dyDescent="0.25">
      <c r="A763" s="12">
        <f t="shared" si="39"/>
        <v>762</v>
      </c>
      <c r="B763" s="12"/>
      <c r="C763" s="20"/>
      <c r="D763" s="18"/>
      <c r="H763" s="12" t="str">
        <f t="shared" si="40"/>
        <v>0 г. 0 мес. 0 дн.</v>
      </c>
      <c r="V763" s="12" t="str">
        <f t="shared" si="41"/>
        <v>0 г. 0 мес. 0 дн.</v>
      </c>
      <c r="W763" s="22"/>
      <c r="X763" s="72"/>
    </row>
    <row r="764" spans="1:24" ht="35.1" customHeight="1" x14ac:dyDescent="0.25">
      <c r="A764" s="12">
        <f t="shared" si="39"/>
        <v>763</v>
      </c>
      <c r="B764" s="12"/>
      <c r="C764" s="20"/>
      <c r="D764" s="18"/>
      <c r="H764" s="12" t="str">
        <f t="shared" si="40"/>
        <v>0 г. 0 мес. 0 дн.</v>
      </c>
      <c r="V764" s="12" t="str">
        <f t="shared" si="41"/>
        <v>0 г. 0 мес. 0 дн.</v>
      </c>
      <c r="W764" s="22"/>
      <c r="X764" s="72"/>
    </row>
    <row r="765" spans="1:24" ht="35.1" customHeight="1" x14ac:dyDescent="0.25">
      <c r="A765" s="12">
        <f t="shared" si="39"/>
        <v>764</v>
      </c>
      <c r="B765" s="12"/>
      <c r="C765" s="20"/>
      <c r="D765" s="18"/>
      <c r="H765" s="12" t="str">
        <f t="shared" si="40"/>
        <v>0 г. 0 мес. 0 дн.</v>
      </c>
      <c r="V765" s="12" t="str">
        <f t="shared" si="41"/>
        <v>0 г. 0 мес. 0 дн.</v>
      </c>
      <c r="W765" s="22"/>
      <c r="X765" s="72"/>
    </row>
    <row r="766" spans="1:24" ht="35.1" customHeight="1" x14ac:dyDescent="0.25">
      <c r="A766" s="12">
        <f t="shared" si="39"/>
        <v>765</v>
      </c>
      <c r="B766" s="12"/>
      <c r="C766" s="20"/>
      <c r="D766" s="18"/>
      <c r="H766" s="12" t="str">
        <f t="shared" si="40"/>
        <v>0 г. 0 мес. 0 дн.</v>
      </c>
      <c r="V766" s="12" t="str">
        <f t="shared" si="41"/>
        <v>0 г. 0 мес. 0 дн.</v>
      </c>
      <c r="W766" s="22"/>
      <c r="X766" s="72"/>
    </row>
    <row r="767" spans="1:24" ht="35.1" customHeight="1" x14ac:dyDescent="0.25">
      <c r="A767" s="12">
        <f t="shared" si="39"/>
        <v>766</v>
      </c>
      <c r="B767" s="12"/>
      <c r="C767" s="20"/>
      <c r="D767" s="18"/>
      <c r="H767" s="12" t="str">
        <f t="shared" si="40"/>
        <v>0 г. 0 мес. 0 дн.</v>
      </c>
      <c r="V767" s="12" t="str">
        <f t="shared" si="41"/>
        <v>0 г. 0 мес. 0 дн.</v>
      </c>
      <c r="W767" s="22"/>
      <c r="X767" s="72"/>
    </row>
    <row r="768" spans="1:24" ht="35.1" customHeight="1" x14ac:dyDescent="0.25">
      <c r="A768" s="12">
        <f t="shared" si="39"/>
        <v>767</v>
      </c>
      <c r="B768" s="12"/>
      <c r="C768" s="20"/>
      <c r="D768" s="18"/>
      <c r="H768" s="12" t="str">
        <f t="shared" si="40"/>
        <v>0 г. 0 мес. 0 дн.</v>
      </c>
      <c r="V768" s="12" t="str">
        <f t="shared" si="41"/>
        <v>0 г. 0 мес. 0 дн.</v>
      </c>
      <c r="W768" s="22"/>
      <c r="X768" s="72"/>
    </row>
    <row r="769" spans="1:24" ht="35.1" customHeight="1" x14ac:dyDescent="0.25">
      <c r="A769" s="12">
        <f t="shared" ref="A769:A832" si="42">ROW(A768)</f>
        <v>768</v>
      </c>
      <c r="B769" s="12"/>
      <c r="C769" s="20"/>
      <c r="D769" s="18"/>
      <c r="H769" s="12" t="str">
        <f t="shared" si="40"/>
        <v>0 г. 0 мес. 0 дн.</v>
      </c>
      <c r="V769" s="12" t="str">
        <f t="shared" si="41"/>
        <v>0 г. 0 мес. 0 дн.</v>
      </c>
      <c r="W769" s="22"/>
      <c r="X769" s="72"/>
    </row>
    <row r="770" spans="1:24" ht="35.1" customHeight="1" x14ac:dyDescent="0.25">
      <c r="A770" s="12">
        <f t="shared" si="42"/>
        <v>769</v>
      </c>
      <c r="B770" s="12"/>
      <c r="C770" s="20"/>
      <c r="D770" s="18"/>
      <c r="H770" s="12" t="str">
        <f t="shared" si="40"/>
        <v>0 г. 0 мес. 0 дн.</v>
      </c>
      <c r="V770" s="12" t="str">
        <f t="shared" si="41"/>
        <v>0 г. 0 мес. 0 дн.</v>
      </c>
      <c r="W770" s="22"/>
      <c r="X770" s="72"/>
    </row>
    <row r="771" spans="1:24" ht="35.1" customHeight="1" x14ac:dyDescent="0.25">
      <c r="A771" s="12">
        <f t="shared" si="42"/>
        <v>770</v>
      </c>
      <c r="B771" s="12"/>
      <c r="C771" s="20"/>
      <c r="D771" s="18"/>
      <c r="H771" s="12" t="str">
        <f t="shared" si="40"/>
        <v>0 г. 0 мес. 0 дн.</v>
      </c>
      <c r="V771" s="12" t="str">
        <f t="shared" si="41"/>
        <v>0 г. 0 мес. 0 дн.</v>
      </c>
      <c r="W771" s="22"/>
      <c r="X771" s="72"/>
    </row>
    <row r="772" spans="1:24" ht="35.1" customHeight="1" x14ac:dyDescent="0.25">
      <c r="A772" s="12">
        <f t="shared" si="42"/>
        <v>771</v>
      </c>
      <c r="B772" s="12"/>
      <c r="C772" s="20"/>
      <c r="D772" s="18"/>
      <c r="H772" s="12" t="str">
        <f t="shared" si="40"/>
        <v>0 г. 0 мес. 0 дн.</v>
      </c>
      <c r="V772" s="12" t="str">
        <f t="shared" si="41"/>
        <v>0 г. 0 мес. 0 дн.</v>
      </c>
      <c r="W772" s="22"/>
      <c r="X772" s="72"/>
    </row>
    <row r="773" spans="1:24" ht="35.1" customHeight="1" x14ac:dyDescent="0.25">
      <c r="A773" s="12">
        <f t="shared" si="42"/>
        <v>772</v>
      </c>
      <c r="B773" s="12"/>
      <c r="C773" s="20"/>
      <c r="D773" s="18"/>
      <c r="H773" s="12" t="str">
        <f t="shared" si="40"/>
        <v>0 г. 0 мес. 0 дн.</v>
      </c>
      <c r="V773" s="12" t="str">
        <f t="shared" si="41"/>
        <v>0 г. 0 мес. 0 дн.</v>
      </c>
      <c r="W773" s="22"/>
      <c r="X773" s="72"/>
    </row>
    <row r="774" spans="1:24" ht="35.1" customHeight="1" x14ac:dyDescent="0.25">
      <c r="A774" s="12">
        <f t="shared" si="42"/>
        <v>773</v>
      </c>
      <c r="B774" s="12"/>
      <c r="C774" s="20"/>
      <c r="D774" s="18"/>
      <c r="H774" s="12" t="str">
        <f t="shared" ref="H774:H837" si="43">DATEDIF(G774,D774,"y") &amp; " г. " &amp; DATEDIF(G774,D774,"ym") &amp; " мес. " &amp; DATEDIF(G774,D774,"md") &amp; " дн."</f>
        <v>0 г. 0 мес. 0 дн.</v>
      </c>
      <c r="V774" s="12" t="str">
        <f t="shared" si="41"/>
        <v>0 г. 0 мес. 0 дн.</v>
      </c>
      <c r="W774" s="22"/>
      <c r="X774" s="72"/>
    </row>
    <row r="775" spans="1:24" ht="35.1" customHeight="1" x14ac:dyDescent="0.25">
      <c r="A775" s="12">
        <f t="shared" si="42"/>
        <v>774</v>
      </c>
      <c r="B775" s="12"/>
      <c r="C775" s="20"/>
      <c r="D775" s="18"/>
      <c r="H775" s="12" t="str">
        <f t="shared" si="43"/>
        <v>0 г. 0 мес. 0 дн.</v>
      </c>
      <c r="V775" s="12" t="str">
        <f t="shared" si="41"/>
        <v>0 г. 0 мес. 0 дн.</v>
      </c>
      <c r="W775" s="22"/>
      <c r="X775" s="72"/>
    </row>
    <row r="776" spans="1:24" ht="35.1" customHeight="1" x14ac:dyDescent="0.25">
      <c r="A776" s="12">
        <f t="shared" si="42"/>
        <v>775</v>
      </c>
      <c r="B776" s="12"/>
      <c r="C776" s="20"/>
      <c r="D776" s="18"/>
      <c r="H776" s="12" t="str">
        <f t="shared" si="43"/>
        <v>0 г. 0 мес. 0 дн.</v>
      </c>
      <c r="V776" s="12" t="str">
        <f t="shared" si="41"/>
        <v>0 г. 0 мес. 0 дн.</v>
      </c>
      <c r="W776" s="22"/>
      <c r="X776" s="72"/>
    </row>
    <row r="777" spans="1:24" ht="35.1" customHeight="1" x14ac:dyDescent="0.25">
      <c r="A777" s="12">
        <f t="shared" si="42"/>
        <v>776</v>
      </c>
      <c r="B777" s="12"/>
      <c r="C777" s="20"/>
      <c r="D777" s="18"/>
      <c r="H777" s="12" t="str">
        <f t="shared" si="43"/>
        <v>0 г. 0 мес. 0 дн.</v>
      </c>
      <c r="V777" s="12" t="str">
        <f t="shared" si="41"/>
        <v>0 г. 0 мес. 0 дн.</v>
      </c>
      <c r="W777" s="22"/>
      <c r="X777" s="72"/>
    </row>
    <row r="778" spans="1:24" ht="35.1" customHeight="1" x14ac:dyDescent="0.25">
      <c r="A778" s="12">
        <f t="shared" si="42"/>
        <v>777</v>
      </c>
      <c r="B778" s="12"/>
      <c r="C778" s="20"/>
      <c r="D778" s="18"/>
      <c r="H778" s="12" t="str">
        <f t="shared" si="43"/>
        <v>0 г. 0 мес. 0 дн.</v>
      </c>
      <c r="V778" s="12" t="str">
        <f t="shared" si="41"/>
        <v>0 г. 0 мес. 0 дн.</v>
      </c>
      <c r="W778" s="22"/>
      <c r="X778" s="72"/>
    </row>
    <row r="779" spans="1:24" ht="35.1" customHeight="1" x14ac:dyDescent="0.25">
      <c r="A779" s="12">
        <f t="shared" si="42"/>
        <v>778</v>
      </c>
      <c r="B779" s="12"/>
      <c r="C779" s="20"/>
      <c r="D779" s="18"/>
      <c r="H779" s="12" t="str">
        <f t="shared" si="43"/>
        <v>0 г. 0 мес. 0 дн.</v>
      </c>
      <c r="V779" s="12" t="str">
        <f t="shared" si="41"/>
        <v>0 г. 0 мес. 0 дн.</v>
      </c>
      <c r="W779" s="22"/>
      <c r="X779" s="72"/>
    </row>
    <row r="780" spans="1:24" ht="35.1" customHeight="1" x14ac:dyDescent="0.25">
      <c r="A780" s="12">
        <f t="shared" si="42"/>
        <v>779</v>
      </c>
      <c r="B780" s="12"/>
      <c r="C780" s="20"/>
      <c r="D780" s="18"/>
      <c r="H780" s="12" t="str">
        <f t="shared" si="43"/>
        <v>0 г. 0 мес. 0 дн.</v>
      </c>
      <c r="V780" s="12" t="str">
        <f t="shared" si="41"/>
        <v>0 г. 0 мес. 0 дн.</v>
      </c>
      <c r="W780" s="22"/>
      <c r="X780" s="72"/>
    </row>
    <row r="781" spans="1:24" ht="35.1" customHeight="1" x14ac:dyDescent="0.25">
      <c r="A781" s="12">
        <f t="shared" si="42"/>
        <v>780</v>
      </c>
      <c r="B781" s="12"/>
      <c r="C781" s="20"/>
      <c r="D781" s="18"/>
      <c r="H781" s="12" t="str">
        <f t="shared" si="43"/>
        <v>0 г. 0 мес. 0 дн.</v>
      </c>
      <c r="V781" s="12" t="str">
        <f t="shared" si="41"/>
        <v>0 г. 0 мес. 0 дн.</v>
      </c>
      <c r="W781" s="22"/>
      <c r="X781" s="72"/>
    </row>
    <row r="782" spans="1:24" ht="35.1" customHeight="1" x14ac:dyDescent="0.25">
      <c r="A782" s="12">
        <f t="shared" si="42"/>
        <v>781</v>
      </c>
      <c r="B782" s="12"/>
      <c r="C782" s="20"/>
      <c r="D782" s="18"/>
      <c r="H782" s="12" t="str">
        <f t="shared" si="43"/>
        <v>0 г. 0 мес. 0 дн.</v>
      </c>
      <c r="V782" s="12" t="str">
        <f t="shared" si="41"/>
        <v>0 г. 0 мес. 0 дн.</v>
      </c>
      <c r="W782" s="22"/>
      <c r="X782" s="72"/>
    </row>
    <row r="783" spans="1:24" ht="35.1" customHeight="1" x14ac:dyDescent="0.25">
      <c r="A783" s="12">
        <f t="shared" si="42"/>
        <v>782</v>
      </c>
      <c r="B783" s="12"/>
      <c r="C783" s="20"/>
      <c r="D783" s="18"/>
      <c r="H783" s="12" t="str">
        <f t="shared" si="43"/>
        <v>0 г. 0 мес. 0 дн.</v>
      </c>
      <c r="V783" s="12" t="str">
        <f t="shared" si="41"/>
        <v>0 г. 0 мес. 0 дн.</v>
      </c>
      <c r="W783" s="22"/>
      <c r="X783" s="72"/>
    </row>
    <row r="784" spans="1:24" ht="35.1" customHeight="1" x14ac:dyDescent="0.25">
      <c r="A784" s="12">
        <f t="shared" si="42"/>
        <v>783</v>
      </c>
      <c r="B784" s="12"/>
      <c r="C784" s="20"/>
      <c r="D784" s="18"/>
      <c r="H784" s="12" t="str">
        <f t="shared" si="43"/>
        <v>0 г. 0 мес. 0 дн.</v>
      </c>
      <c r="V784" s="12" t="str">
        <f t="shared" si="41"/>
        <v>0 г. 0 мес. 0 дн.</v>
      </c>
      <c r="W784" s="22"/>
      <c r="X784" s="72"/>
    </row>
    <row r="785" spans="1:24" ht="35.1" customHeight="1" x14ac:dyDescent="0.25">
      <c r="A785" s="12">
        <f t="shared" si="42"/>
        <v>784</v>
      </c>
      <c r="B785" s="12"/>
      <c r="C785" s="20"/>
      <c r="D785" s="18"/>
      <c r="H785" s="12" t="str">
        <f t="shared" si="43"/>
        <v>0 г. 0 мес. 0 дн.</v>
      </c>
      <c r="V785" s="12" t="str">
        <f t="shared" si="41"/>
        <v>0 г. 0 мес. 0 дн.</v>
      </c>
      <c r="W785" s="22"/>
      <c r="X785" s="72"/>
    </row>
    <row r="786" spans="1:24" ht="35.1" customHeight="1" x14ac:dyDescent="0.25">
      <c r="A786" s="12">
        <f t="shared" si="42"/>
        <v>785</v>
      </c>
      <c r="B786" s="12"/>
      <c r="C786" s="20"/>
      <c r="D786" s="18"/>
      <c r="H786" s="12" t="str">
        <f t="shared" si="43"/>
        <v>0 г. 0 мес. 0 дн.</v>
      </c>
      <c r="V786" s="12" t="str">
        <f t="shared" si="41"/>
        <v>0 г. 0 мес. 0 дн.</v>
      </c>
      <c r="W786" s="22"/>
      <c r="X786" s="72"/>
    </row>
    <row r="787" spans="1:24" ht="35.1" customHeight="1" x14ac:dyDescent="0.25">
      <c r="A787" s="12">
        <f t="shared" si="42"/>
        <v>786</v>
      </c>
      <c r="B787" s="12"/>
      <c r="C787" s="20"/>
      <c r="D787" s="18"/>
      <c r="H787" s="12" t="str">
        <f t="shared" si="43"/>
        <v>0 г. 0 мес. 0 дн.</v>
      </c>
      <c r="V787" s="12" t="str">
        <f t="shared" si="41"/>
        <v>0 г. 0 мес. 0 дн.</v>
      </c>
      <c r="W787" s="22"/>
      <c r="X787" s="72"/>
    </row>
    <row r="788" spans="1:24" ht="35.1" customHeight="1" x14ac:dyDescent="0.25">
      <c r="A788" s="12">
        <f t="shared" si="42"/>
        <v>787</v>
      </c>
      <c r="B788" s="12"/>
      <c r="C788" s="20"/>
      <c r="D788" s="18"/>
      <c r="H788" s="12" t="str">
        <f t="shared" si="43"/>
        <v>0 г. 0 мес. 0 дн.</v>
      </c>
      <c r="V788" s="12" t="str">
        <f t="shared" si="41"/>
        <v>0 г. 0 мес. 0 дн.</v>
      </c>
      <c r="W788" s="22"/>
      <c r="X788" s="72"/>
    </row>
    <row r="789" spans="1:24" ht="35.1" customHeight="1" x14ac:dyDescent="0.25">
      <c r="A789" s="12">
        <f t="shared" si="42"/>
        <v>788</v>
      </c>
      <c r="B789" s="12"/>
      <c r="C789" s="20"/>
      <c r="D789" s="18"/>
      <c r="H789" s="12" t="str">
        <f t="shared" si="43"/>
        <v>0 г. 0 мес. 0 дн.</v>
      </c>
      <c r="V789" s="12" t="str">
        <f t="shared" si="41"/>
        <v>0 г. 0 мес. 0 дн.</v>
      </c>
      <c r="W789" s="22"/>
      <c r="X789" s="72"/>
    </row>
    <row r="790" spans="1:24" ht="35.1" customHeight="1" x14ac:dyDescent="0.25">
      <c r="A790" s="12">
        <f t="shared" si="42"/>
        <v>789</v>
      </c>
      <c r="B790" s="12"/>
      <c r="C790" s="20"/>
      <c r="D790" s="18"/>
      <c r="H790" s="12" t="str">
        <f t="shared" si="43"/>
        <v>0 г. 0 мес. 0 дн.</v>
      </c>
      <c r="V790" s="12" t="str">
        <f t="shared" si="41"/>
        <v>0 г. 0 мес. 0 дн.</v>
      </c>
      <c r="W790" s="22"/>
      <c r="X790" s="72"/>
    </row>
    <row r="791" spans="1:24" ht="35.1" customHeight="1" x14ac:dyDescent="0.25">
      <c r="A791" s="12">
        <f t="shared" si="42"/>
        <v>790</v>
      </c>
      <c r="B791" s="12"/>
      <c r="C791" s="20"/>
      <c r="D791" s="18"/>
      <c r="H791" s="12" t="str">
        <f t="shared" si="43"/>
        <v>0 г. 0 мес. 0 дн.</v>
      </c>
      <c r="V791" s="12" t="str">
        <f t="shared" si="41"/>
        <v>0 г. 0 мес. 0 дн.</v>
      </c>
      <c r="W791" s="22"/>
      <c r="X791" s="72"/>
    </row>
    <row r="792" spans="1:24" ht="35.1" customHeight="1" x14ac:dyDescent="0.25">
      <c r="A792" s="12">
        <f t="shared" si="42"/>
        <v>791</v>
      </c>
      <c r="B792" s="12"/>
      <c r="C792" s="20"/>
      <c r="D792" s="18"/>
      <c r="H792" s="12" t="str">
        <f t="shared" si="43"/>
        <v>0 г. 0 мес. 0 дн.</v>
      </c>
      <c r="V792" s="12" t="str">
        <f t="shared" ref="V792:V855" si="44">DATEDIF(D792,T792,"y") &amp; " г. " &amp; DATEDIF(D792,T792,"ym") &amp; " мес. " &amp; DATEDIF(D792,T792,"md") &amp; " дн."</f>
        <v>0 г. 0 мес. 0 дн.</v>
      </c>
      <c r="W792" s="22"/>
      <c r="X792" s="72"/>
    </row>
    <row r="793" spans="1:24" ht="35.1" customHeight="1" x14ac:dyDescent="0.25">
      <c r="A793" s="12">
        <f t="shared" si="42"/>
        <v>792</v>
      </c>
      <c r="B793" s="12"/>
      <c r="C793" s="20"/>
      <c r="D793" s="18"/>
      <c r="H793" s="12" t="str">
        <f t="shared" si="43"/>
        <v>0 г. 0 мес. 0 дн.</v>
      </c>
      <c r="V793" s="12" t="str">
        <f t="shared" si="44"/>
        <v>0 г. 0 мес. 0 дн.</v>
      </c>
      <c r="W793" s="22"/>
      <c r="X793" s="72"/>
    </row>
    <row r="794" spans="1:24" ht="35.1" customHeight="1" x14ac:dyDescent="0.25">
      <c r="A794" s="12">
        <f t="shared" si="42"/>
        <v>793</v>
      </c>
      <c r="B794" s="12"/>
      <c r="C794" s="20"/>
      <c r="D794" s="18"/>
      <c r="H794" s="12" t="str">
        <f t="shared" si="43"/>
        <v>0 г. 0 мес. 0 дн.</v>
      </c>
      <c r="V794" s="12" t="str">
        <f t="shared" si="44"/>
        <v>0 г. 0 мес. 0 дн.</v>
      </c>
      <c r="W794" s="22"/>
      <c r="X794" s="72"/>
    </row>
    <row r="795" spans="1:24" ht="35.1" customHeight="1" x14ac:dyDescent="0.25">
      <c r="A795" s="12">
        <f t="shared" si="42"/>
        <v>794</v>
      </c>
      <c r="B795" s="12"/>
      <c r="C795" s="20"/>
      <c r="D795" s="18"/>
      <c r="H795" s="12" t="str">
        <f t="shared" si="43"/>
        <v>0 г. 0 мес. 0 дн.</v>
      </c>
      <c r="V795" s="12" t="str">
        <f t="shared" si="44"/>
        <v>0 г. 0 мес. 0 дн.</v>
      </c>
      <c r="W795" s="22"/>
      <c r="X795" s="72"/>
    </row>
    <row r="796" spans="1:24" ht="35.1" customHeight="1" x14ac:dyDescent="0.25">
      <c r="A796" s="12">
        <f t="shared" si="42"/>
        <v>795</v>
      </c>
      <c r="B796" s="12"/>
      <c r="C796" s="20"/>
      <c r="D796" s="18"/>
      <c r="H796" s="12" t="str">
        <f t="shared" si="43"/>
        <v>0 г. 0 мес. 0 дн.</v>
      </c>
      <c r="V796" s="12" t="str">
        <f t="shared" si="44"/>
        <v>0 г. 0 мес. 0 дн.</v>
      </c>
      <c r="W796" s="22"/>
      <c r="X796" s="72"/>
    </row>
    <row r="797" spans="1:24" ht="35.1" customHeight="1" x14ac:dyDescent="0.25">
      <c r="A797" s="12">
        <f t="shared" si="42"/>
        <v>796</v>
      </c>
      <c r="B797" s="12"/>
      <c r="C797" s="20"/>
      <c r="D797" s="18"/>
      <c r="H797" s="12" t="str">
        <f t="shared" si="43"/>
        <v>0 г. 0 мес. 0 дн.</v>
      </c>
      <c r="V797" s="12" t="str">
        <f t="shared" si="44"/>
        <v>0 г. 0 мес. 0 дн.</v>
      </c>
      <c r="W797" s="22"/>
      <c r="X797" s="72"/>
    </row>
    <row r="798" spans="1:24" ht="35.1" customHeight="1" x14ac:dyDescent="0.25">
      <c r="A798" s="12">
        <f t="shared" si="42"/>
        <v>797</v>
      </c>
      <c r="B798" s="12"/>
      <c r="C798" s="20"/>
      <c r="D798" s="18"/>
      <c r="H798" s="12" t="str">
        <f t="shared" si="43"/>
        <v>0 г. 0 мес. 0 дн.</v>
      </c>
      <c r="V798" s="12" t="str">
        <f t="shared" si="44"/>
        <v>0 г. 0 мес. 0 дн.</v>
      </c>
      <c r="W798" s="22"/>
      <c r="X798" s="72"/>
    </row>
    <row r="799" spans="1:24" ht="35.1" customHeight="1" x14ac:dyDescent="0.25">
      <c r="A799" s="12">
        <f t="shared" si="42"/>
        <v>798</v>
      </c>
      <c r="B799" s="12"/>
      <c r="C799" s="20"/>
      <c r="D799" s="18"/>
      <c r="H799" s="12" t="str">
        <f t="shared" si="43"/>
        <v>0 г. 0 мес. 0 дн.</v>
      </c>
      <c r="V799" s="12" t="str">
        <f t="shared" si="44"/>
        <v>0 г. 0 мес. 0 дн.</v>
      </c>
      <c r="W799" s="22"/>
      <c r="X799" s="72"/>
    </row>
    <row r="800" spans="1:24" ht="35.1" customHeight="1" x14ac:dyDescent="0.25">
      <c r="A800" s="12">
        <f t="shared" si="42"/>
        <v>799</v>
      </c>
      <c r="B800" s="12"/>
      <c r="C800" s="20"/>
      <c r="D800" s="18"/>
      <c r="H800" s="12" t="str">
        <f t="shared" si="43"/>
        <v>0 г. 0 мес. 0 дн.</v>
      </c>
      <c r="V800" s="12" t="str">
        <f t="shared" si="44"/>
        <v>0 г. 0 мес. 0 дн.</v>
      </c>
      <c r="W800" s="22"/>
      <c r="X800" s="72"/>
    </row>
    <row r="801" spans="1:24" ht="35.1" customHeight="1" x14ac:dyDescent="0.25">
      <c r="A801" s="12">
        <f t="shared" si="42"/>
        <v>800</v>
      </c>
      <c r="B801" s="12"/>
      <c r="C801" s="20"/>
      <c r="D801" s="18"/>
      <c r="H801" s="12" t="str">
        <f t="shared" si="43"/>
        <v>0 г. 0 мес. 0 дн.</v>
      </c>
      <c r="V801" s="12" t="str">
        <f t="shared" si="44"/>
        <v>0 г. 0 мес. 0 дн.</v>
      </c>
      <c r="W801" s="22"/>
      <c r="X801" s="72"/>
    </row>
    <row r="802" spans="1:24" ht="35.1" customHeight="1" x14ac:dyDescent="0.25">
      <c r="A802" s="12">
        <f t="shared" si="42"/>
        <v>801</v>
      </c>
      <c r="B802" s="12"/>
      <c r="C802" s="20"/>
      <c r="D802" s="18"/>
      <c r="H802" s="12" t="str">
        <f t="shared" si="43"/>
        <v>0 г. 0 мес. 0 дн.</v>
      </c>
      <c r="V802" s="12" t="str">
        <f t="shared" si="44"/>
        <v>0 г. 0 мес. 0 дн.</v>
      </c>
      <c r="W802" s="22"/>
      <c r="X802" s="72"/>
    </row>
    <row r="803" spans="1:24" ht="35.1" customHeight="1" x14ac:dyDescent="0.25">
      <c r="A803" s="12">
        <f t="shared" si="42"/>
        <v>802</v>
      </c>
      <c r="B803" s="12"/>
      <c r="C803" s="20"/>
      <c r="D803" s="18"/>
      <c r="H803" s="12" t="str">
        <f t="shared" si="43"/>
        <v>0 г. 0 мес. 0 дн.</v>
      </c>
      <c r="V803" s="12" t="str">
        <f t="shared" si="44"/>
        <v>0 г. 0 мес. 0 дн.</v>
      </c>
      <c r="W803" s="22"/>
      <c r="X803" s="72"/>
    </row>
    <row r="804" spans="1:24" ht="35.1" customHeight="1" x14ac:dyDescent="0.25">
      <c r="A804" s="12">
        <f t="shared" si="42"/>
        <v>803</v>
      </c>
      <c r="B804" s="12"/>
      <c r="C804" s="20"/>
      <c r="D804" s="18"/>
      <c r="H804" s="12" t="str">
        <f t="shared" si="43"/>
        <v>0 г. 0 мес. 0 дн.</v>
      </c>
      <c r="V804" s="12" t="str">
        <f t="shared" si="44"/>
        <v>0 г. 0 мес. 0 дн.</v>
      </c>
      <c r="W804" s="22"/>
      <c r="X804" s="72"/>
    </row>
    <row r="805" spans="1:24" ht="35.1" customHeight="1" x14ac:dyDescent="0.25">
      <c r="A805" s="12">
        <f t="shared" si="42"/>
        <v>804</v>
      </c>
      <c r="B805" s="12"/>
      <c r="C805" s="20"/>
      <c r="D805" s="18"/>
      <c r="H805" s="12" t="str">
        <f t="shared" si="43"/>
        <v>0 г. 0 мес. 0 дн.</v>
      </c>
      <c r="V805" s="12" t="str">
        <f t="shared" si="44"/>
        <v>0 г. 0 мес. 0 дн.</v>
      </c>
      <c r="W805" s="22"/>
      <c r="X805" s="72"/>
    </row>
    <row r="806" spans="1:24" ht="35.1" customHeight="1" x14ac:dyDescent="0.25">
      <c r="A806" s="12">
        <f t="shared" si="42"/>
        <v>805</v>
      </c>
      <c r="B806" s="12"/>
      <c r="C806" s="20"/>
      <c r="D806" s="18"/>
      <c r="H806" s="12" t="str">
        <f t="shared" si="43"/>
        <v>0 г. 0 мес. 0 дн.</v>
      </c>
      <c r="V806" s="12" t="str">
        <f t="shared" si="44"/>
        <v>0 г. 0 мес. 0 дн.</v>
      </c>
      <c r="W806" s="22"/>
      <c r="X806" s="72"/>
    </row>
    <row r="807" spans="1:24" ht="35.1" customHeight="1" x14ac:dyDescent="0.25">
      <c r="A807" s="12">
        <f t="shared" si="42"/>
        <v>806</v>
      </c>
      <c r="B807" s="12"/>
      <c r="C807" s="20"/>
      <c r="D807" s="18"/>
      <c r="H807" s="12" t="str">
        <f t="shared" si="43"/>
        <v>0 г. 0 мес. 0 дн.</v>
      </c>
      <c r="V807" s="12" t="str">
        <f t="shared" si="44"/>
        <v>0 г. 0 мес. 0 дн.</v>
      </c>
      <c r="W807" s="22"/>
      <c r="X807" s="72"/>
    </row>
    <row r="808" spans="1:24" ht="35.1" customHeight="1" x14ac:dyDescent="0.25">
      <c r="A808" s="12">
        <f t="shared" si="42"/>
        <v>807</v>
      </c>
      <c r="B808" s="12"/>
      <c r="C808" s="20"/>
      <c r="D808" s="18"/>
      <c r="H808" s="12" t="str">
        <f t="shared" si="43"/>
        <v>0 г. 0 мес. 0 дн.</v>
      </c>
      <c r="V808" s="12" t="str">
        <f t="shared" si="44"/>
        <v>0 г. 0 мес. 0 дн.</v>
      </c>
      <c r="W808" s="22"/>
      <c r="X808" s="72"/>
    </row>
    <row r="809" spans="1:24" ht="35.1" customHeight="1" x14ac:dyDescent="0.25">
      <c r="A809" s="12">
        <f t="shared" si="42"/>
        <v>808</v>
      </c>
      <c r="B809" s="12"/>
      <c r="C809" s="20"/>
      <c r="D809" s="18"/>
      <c r="H809" s="12" t="str">
        <f t="shared" si="43"/>
        <v>0 г. 0 мес. 0 дн.</v>
      </c>
      <c r="V809" s="12" t="str">
        <f t="shared" si="44"/>
        <v>0 г. 0 мес. 0 дн.</v>
      </c>
      <c r="W809" s="22"/>
      <c r="X809" s="72"/>
    </row>
    <row r="810" spans="1:24" ht="35.1" customHeight="1" x14ac:dyDescent="0.25">
      <c r="A810" s="12">
        <f t="shared" si="42"/>
        <v>809</v>
      </c>
      <c r="B810" s="12"/>
      <c r="C810" s="20"/>
      <c r="D810" s="18"/>
      <c r="H810" s="12" t="str">
        <f t="shared" si="43"/>
        <v>0 г. 0 мес. 0 дн.</v>
      </c>
      <c r="V810" s="12" t="str">
        <f t="shared" si="44"/>
        <v>0 г. 0 мес. 0 дн.</v>
      </c>
      <c r="W810" s="22"/>
      <c r="X810" s="72"/>
    </row>
    <row r="811" spans="1:24" ht="35.1" customHeight="1" x14ac:dyDescent="0.25">
      <c r="A811" s="12">
        <f t="shared" si="42"/>
        <v>810</v>
      </c>
      <c r="B811" s="12"/>
      <c r="C811" s="20"/>
      <c r="D811" s="18"/>
      <c r="H811" s="12" t="str">
        <f t="shared" si="43"/>
        <v>0 г. 0 мес. 0 дн.</v>
      </c>
      <c r="V811" s="12" t="str">
        <f t="shared" si="44"/>
        <v>0 г. 0 мес. 0 дн.</v>
      </c>
      <c r="W811" s="22"/>
      <c r="X811" s="72"/>
    </row>
    <row r="812" spans="1:24" ht="35.1" customHeight="1" x14ac:dyDescent="0.25">
      <c r="A812" s="12">
        <f t="shared" si="42"/>
        <v>811</v>
      </c>
      <c r="B812" s="12"/>
      <c r="C812" s="20"/>
      <c r="D812" s="18"/>
      <c r="H812" s="12" t="str">
        <f t="shared" si="43"/>
        <v>0 г. 0 мес. 0 дн.</v>
      </c>
      <c r="V812" s="12" t="str">
        <f t="shared" si="44"/>
        <v>0 г. 0 мес. 0 дн.</v>
      </c>
      <c r="W812" s="22"/>
      <c r="X812" s="72"/>
    </row>
    <row r="813" spans="1:24" ht="35.1" customHeight="1" x14ac:dyDescent="0.25">
      <c r="A813" s="12">
        <f t="shared" si="42"/>
        <v>812</v>
      </c>
      <c r="B813" s="12"/>
      <c r="C813" s="20"/>
      <c r="D813" s="18"/>
      <c r="H813" s="12" t="str">
        <f t="shared" si="43"/>
        <v>0 г. 0 мес. 0 дн.</v>
      </c>
      <c r="V813" s="12" t="str">
        <f t="shared" si="44"/>
        <v>0 г. 0 мес. 0 дн.</v>
      </c>
      <c r="W813" s="22"/>
      <c r="X813" s="72"/>
    </row>
    <row r="814" spans="1:24" ht="35.1" customHeight="1" x14ac:dyDescent="0.25">
      <c r="A814" s="12">
        <f t="shared" si="42"/>
        <v>813</v>
      </c>
      <c r="B814" s="12"/>
      <c r="C814" s="20"/>
      <c r="D814" s="18"/>
      <c r="H814" s="12" t="str">
        <f t="shared" si="43"/>
        <v>0 г. 0 мес. 0 дн.</v>
      </c>
      <c r="V814" s="12" t="str">
        <f t="shared" si="44"/>
        <v>0 г. 0 мес. 0 дн.</v>
      </c>
      <c r="W814" s="22"/>
      <c r="X814" s="72"/>
    </row>
    <row r="815" spans="1:24" ht="35.1" customHeight="1" x14ac:dyDescent="0.25">
      <c r="A815" s="12">
        <f t="shared" si="42"/>
        <v>814</v>
      </c>
      <c r="B815" s="12"/>
      <c r="C815" s="20"/>
      <c r="D815" s="18"/>
      <c r="H815" s="12" t="str">
        <f t="shared" si="43"/>
        <v>0 г. 0 мес. 0 дн.</v>
      </c>
      <c r="V815" s="12" t="str">
        <f t="shared" si="44"/>
        <v>0 г. 0 мес. 0 дн.</v>
      </c>
      <c r="W815" s="22"/>
      <c r="X815" s="72"/>
    </row>
    <row r="816" spans="1:24" ht="35.1" customHeight="1" x14ac:dyDescent="0.25">
      <c r="A816" s="12">
        <f t="shared" si="42"/>
        <v>815</v>
      </c>
      <c r="B816" s="12"/>
      <c r="C816" s="20"/>
      <c r="D816" s="18"/>
      <c r="H816" s="12" t="str">
        <f t="shared" si="43"/>
        <v>0 г. 0 мес. 0 дн.</v>
      </c>
      <c r="V816" s="12" t="str">
        <f t="shared" si="44"/>
        <v>0 г. 0 мес. 0 дн.</v>
      </c>
      <c r="W816" s="22"/>
      <c r="X816" s="72"/>
    </row>
    <row r="817" spans="1:24" ht="35.1" customHeight="1" x14ac:dyDescent="0.25">
      <c r="A817" s="12">
        <f t="shared" si="42"/>
        <v>816</v>
      </c>
      <c r="B817" s="12"/>
      <c r="C817" s="20"/>
      <c r="D817" s="18"/>
      <c r="H817" s="12" t="str">
        <f t="shared" si="43"/>
        <v>0 г. 0 мес. 0 дн.</v>
      </c>
      <c r="V817" s="12" t="str">
        <f t="shared" si="44"/>
        <v>0 г. 0 мес. 0 дн.</v>
      </c>
      <c r="W817" s="22"/>
      <c r="X817" s="72"/>
    </row>
    <row r="818" spans="1:24" ht="35.1" customHeight="1" x14ac:dyDescent="0.25">
      <c r="A818" s="12">
        <f t="shared" si="42"/>
        <v>817</v>
      </c>
      <c r="B818" s="12"/>
      <c r="C818" s="20"/>
      <c r="D818" s="18"/>
      <c r="H818" s="12" t="str">
        <f t="shared" si="43"/>
        <v>0 г. 0 мес. 0 дн.</v>
      </c>
      <c r="V818" s="12" t="str">
        <f t="shared" si="44"/>
        <v>0 г. 0 мес. 0 дн.</v>
      </c>
      <c r="W818" s="22"/>
      <c r="X818" s="72"/>
    </row>
    <row r="819" spans="1:24" ht="35.1" customHeight="1" x14ac:dyDescent="0.25">
      <c r="A819" s="12">
        <f t="shared" si="42"/>
        <v>818</v>
      </c>
      <c r="B819" s="12"/>
      <c r="C819" s="20"/>
      <c r="D819" s="18"/>
      <c r="H819" s="12" t="str">
        <f t="shared" si="43"/>
        <v>0 г. 0 мес. 0 дн.</v>
      </c>
      <c r="V819" s="12" t="str">
        <f t="shared" si="44"/>
        <v>0 г. 0 мес. 0 дн.</v>
      </c>
      <c r="W819" s="22"/>
      <c r="X819" s="72"/>
    </row>
    <row r="820" spans="1:24" ht="35.1" customHeight="1" x14ac:dyDescent="0.25">
      <c r="A820" s="12">
        <f t="shared" si="42"/>
        <v>819</v>
      </c>
      <c r="B820" s="12"/>
      <c r="C820" s="20"/>
      <c r="D820" s="18"/>
      <c r="H820" s="12" t="str">
        <f t="shared" si="43"/>
        <v>0 г. 0 мес. 0 дн.</v>
      </c>
      <c r="V820" s="12" t="str">
        <f t="shared" si="44"/>
        <v>0 г. 0 мес. 0 дн.</v>
      </c>
      <c r="W820" s="22"/>
      <c r="X820" s="72"/>
    </row>
    <row r="821" spans="1:24" ht="35.1" customHeight="1" x14ac:dyDescent="0.25">
      <c r="A821" s="12">
        <f t="shared" si="42"/>
        <v>820</v>
      </c>
      <c r="B821" s="12"/>
      <c r="C821" s="20"/>
      <c r="D821" s="18"/>
      <c r="H821" s="12" t="str">
        <f t="shared" si="43"/>
        <v>0 г. 0 мес. 0 дн.</v>
      </c>
      <c r="V821" s="12" t="str">
        <f t="shared" si="44"/>
        <v>0 г. 0 мес. 0 дн.</v>
      </c>
      <c r="W821" s="22"/>
      <c r="X821" s="72"/>
    </row>
    <row r="822" spans="1:24" ht="35.1" customHeight="1" x14ac:dyDescent="0.25">
      <c r="A822" s="12">
        <f t="shared" si="42"/>
        <v>821</v>
      </c>
      <c r="B822" s="12"/>
      <c r="C822" s="20"/>
      <c r="D822" s="18"/>
      <c r="H822" s="12" t="str">
        <f t="shared" si="43"/>
        <v>0 г. 0 мес. 0 дн.</v>
      </c>
      <c r="V822" s="12" t="str">
        <f t="shared" si="44"/>
        <v>0 г. 0 мес. 0 дн.</v>
      </c>
      <c r="W822" s="22"/>
      <c r="X822" s="72"/>
    </row>
    <row r="823" spans="1:24" ht="35.1" customHeight="1" x14ac:dyDescent="0.25">
      <c r="A823" s="12">
        <f t="shared" si="42"/>
        <v>822</v>
      </c>
      <c r="B823" s="12"/>
      <c r="C823" s="20"/>
      <c r="D823" s="18"/>
      <c r="H823" s="12" t="str">
        <f t="shared" si="43"/>
        <v>0 г. 0 мес. 0 дн.</v>
      </c>
      <c r="V823" s="12" t="str">
        <f t="shared" si="44"/>
        <v>0 г. 0 мес. 0 дн.</v>
      </c>
      <c r="W823" s="22"/>
      <c r="X823" s="72"/>
    </row>
    <row r="824" spans="1:24" ht="35.1" customHeight="1" x14ac:dyDescent="0.25">
      <c r="A824" s="12">
        <f t="shared" si="42"/>
        <v>823</v>
      </c>
      <c r="B824" s="12"/>
      <c r="C824" s="20"/>
      <c r="D824" s="18"/>
      <c r="H824" s="12" t="str">
        <f t="shared" si="43"/>
        <v>0 г. 0 мес. 0 дн.</v>
      </c>
      <c r="V824" s="12" t="str">
        <f t="shared" si="44"/>
        <v>0 г. 0 мес. 0 дн.</v>
      </c>
      <c r="W824" s="22"/>
      <c r="X824" s="72"/>
    </row>
    <row r="825" spans="1:24" ht="35.1" customHeight="1" x14ac:dyDescent="0.25">
      <c r="A825" s="12">
        <f t="shared" si="42"/>
        <v>824</v>
      </c>
      <c r="B825" s="12"/>
      <c r="C825" s="20"/>
      <c r="D825" s="18"/>
      <c r="H825" s="12" t="str">
        <f t="shared" si="43"/>
        <v>0 г. 0 мес. 0 дн.</v>
      </c>
      <c r="V825" s="12" t="str">
        <f t="shared" si="44"/>
        <v>0 г. 0 мес. 0 дн.</v>
      </c>
      <c r="W825" s="22"/>
      <c r="X825" s="72"/>
    </row>
    <row r="826" spans="1:24" ht="35.1" customHeight="1" x14ac:dyDescent="0.25">
      <c r="A826" s="12">
        <f t="shared" si="42"/>
        <v>825</v>
      </c>
      <c r="B826" s="12"/>
      <c r="C826" s="20"/>
      <c r="D826" s="18"/>
      <c r="H826" s="12" t="str">
        <f t="shared" si="43"/>
        <v>0 г. 0 мес. 0 дн.</v>
      </c>
      <c r="V826" s="12" t="str">
        <f t="shared" si="44"/>
        <v>0 г. 0 мес. 0 дн.</v>
      </c>
      <c r="W826" s="22"/>
      <c r="X826" s="72"/>
    </row>
    <row r="827" spans="1:24" ht="35.1" customHeight="1" x14ac:dyDescent="0.25">
      <c r="A827" s="12">
        <f t="shared" si="42"/>
        <v>826</v>
      </c>
      <c r="B827" s="12"/>
      <c r="C827" s="20"/>
      <c r="D827" s="18"/>
      <c r="H827" s="12" t="str">
        <f t="shared" si="43"/>
        <v>0 г. 0 мес. 0 дн.</v>
      </c>
      <c r="V827" s="12" t="str">
        <f t="shared" si="44"/>
        <v>0 г. 0 мес. 0 дн.</v>
      </c>
      <c r="W827" s="22"/>
      <c r="X827" s="72"/>
    </row>
    <row r="828" spans="1:24" ht="35.1" customHeight="1" x14ac:dyDescent="0.25">
      <c r="A828" s="12">
        <f t="shared" si="42"/>
        <v>827</v>
      </c>
      <c r="B828" s="12"/>
      <c r="C828" s="20"/>
      <c r="D828" s="18"/>
      <c r="H828" s="12" t="str">
        <f t="shared" si="43"/>
        <v>0 г. 0 мес. 0 дн.</v>
      </c>
      <c r="V828" s="12" t="str">
        <f t="shared" si="44"/>
        <v>0 г. 0 мес. 0 дн.</v>
      </c>
      <c r="W828" s="22"/>
      <c r="X828" s="72"/>
    </row>
    <row r="829" spans="1:24" ht="35.1" customHeight="1" x14ac:dyDescent="0.25">
      <c r="A829" s="12">
        <f t="shared" si="42"/>
        <v>828</v>
      </c>
      <c r="B829" s="12"/>
      <c r="C829" s="20"/>
      <c r="D829" s="18"/>
      <c r="H829" s="12" t="str">
        <f t="shared" si="43"/>
        <v>0 г. 0 мес. 0 дн.</v>
      </c>
      <c r="V829" s="12" t="str">
        <f t="shared" si="44"/>
        <v>0 г. 0 мес. 0 дн.</v>
      </c>
      <c r="W829" s="22"/>
      <c r="X829" s="72"/>
    </row>
    <row r="830" spans="1:24" ht="35.1" customHeight="1" x14ac:dyDescent="0.25">
      <c r="A830" s="12">
        <f t="shared" si="42"/>
        <v>829</v>
      </c>
      <c r="B830" s="12"/>
      <c r="C830" s="20"/>
      <c r="D830" s="18"/>
      <c r="H830" s="12" t="str">
        <f t="shared" si="43"/>
        <v>0 г. 0 мес. 0 дн.</v>
      </c>
      <c r="V830" s="12" t="str">
        <f t="shared" si="44"/>
        <v>0 г. 0 мес. 0 дн.</v>
      </c>
      <c r="W830" s="22"/>
      <c r="X830" s="72"/>
    </row>
    <row r="831" spans="1:24" ht="35.1" customHeight="1" x14ac:dyDescent="0.25">
      <c r="A831" s="12">
        <f t="shared" si="42"/>
        <v>830</v>
      </c>
      <c r="B831" s="12"/>
      <c r="C831" s="20"/>
      <c r="D831" s="18"/>
      <c r="H831" s="12" t="str">
        <f t="shared" si="43"/>
        <v>0 г. 0 мес. 0 дн.</v>
      </c>
      <c r="V831" s="12" t="str">
        <f t="shared" si="44"/>
        <v>0 г. 0 мес. 0 дн.</v>
      </c>
      <c r="W831" s="22"/>
      <c r="X831" s="72"/>
    </row>
    <row r="832" spans="1:24" ht="35.1" customHeight="1" x14ac:dyDescent="0.25">
      <c r="A832" s="12">
        <f t="shared" si="42"/>
        <v>831</v>
      </c>
      <c r="B832" s="12"/>
      <c r="C832" s="20"/>
      <c r="D832" s="18"/>
      <c r="H832" s="12" t="str">
        <f t="shared" si="43"/>
        <v>0 г. 0 мес. 0 дн.</v>
      </c>
      <c r="V832" s="12" t="str">
        <f t="shared" si="44"/>
        <v>0 г. 0 мес. 0 дн.</v>
      </c>
      <c r="W832" s="22"/>
      <c r="X832" s="72"/>
    </row>
    <row r="833" spans="1:24" ht="35.1" customHeight="1" x14ac:dyDescent="0.25">
      <c r="A833" s="12">
        <f t="shared" ref="A833:A896" si="45">ROW(A832)</f>
        <v>832</v>
      </c>
      <c r="B833" s="12"/>
      <c r="C833" s="20"/>
      <c r="D833" s="18"/>
      <c r="H833" s="12" t="str">
        <f t="shared" si="43"/>
        <v>0 г. 0 мес. 0 дн.</v>
      </c>
      <c r="V833" s="12" t="str">
        <f t="shared" si="44"/>
        <v>0 г. 0 мес. 0 дн.</v>
      </c>
      <c r="W833" s="22"/>
      <c r="X833" s="72"/>
    </row>
    <row r="834" spans="1:24" ht="35.1" customHeight="1" x14ac:dyDescent="0.25">
      <c r="A834" s="12">
        <f t="shared" si="45"/>
        <v>833</v>
      </c>
      <c r="B834" s="12"/>
      <c r="C834" s="20"/>
      <c r="D834" s="18"/>
      <c r="H834" s="12" t="str">
        <f t="shared" si="43"/>
        <v>0 г. 0 мес. 0 дн.</v>
      </c>
      <c r="V834" s="12" t="str">
        <f t="shared" si="44"/>
        <v>0 г. 0 мес. 0 дн.</v>
      </c>
      <c r="W834" s="22"/>
      <c r="X834" s="72"/>
    </row>
    <row r="835" spans="1:24" ht="35.1" customHeight="1" x14ac:dyDescent="0.25">
      <c r="A835" s="12">
        <f t="shared" si="45"/>
        <v>834</v>
      </c>
      <c r="B835" s="12"/>
      <c r="C835" s="20"/>
      <c r="D835" s="18"/>
      <c r="H835" s="12" t="str">
        <f t="shared" si="43"/>
        <v>0 г. 0 мес. 0 дн.</v>
      </c>
      <c r="V835" s="12" t="str">
        <f t="shared" si="44"/>
        <v>0 г. 0 мес. 0 дн.</v>
      </c>
      <c r="W835" s="22"/>
      <c r="X835" s="72"/>
    </row>
    <row r="836" spans="1:24" ht="35.1" customHeight="1" x14ac:dyDescent="0.25">
      <c r="A836" s="12">
        <f t="shared" si="45"/>
        <v>835</v>
      </c>
      <c r="B836" s="12"/>
      <c r="C836" s="20"/>
      <c r="D836" s="18"/>
      <c r="H836" s="12" t="str">
        <f t="shared" si="43"/>
        <v>0 г. 0 мес. 0 дн.</v>
      </c>
      <c r="V836" s="12" t="str">
        <f t="shared" si="44"/>
        <v>0 г. 0 мес. 0 дн.</v>
      </c>
      <c r="W836" s="22"/>
      <c r="X836" s="72"/>
    </row>
    <row r="837" spans="1:24" ht="35.1" customHeight="1" x14ac:dyDescent="0.25">
      <c r="A837" s="12">
        <f t="shared" si="45"/>
        <v>836</v>
      </c>
      <c r="B837" s="12"/>
      <c r="C837" s="20"/>
      <c r="D837" s="18"/>
      <c r="H837" s="12" t="str">
        <f t="shared" si="43"/>
        <v>0 г. 0 мес. 0 дн.</v>
      </c>
      <c r="V837" s="12" t="str">
        <f t="shared" si="44"/>
        <v>0 г. 0 мес. 0 дн.</v>
      </c>
      <c r="W837" s="22"/>
      <c r="X837" s="72"/>
    </row>
    <row r="838" spans="1:24" ht="35.1" customHeight="1" x14ac:dyDescent="0.25">
      <c r="A838" s="12">
        <f t="shared" si="45"/>
        <v>837</v>
      </c>
      <c r="B838" s="12"/>
      <c r="C838" s="20"/>
      <c r="D838" s="18"/>
      <c r="H838" s="12" t="str">
        <f t="shared" ref="H838:H901" si="46">DATEDIF(G838,D838,"y") &amp; " г. " &amp; DATEDIF(G838,D838,"ym") &amp; " мес. " &amp; DATEDIF(G838,D838,"md") &amp; " дн."</f>
        <v>0 г. 0 мес. 0 дн.</v>
      </c>
      <c r="V838" s="12" t="str">
        <f t="shared" si="44"/>
        <v>0 г. 0 мес. 0 дн.</v>
      </c>
      <c r="W838" s="22"/>
      <c r="X838" s="72"/>
    </row>
    <row r="839" spans="1:24" ht="35.1" customHeight="1" x14ac:dyDescent="0.25">
      <c r="A839" s="12">
        <f t="shared" si="45"/>
        <v>838</v>
      </c>
      <c r="B839" s="12"/>
      <c r="C839" s="20"/>
      <c r="D839" s="18"/>
      <c r="H839" s="12" t="str">
        <f t="shared" si="46"/>
        <v>0 г. 0 мес. 0 дн.</v>
      </c>
      <c r="V839" s="12" t="str">
        <f t="shared" si="44"/>
        <v>0 г. 0 мес. 0 дн.</v>
      </c>
      <c r="W839" s="22"/>
      <c r="X839" s="72"/>
    </row>
    <row r="840" spans="1:24" ht="35.1" customHeight="1" x14ac:dyDescent="0.25">
      <c r="A840" s="12">
        <f t="shared" si="45"/>
        <v>839</v>
      </c>
      <c r="B840" s="12"/>
      <c r="C840" s="20"/>
      <c r="D840" s="18"/>
      <c r="H840" s="12" t="str">
        <f t="shared" si="46"/>
        <v>0 г. 0 мес. 0 дн.</v>
      </c>
      <c r="V840" s="12" t="str">
        <f t="shared" si="44"/>
        <v>0 г. 0 мес. 0 дн.</v>
      </c>
      <c r="W840" s="22"/>
      <c r="X840" s="72"/>
    </row>
    <row r="841" spans="1:24" ht="35.1" customHeight="1" x14ac:dyDescent="0.25">
      <c r="A841" s="12">
        <f t="shared" si="45"/>
        <v>840</v>
      </c>
      <c r="B841" s="12"/>
      <c r="C841" s="20"/>
      <c r="D841" s="18"/>
      <c r="H841" s="12" t="str">
        <f t="shared" si="46"/>
        <v>0 г. 0 мес. 0 дн.</v>
      </c>
      <c r="V841" s="12" t="str">
        <f t="shared" si="44"/>
        <v>0 г. 0 мес. 0 дн.</v>
      </c>
      <c r="W841" s="22"/>
      <c r="X841" s="72"/>
    </row>
    <row r="842" spans="1:24" ht="35.1" customHeight="1" x14ac:dyDescent="0.25">
      <c r="A842" s="12">
        <f t="shared" si="45"/>
        <v>841</v>
      </c>
      <c r="B842" s="12"/>
      <c r="C842" s="20"/>
      <c r="D842" s="18"/>
      <c r="H842" s="12" t="str">
        <f t="shared" si="46"/>
        <v>0 г. 0 мес. 0 дн.</v>
      </c>
      <c r="V842" s="12" t="str">
        <f t="shared" si="44"/>
        <v>0 г. 0 мес. 0 дн.</v>
      </c>
      <c r="W842" s="22"/>
      <c r="X842" s="72"/>
    </row>
    <row r="843" spans="1:24" ht="35.1" customHeight="1" x14ac:dyDescent="0.25">
      <c r="A843" s="12">
        <f t="shared" si="45"/>
        <v>842</v>
      </c>
      <c r="B843" s="12"/>
      <c r="C843" s="20"/>
      <c r="D843" s="18"/>
      <c r="H843" s="12" t="str">
        <f t="shared" si="46"/>
        <v>0 г. 0 мес. 0 дн.</v>
      </c>
      <c r="V843" s="12" t="str">
        <f t="shared" si="44"/>
        <v>0 г. 0 мес. 0 дн.</v>
      </c>
      <c r="W843" s="22"/>
      <c r="X843" s="72"/>
    </row>
    <row r="844" spans="1:24" ht="35.1" customHeight="1" x14ac:dyDescent="0.25">
      <c r="A844" s="12">
        <f t="shared" si="45"/>
        <v>843</v>
      </c>
      <c r="B844" s="12"/>
      <c r="C844" s="20"/>
      <c r="D844" s="18"/>
      <c r="H844" s="12" t="str">
        <f t="shared" si="46"/>
        <v>0 г. 0 мес. 0 дн.</v>
      </c>
      <c r="V844" s="12" t="str">
        <f t="shared" si="44"/>
        <v>0 г. 0 мес. 0 дн.</v>
      </c>
      <c r="W844" s="22"/>
      <c r="X844" s="72"/>
    </row>
    <row r="845" spans="1:24" ht="35.1" customHeight="1" x14ac:dyDescent="0.25">
      <c r="A845" s="12">
        <f t="shared" si="45"/>
        <v>844</v>
      </c>
      <c r="B845" s="12"/>
      <c r="C845" s="20"/>
      <c r="D845" s="18"/>
      <c r="H845" s="12" t="str">
        <f t="shared" si="46"/>
        <v>0 г. 0 мес. 0 дн.</v>
      </c>
      <c r="V845" s="12" t="str">
        <f t="shared" si="44"/>
        <v>0 г. 0 мес. 0 дн.</v>
      </c>
      <c r="W845" s="22"/>
      <c r="X845" s="72"/>
    </row>
    <row r="846" spans="1:24" ht="35.1" customHeight="1" x14ac:dyDescent="0.25">
      <c r="A846" s="12">
        <f t="shared" si="45"/>
        <v>845</v>
      </c>
      <c r="B846" s="12"/>
      <c r="C846" s="20"/>
      <c r="D846" s="18"/>
      <c r="H846" s="12" t="str">
        <f t="shared" si="46"/>
        <v>0 г. 0 мес. 0 дн.</v>
      </c>
      <c r="V846" s="12" t="str">
        <f t="shared" si="44"/>
        <v>0 г. 0 мес. 0 дн.</v>
      </c>
      <c r="W846" s="22"/>
      <c r="X846" s="72"/>
    </row>
    <row r="847" spans="1:24" ht="35.1" customHeight="1" x14ac:dyDescent="0.25">
      <c r="A847" s="12">
        <f t="shared" si="45"/>
        <v>846</v>
      </c>
      <c r="B847" s="12"/>
      <c r="C847" s="20"/>
      <c r="D847" s="18"/>
      <c r="H847" s="12" t="str">
        <f t="shared" si="46"/>
        <v>0 г. 0 мес. 0 дн.</v>
      </c>
      <c r="V847" s="12" t="str">
        <f t="shared" si="44"/>
        <v>0 г. 0 мес. 0 дн.</v>
      </c>
      <c r="W847" s="22"/>
      <c r="X847" s="72"/>
    </row>
    <row r="848" spans="1:24" ht="35.1" customHeight="1" x14ac:dyDescent="0.25">
      <c r="A848" s="12">
        <f t="shared" si="45"/>
        <v>847</v>
      </c>
      <c r="B848" s="12"/>
      <c r="C848" s="20"/>
      <c r="D848" s="18"/>
      <c r="H848" s="12" t="str">
        <f t="shared" si="46"/>
        <v>0 г. 0 мес. 0 дн.</v>
      </c>
      <c r="V848" s="12" t="str">
        <f t="shared" si="44"/>
        <v>0 г. 0 мес. 0 дн.</v>
      </c>
      <c r="W848" s="22"/>
      <c r="X848" s="72"/>
    </row>
    <row r="849" spans="1:24" ht="35.1" customHeight="1" x14ac:dyDescent="0.25">
      <c r="A849" s="12">
        <f t="shared" si="45"/>
        <v>848</v>
      </c>
      <c r="B849" s="12"/>
      <c r="C849" s="20"/>
      <c r="D849" s="18"/>
      <c r="H849" s="12" t="str">
        <f t="shared" si="46"/>
        <v>0 г. 0 мес. 0 дн.</v>
      </c>
      <c r="V849" s="12" t="str">
        <f t="shared" si="44"/>
        <v>0 г. 0 мес. 0 дн.</v>
      </c>
      <c r="W849" s="22"/>
      <c r="X849" s="72"/>
    </row>
    <row r="850" spans="1:24" ht="35.1" customHeight="1" x14ac:dyDescent="0.25">
      <c r="A850" s="12">
        <f t="shared" si="45"/>
        <v>849</v>
      </c>
      <c r="B850" s="12"/>
      <c r="C850" s="20"/>
      <c r="D850" s="18"/>
      <c r="H850" s="12" t="str">
        <f t="shared" si="46"/>
        <v>0 г. 0 мес. 0 дн.</v>
      </c>
      <c r="V850" s="12" t="str">
        <f t="shared" si="44"/>
        <v>0 г. 0 мес. 0 дн.</v>
      </c>
      <c r="W850" s="22"/>
      <c r="X850" s="72"/>
    </row>
    <row r="851" spans="1:24" ht="35.1" customHeight="1" x14ac:dyDescent="0.25">
      <c r="A851" s="12">
        <f t="shared" si="45"/>
        <v>850</v>
      </c>
      <c r="B851" s="12"/>
      <c r="C851" s="20"/>
      <c r="D851" s="18"/>
      <c r="H851" s="12" t="str">
        <f t="shared" si="46"/>
        <v>0 г. 0 мес. 0 дн.</v>
      </c>
      <c r="V851" s="12" t="str">
        <f t="shared" si="44"/>
        <v>0 г. 0 мес. 0 дн.</v>
      </c>
      <c r="W851" s="22"/>
      <c r="X851" s="72"/>
    </row>
    <row r="852" spans="1:24" ht="35.1" customHeight="1" x14ac:dyDescent="0.25">
      <c r="A852" s="12">
        <f t="shared" si="45"/>
        <v>851</v>
      </c>
      <c r="B852" s="12"/>
      <c r="C852" s="20"/>
      <c r="D852" s="18"/>
      <c r="H852" s="12" t="str">
        <f t="shared" si="46"/>
        <v>0 г. 0 мес. 0 дн.</v>
      </c>
      <c r="V852" s="12" t="str">
        <f t="shared" si="44"/>
        <v>0 г. 0 мес. 0 дн.</v>
      </c>
      <c r="W852" s="22"/>
      <c r="X852" s="72"/>
    </row>
    <row r="853" spans="1:24" ht="35.1" customHeight="1" x14ac:dyDescent="0.25">
      <c r="A853" s="12">
        <f t="shared" si="45"/>
        <v>852</v>
      </c>
      <c r="B853" s="12"/>
      <c r="C853" s="20"/>
      <c r="D853" s="18"/>
      <c r="H853" s="12" t="str">
        <f t="shared" si="46"/>
        <v>0 г. 0 мес. 0 дн.</v>
      </c>
      <c r="V853" s="12" t="str">
        <f t="shared" si="44"/>
        <v>0 г. 0 мес. 0 дн.</v>
      </c>
      <c r="W853" s="22"/>
      <c r="X853" s="72"/>
    </row>
    <row r="854" spans="1:24" ht="35.1" customHeight="1" x14ac:dyDescent="0.25">
      <c r="A854" s="12">
        <f t="shared" si="45"/>
        <v>853</v>
      </c>
      <c r="B854" s="12"/>
      <c r="C854" s="20"/>
      <c r="D854" s="18"/>
      <c r="H854" s="12" t="str">
        <f t="shared" si="46"/>
        <v>0 г. 0 мес. 0 дн.</v>
      </c>
      <c r="V854" s="12" t="str">
        <f t="shared" si="44"/>
        <v>0 г. 0 мес. 0 дн.</v>
      </c>
      <c r="W854" s="22"/>
      <c r="X854" s="72"/>
    </row>
    <row r="855" spans="1:24" ht="35.1" customHeight="1" x14ac:dyDescent="0.25">
      <c r="A855" s="12">
        <f t="shared" si="45"/>
        <v>854</v>
      </c>
      <c r="B855" s="12"/>
      <c r="C855" s="20"/>
      <c r="D855" s="18"/>
      <c r="H855" s="12" t="str">
        <f t="shared" si="46"/>
        <v>0 г. 0 мес. 0 дн.</v>
      </c>
      <c r="V855" s="12" t="str">
        <f t="shared" si="44"/>
        <v>0 г. 0 мес. 0 дн.</v>
      </c>
      <c r="W855" s="22"/>
      <c r="X855" s="72"/>
    </row>
    <row r="856" spans="1:24" ht="35.1" customHeight="1" x14ac:dyDescent="0.25">
      <c r="A856" s="12">
        <f t="shared" si="45"/>
        <v>855</v>
      </c>
      <c r="B856" s="12"/>
      <c r="C856" s="20"/>
      <c r="D856" s="18"/>
      <c r="H856" s="12" t="str">
        <f t="shared" si="46"/>
        <v>0 г. 0 мес. 0 дн.</v>
      </c>
      <c r="V856" s="12" t="str">
        <f t="shared" ref="V856:V919" si="47">DATEDIF(D856,T856,"y") &amp; " г. " &amp; DATEDIF(D856,T856,"ym") &amp; " мес. " &amp; DATEDIF(D856,T856,"md") &amp; " дн."</f>
        <v>0 г. 0 мес. 0 дн.</v>
      </c>
      <c r="W856" s="22"/>
      <c r="X856" s="72"/>
    </row>
    <row r="857" spans="1:24" ht="35.1" customHeight="1" x14ac:dyDescent="0.25">
      <c r="A857" s="12">
        <f t="shared" si="45"/>
        <v>856</v>
      </c>
      <c r="B857" s="12"/>
      <c r="C857" s="20"/>
      <c r="D857" s="18"/>
      <c r="H857" s="12" t="str">
        <f t="shared" si="46"/>
        <v>0 г. 0 мес. 0 дн.</v>
      </c>
      <c r="V857" s="12" t="str">
        <f t="shared" si="47"/>
        <v>0 г. 0 мес. 0 дн.</v>
      </c>
      <c r="W857" s="22"/>
      <c r="X857" s="72"/>
    </row>
    <row r="858" spans="1:24" ht="35.1" customHeight="1" x14ac:dyDescent="0.25">
      <c r="A858" s="12">
        <f t="shared" si="45"/>
        <v>857</v>
      </c>
      <c r="B858" s="12"/>
      <c r="C858" s="20"/>
      <c r="D858" s="18"/>
      <c r="H858" s="12" t="str">
        <f t="shared" si="46"/>
        <v>0 г. 0 мес. 0 дн.</v>
      </c>
      <c r="V858" s="12" t="str">
        <f t="shared" si="47"/>
        <v>0 г. 0 мес. 0 дн.</v>
      </c>
      <c r="W858" s="22"/>
      <c r="X858" s="72"/>
    </row>
    <row r="859" spans="1:24" ht="35.1" customHeight="1" x14ac:dyDescent="0.25">
      <c r="A859" s="12">
        <f t="shared" si="45"/>
        <v>858</v>
      </c>
      <c r="B859" s="12"/>
      <c r="C859" s="20"/>
      <c r="D859" s="18"/>
      <c r="H859" s="12" t="str">
        <f t="shared" si="46"/>
        <v>0 г. 0 мес. 0 дн.</v>
      </c>
      <c r="V859" s="12" t="str">
        <f t="shared" si="47"/>
        <v>0 г. 0 мес. 0 дн.</v>
      </c>
      <c r="W859" s="22"/>
      <c r="X859" s="72"/>
    </row>
    <row r="860" spans="1:24" ht="35.1" customHeight="1" x14ac:dyDescent="0.25">
      <c r="A860" s="12">
        <f t="shared" si="45"/>
        <v>859</v>
      </c>
      <c r="B860" s="12"/>
      <c r="C860" s="20"/>
      <c r="D860" s="18"/>
      <c r="H860" s="12" t="str">
        <f t="shared" si="46"/>
        <v>0 г. 0 мес. 0 дн.</v>
      </c>
      <c r="V860" s="12" t="str">
        <f t="shared" si="47"/>
        <v>0 г. 0 мес. 0 дн.</v>
      </c>
      <c r="W860" s="22"/>
      <c r="X860" s="72"/>
    </row>
    <row r="861" spans="1:24" ht="35.1" customHeight="1" x14ac:dyDescent="0.25">
      <c r="A861" s="12">
        <f t="shared" si="45"/>
        <v>860</v>
      </c>
      <c r="B861" s="12"/>
      <c r="C861" s="20"/>
      <c r="D861" s="18"/>
      <c r="H861" s="12" t="str">
        <f t="shared" si="46"/>
        <v>0 г. 0 мес. 0 дн.</v>
      </c>
      <c r="V861" s="12" t="str">
        <f t="shared" si="47"/>
        <v>0 г. 0 мес. 0 дн.</v>
      </c>
      <c r="W861" s="22"/>
      <c r="X861" s="72"/>
    </row>
    <row r="862" spans="1:24" ht="35.1" customHeight="1" x14ac:dyDescent="0.25">
      <c r="A862" s="12">
        <f t="shared" si="45"/>
        <v>861</v>
      </c>
      <c r="B862" s="12"/>
      <c r="C862" s="20"/>
      <c r="D862" s="18"/>
      <c r="H862" s="12" t="str">
        <f t="shared" si="46"/>
        <v>0 г. 0 мес. 0 дн.</v>
      </c>
      <c r="V862" s="12" t="str">
        <f t="shared" si="47"/>
        <v>0 г. 0 мес. 0 дн.</v>
      </c>
      <c r="W862" s="22"/>
      <c r="X862" s="72"/>
    </row>
    <row r="863" spans="1:24" ht="35.1" customHeight="1" x14ac:dyDescent="0.25">
      <c r="A863" s="12">
        <f t="shared" si="45"/>
        <v>862</v>
      </c>
      <c r="B863" s="12"/>
      <c r="C863" s="20"/>
      <c r="D863" s="18"/>
      <c r="H863" s="12" t="str">
        <f t="shared" si="46"/>
        <v>0 г. 0 мес. 0 дн.</v>
      </c>
      <c r="V863" s="12" t="str">
        <f t="shared" si="47"/>
        <v>0 г. 0 мес. 0 дн.</v>
      </c>
      <c r="W863" s="22"/>
      <c r="X863" s="72"/>
    </row>
    <row r="864" spans="1:24" ht="35.1" customHeight="1" x14ac:dyDescent="0.25">
      <c r="A864" s="12">
        <f t="shared" si="45"/>
        <v>863</v>
      </c>
      <c r="B864" s="12"/>
      <c r="C864" s="20"/>
      <c r="D864" s="18"/>
      <c r="H864" s="12" t="str">
        <f t="shared" si="46"/>
        <v>0 г. 0 мес. 0 дн.</v>
      </c>
      <c r="V864" s="12" t="str">
        <f t="shared" si="47"/>
        <v>0 г. 0 мес. 0 дн.</v>
      </c>
      <c r="W864" s="22"/>
      <c r="X864" s="72"/>
    </row>
    <row r="865" spans="1:24" ht="35.1" customHeight="1" x14ac:dyDescent="0.25">
      <c r="A865" s="12">
        <f t="shared" si="45"/>
        <v>864</v>
      </c>
      <c r="B865" s="12"/>
      <c r="C865" s="20"/>
      <c r="D865" s="18"/>
      <c r="H865" s="12" t="str">
        <f t="shared" si="46"/>
        <v>0 г. 0 мес. 0 дн.</v>
      </c>
      <c r="V865" s="12" t="str">
        <f t="shared" si="47"/>
        <v>0 г. 0 мес. 0 дн.</v>
      </c>
      <c r="W865" s="22"/>
      <c r="X865" s="72"/>
    </row>
    <row r="866" spans="1:24" ht="35.1" customHeight="1" x14ac:dyDescent="0.25">
      <c r="A866" s="12">
        <f t="shared" si="45"/>
        <v>865</v>
      </c>
      <c r="B866" s="12"/>
      <c r="C866" s="20"/>
      <c r="D866" s="18"/>
      <c r="H866" s="12" t="str">
        <f t="shared" si="46"/>
        <v>0 г. 0 мес. 0 дн.</v>
      </c>
      <c r="V866" s="12" t="str">
        <f t="shared" si="47"/>
        <v>0 г. 0 мес. 0 дн.</v>
      </c>
      <c r="W866" s="22"/>
      <c r="X866" s="72"/>
    </row>
    <row r="867" spans="1:24" ht="35.1" customHeight="1" x14ac:dyDescent="0.25">
      <c r="A867" s="12">
        <f t="shared" si="45"/>
        <v>866</v>
      </c>
      <c r="B867" s="12"/>
      <c r="C867" s="20"/>
      <c r="D867" s="18"/>
      <c r="H867" s="12" t="str">
        <f t="shared" si="46"/>
        <v>0 г. 0 мес. 0 дн.</v>
      </c>
      <c r="V867" s="12" t="str">
        <f t="shared" si="47"/>
        <v>0 г. 0 мес. 0 дн.</v>
      </c>
      <c r="W867" s="22"/>
      <c r="X867" s="72"/>
    </row>
    <row r="868" spans="1:24" ht="35.1" customHeight="1" x14ac:dyDescent="0.25">
      <c r="A868" s="12">
        <f t="shared" si="45"/>
        <v>867</v>
      </c>
      <c r="B868" s="12"/>
      <c r="C868" s="20"/>
      <c r="D868" s="18"/>
      <c r="H868" s="12" t="str">
        <f t="shared" si="46"/>
        <v>0 г. 0 мес. 0 дн.</v>
      </c>
      <c r="V868" s="12" t="str">
        <f t="shared" si="47"/>
        <v>0 г. 0 мес. 0 дн.</v>
      </c>
      <c r="W868" s="22"/>
      <c r="X868" s="72"/>
    </row>
    <row r="869" spans="1:24" ht="35.1" customHeight="1" x14ac:dyDescent="0.25">
      <c r="A869" s="12">
        <f t="shared" si="45"/>
        <v>868</v>
      </c>
      <c r="B869" s="12"/>
      <c r="C869" s="20"/>
      <c r="D869" s="18"/>
      <c r="H869" s="12" t="str">
        <f t="shared" si="46"/>
        <v>0 г. 0 мес. 0 дн.</v>
      </c>
      <c r="V869" s="12" t="str">
        <f t="shared" si="47"/>
        <v>0 г. 0 мес. 0 дн.</v>
      </c>
      <c r="W869" s="22"/>
      <c r="X869" s="72"/>
    </row>
    <row r="870" spans="1:24" ht="35.1" customHeight="1" x14ac:dyDescent="0.25">
      <c r="A870" s="12">
        <f t="shared" si="45"/>
        <v>869</v>
      </c>
      <c r="B870" s="12"/>
      <c r="C870" s="20"/>
      <c r="D870" s="18"/>
      <c r="H870" s="12" t="str">
        <f t="shared" si="46"/>
        <v>0 г. 0 мес. 0 дн.</v>
      </c>
      <c r="V870" s="12" t="str">
        <f t="shared" si="47"/>
        <v>0 г. 0 мес. 0 дн.</v>
      </c>
      <c r="W870" s="22"/>
      <c r="X870" s="72"/>
    </row>
    <row r="871" spans="1:24" ht="35.1" customHeight="1" x14ac:dyDescent="0.25">
      <c r="A871" s="12">
        <f t="shared" si="45"/>
        <v>870</v>
      </c>
      <c r="B871" s="12"/>
      <c r="C871" s="20"/>
      <c r="D871" s="18"/>
      <c r="H871" s="12" t="str">
        <f t="shared" si="46"/>
        <v>0 г. 0 мес. 0 дн.</v>
      </c>
      <c r="V871" s="12" t="str">
        <f t="shared" si="47"/>
        <v>0 г. 0 мес. 0 дн.</v>
      </c>
      <c r="W871" s="22"/>
      <c r="X871" s="72"/>
    </row>
    <row r="872" spans="1:24" ht="35.1" customHeight="1" x14ac:dyDescent="0.25">
      <c r="A872" s="12">
        <f t="shared" si="45"/>
        <v>871</v>
      </c>
      <c r="B872" s="12"/>
      <c r="C872" s="20"/>
      <c r="D872" s="18"/>
      <c r="H872" s="12" t="str">
        <f t="shared" si="46"/>
        <v>0 г. 0 мес. 0 дн.</v>
      </c>
      <c r="V872" s="12" t="str">
        <f t="shared" si="47"/>
        <v>0 г. 0 мес. 0 дн.</v>
      </c>
      <c r="W872" s="22"/>
      <c r="X872" s="72"/>
    </row>
    <row r="873" spans="1:24" ht="35.1" customHeight="1" x14ac:dyDescent="0.25">
      <c r="A873" s="12">
        <f t="shared" si="45"/>
        <v>872</v>
      </c>
      <c r="B873" s="12"/>
      <c r="C873" s="20"/>
      <c r="D873" s="18"/>
      <c r="H873" s="12" t="str">
        <f t="shared" si="46"/>
        <v>0 г. 0 мес. 0 дн.</v>
      </c>
      <c r="V873" s="12" t="str">
        <f t="shared" si="47"/>
        <v>0 г. 0 мес. 0 дн.</v>
      </c>
      <c r="W873" s="22"/>
      <c r="X873" s="72"/>
    </row>
    <row r="874" spans="1:24" ht="35.1" customHeight="1" x14ac:dyDescent="0.25">
      <c r="A874" s="12">
        <f t="shared" si="45"/>
        <v>873</v>
      </c>
      <c r="B874" s="12"/>
      <c r="C874" s="20"/>
      <c r="D874" s="18"/>
      <c r="H874" s="12" t="str">
        <f t="shared" si="46"/>
        <v>0 г. 0 мес. 0 дн.</v>
      </c>
      <c r="V874" s="12" t="str">
        <f t="shared" si="47"/>
        <v>0 г. 0 мес. 0 дн.</v>
      </c>
      <c r="W874" s="22"/>
      <c r="X874" s="72"/>
    </row>
    <row r="875" spans="1:24" ht="35.1" customHeight="1" x14ac:dyDescent="0.25">
      <c r="A875" s="12">
        <f t="shared" si="45"/>
        <v>874</v>
      </c>
      <c r="B875" s="12"/>
      <c r="C875" s="20"/>
      <c r="D875" s="18"/>
      <c r="H875" s="12" t="str">
        <f t="shared" si="46"/>
        <v>0 г. 0 мес. 0 дн.</v>
      </c>
      <c r="V875" s="12" t="str">
        <f t="shared" si="47"/>
        <v>0 г. 0 мес. 0 дн.</v>
      </c>
      <c r="W875" s="22"/>
      <c r="X875" s="72"/>
    </row>
    <row r="876" spans="1:24" ht="35.1" customHeight="1" x14ac:dyDescent="0.25">
      <c r="A876" s="12">
        <f t="shared" si="45"/>
        <v>875</v>
      </c>
      <c r="B876" s="12"/>
      <c r="C876" s="20"/>
      <c r="D876" s="18"/>
      <c r="H876" s="12" t="str">
        <f t="shared" si="46"/>
        <v>0 г. 0 мес. 0 дн.</v>
      </c>
      <c r="V876" s="12" t="str">
        <f t="shared" si="47"/>
        <v>0 г. 0 мес. 0 дн.</v>
      </c>
      <c r="W876" s="22"/>
      <c r="X876" s="72"/>
    </row>
    <row r="877" spans="1:24" ht="35.1" customHeight="1" x14ac:dyDescent="0.25">
      <c r="A877" s="12">
        <f t="shared" si="45"/>
        <v>876</v>
      </c>
      <c r="B877" s="12"/>
      <c r="C877" s="20"/>
      <c r="D877" s="18"/>
      <c r="H877" s="12" t="str">
        <f t="shared" si="46"/>
        <v>0 г. 0 мес. 0 дн.</v>
      </c>
      <c r="V877" s="12" t="str">
        <f t="shared" si="47"/>
        <v>0 г. 0 мес. 0 дн.</v>
      </c>
      <c r="W877" s="22"/>
      <c r="X877" s="72"/>
    </row>
    <row r="878" spans="1:24" ht="35.1" customHeight="1" x14ac:dyDescent="0.25">
      <c r="A878" s="12">
        <f t="shared" si="45"/>
        <v>877</v>
      </c>
      <c r="B878" s="12"/>
      <c r="C878" s="20"/>
      <c r="D878" s="18"/>
      <c r="H878" s="12" t="str">
        <f t="shared" si="46"/>
        <v>0 г. 0 мес. 0 дн.</v>
      </c>
      <c r="V878" s="12" t="str">
        <f t="shared" si="47"/>
        <v>0 г. 0 мес. 0 дн.</v>
      </c>
      <c r="W878" s="22"/>
      <c r="X878" s="72"/>
    </row>
    <row r="879" spans="1:24" ht="35.1" customHeight="1" x14ac:dyDescent="0.25">
      <c r="A879" s="12">
        <f t="shared" si="45"/>
        <v>878</v>
      </c>
      <c r="B879" s="12"/>
      <c r="C879" s="20"/>
      <c r="D879" s="18"/>
      <c r="H879" s="12" t="str">
        <f t="shared" si="46"/>
        <v>0 г. 0 мес. 0 дн.</v>
      </c>
      <c r="V879" s="12" t="str">
        <f t="shared" si="47"/>
        <v>0 г. 0 мес. 0 дн.</v>
      </c>
      <c r="W879" s="22"/>
      <c r="X879" s="72"/>
    </row>
    <row r="880" spans="1:24" ht="35.1" customHeight="1" x14ac:dyDescent="0.25">
      <c r="A880" s="12">
        <f t="shared" si="45"/>
        <v>879</v>
      </c>
      <c r="B880" s="12"/>
      <c r="C880" s="20"/>
      <c r="D880" s="18"/>
      <c r="H880" s="12" t="str">
        <f t="shared" si="46"/>
        <v>0 г. 0 мес. 0 дн.</v>
      </c>
      <c r="V880" s="12" t="str">
        <f t="shared" si="47"/>
        <v>0 г. 0 мес. 0 дн.</v>
      </c>
      <c r="W880" s="22"/>
      <c r="X880" s="72"/>
    </row>
    <row r="881" spans="1:24" ht="35.1" customHeight="1" x14ac:dyDescent="0.25">
      <c r="A881" s="12">
        <f t="shared" si="45"/>
        <v>880</v>
      </c>
      <c r="B881" s="12"/>
      <c r="C881" s="20"/>
      <c r="D881" s="18"/>
      <c r="H881" s="12" t="str">
        <f t="shared" si="46"/>
        <v>0 г. 0 мес. 0 дн.</v>
      </c>
      <c r="V881" s="12" t="str">
        <f t="shared" si="47"/>
        <v>0 г. 0 мес. 0 дн.</v>
      </c>
      <c r="W881" s="22"/>
      <c r="X881" s="72"/>
    </row>
    <row r="882" spans="1:24" ht="35.1" customHeight="1" x14ac:dyDescent="0.25">
      <c r="A882" s="12">
        <f t="shared" si="45"/>
        <v>881</v>
      </c>
      <c r="B882" s="12"/>
      <c r="C882" s="20"/>
      <c r="D882" s="18"/>
      <c r="H882" s="12" t="str">
        <f t="shared" si="46"/>
        <v>0 г. 0 мес. 0 дн.</v>
      </c>
      <c r="V882" s="12" t="str">
        <f t="shared" si="47"/>
        <v>0 г. 0 мес. 0 дн.</v>
      </c>
      <c r="W882" s="22"/>
      <c r="X882" s="72"/>
    </row>
    <row r="883" spans="1:24" ht="35.1" customHeight="1" x14ac:dyDescent="0.25">
      <c r="A883" s="12">
        <f t="shared" si="45"/>
        <v>882</v>
      </c>
      <c r="B883" s="12"/>
      <c r="C883" s="20"/>
      <c r="D883" s="18"/>
      <c r="H883" s="12" t="str">
        <f t="shared" si="46"/>
        <v>0 г. 0 мес. 0 дн.</v>
      </c>
      <c r="V883" s="12" t="str">
        <f t="shared" si="47"/>
        <v>0 г. 0 мес. 0 дн.</v>
      </c>
      <c r="W883" s="22"/>
      <c r="X883" s="72"/>
    </row>
    <row r="884" spans="1:24" ht="35.1" customHeight="1" x14ac:dyDescent="0.25">
      <c r="A884" s="12">
        <f t="shared" si="45"/>
        <v>883</v>
      </c>
      <c r="B884" s="12"/>
      <c r="C884" s="20"/>
      <c r="D884" s="18"/>
      <c r="H884" s="12" t="str">
        <f t="shared" si="46"/>
        <v>0 г. 0 мес. 0 дн.</v>
      </c>
      <c r="V884" s="12" t="str">
        <f t="shared" si="47"/>
        <v>0 г. 0 мес. 0 дн.</v>
      </c>
      <c r="W884" s="22"/>
      <c r="X884" s="72"/>
    </row>
    <row r="885" spans="1:24" ht="35.1" customHeight="1" x14ac:dyDescent="0.25">
      <c r="A885" s="12">
        <f t="shared" si="45"/>
        <v>884</v>
      </c>
      <c r="B885" s="12"/>
      <c r="C885" s="20"/>
      <c r="D885" s="18"/>
      <c r="H885" s="12" t="str">
        <f t="shared" si="46"/>
        <v>0 г. 0 мес. 0 дн.</v>
      </c>
      <c r="V885" s="12" t="str">
        <f t="shared" si="47"/>
        <v>0 г. 0 мес. 0 дн.</v>
      </c>
      <c r="W885" s="22"/>
      <c r="X885" s="72"/>
    </row>
    <row r="886" spans="1:24" ht="35.1" customHeight="1" x14ac:dyDescent="0.25">
      <c r="A886" s="12">
        <f t="shared" si="45"/>
        <v>885</v>
      </c>
      <c r="B886" s="12"/>
      <c r="C886" s="20"/>
      <c r="D886" s="18"/>
      <c r="H886" s="12" t="str">
        <f t="shared" si="46"/>
        <v>0 г. 0 мес. 0 дн.</v>
      </c>
      <c r="V886" s="12" t="str">
        <f t="shared" si="47"/>
        <v>0 г. 0 мес. 0 дн.</v>
      </c>
      <c r="W886" s="22"/>
      <c r="X886" s="72"/>
    </row>
    <row r="887" spans="1:24" ht="35.1" customHeight="1" x14ac:dyDescent="0.25">
      <c r="A887" s="12">
        <f t="shared" si="45"/>
        <v>886</v>
      </c>
      <c r="B887" s="12"/>
      <c r="C887" s="20"/>
      <c r="D887" s="18"/>
      <c r="H887" s="12" t="str">
        <f t="shared" si="46"/>
        <v>0 г. 0 мес. 0 дн.</v>
      </c>
      <c r="V887" s="12" t="str">
        <f t="shared" si="47"/>
        <v>0 г. 0 мес. 0 дн.</v>
      </c>
      <c r="W887" s="22"/>
      <c r="X887" s="72"/>
    </row>
    <row r="888" spans="1:24" ht="35.1" customHeight="1" x14ac:dyDescent="0.25">
      <c r="A888" s="12">
        <f t="shared" si="45"/>
        <v>887</v>
      </c>
      <c r="B888" s="12"/>
      <c r="C888" s="20"/>
      <c r="D888" s="18"/>
      <c r="H888" s="12" t="str">
        <f t="shared" si="46"/>
        <v>0 г. 0 мес. 0 дн.</v>
      </c>
      <c r="V888" s="12" t="str">
        <f t="shared" si="47"/>
        <v>0 г. 0 мес. 0 дн.</v>
      </c>
      <c r="W888" s="22"/>
      <c r="X888" s="72"/>
    </row>
    <row r="889" spans="1:24" ht="35.1" customHeight="1" x14ac:dyDescent="0.25">
      <c r="A889" s="12">
        <f t="shared" si="45"/>
        <v>888</v>
      </c>
      <c r="B889" s="12"/>
      <c r="C889" s="20"/>
      <c r="D889" s="18"/>
      <c r="H889" s="12" t="str">
        <f t="shared" si="46"/>
        <v>0 г. 0 мес. 0 дн.</v>
      </c>
      <c r="V889" s="12" t="str">
        <f t="shared" si="47"/>
        <v>0 г. 0 мес. 0 дн.</v>
      </c>
      <c r="W889" s="22"/>
      <c r="X889" s="72"/>
    </row>
    <row r="890" spans="1:24" ht="35.1" customHeight="1" x14ac:dyDescent="0.25">
      <c r="A890" s="12">
        <f t="shared" si="45"/>
        <v>889</v>
      </c>
      <c r="B890" s="12"/>
      <c r="C890" s="20"/>
      <c r="D890" s="18"/>
      <c r="H890" s="12" t="str">
        <f t="shared" si="46"/>
        <v>0 г. 0 мес. 0 дн.</v>
      </c>
      <c r="V890" s="12" t="str">
        <f t="shared" si="47"/>
        <v>0 г. 0 мес. 0 дн.</v>
      </c>
      <c r="W890" s="22"/>
      <c r="X890" s="72"/>
    </row>
    <row r="891" spans="1:24" ht="35.1" customHeight="1" x14ac:dyDescent="0.25">
      <c r="A891" s="12">
        <f t="shared" si="45"/>
        <v>890</v>
      </c>
      <c r="B891" s="12"/>
      <c r="C891" s="20"/>
      <c r="D891" s="18"/>
      <c r="H891" s="12" t="str">
        <f t="shared" si="46"/>
        <v>0 г. 0 мес. 0 дн.</v>
      </c>
      <c r="V891" s="12" t="str">
        <f t="shared" si="47"/>
        <v>0 г. 0 мес. 0 дн.</v>
      </c>
      <c r="W891" s="22"/>
      <c r="X891" s="72"/>
    </row>
    <row r="892" spans="1:24" ht="35.1" customHeight="1" x14ac:dyDescent="0.25">
      <c r="A892" s="12">
        <f t="shared" si="45"/>
        <v>891</v>
      </c>
      <c r="B892" s="12"/>
      <c r="C892" s="20"/>
      <c r="D892" s="18"/>
      <c r="H892" s="12" t="str">
        <f t="shared" si="46"/>
        <v>0 г. 0 мес. 0 дн.</v>
      </c>
      <c r="V892" s="12" t="str">
        <f t="shared" si="47"/>
        <v>0 г. 0 мес. 0 дн.</v>
      </c>
      <c r="W892" s="22"/>
      <c r="X892" s="72"/>
    </row>
    <row r="893" spans="1:24" ht="35.1" customHeight="1" x14ac:dyDescent="0.25">
      <c r="A893" s="12">
        <f t="shared" si="45"/>
        <v>892</v>
      </c>
      <c r="B893" s="12"/>
      <c r="C893" s="20"/>
      <c r="D893" s="18"/>
      <c r="H893" s="12" t="str">
        <f t="shared" si="46"/>
        <v>0 г. 0 мес. 0 дн.</v>
      </c>
      <c r="V893" s="12" t="str">
        <f t="shared" si="47"/>
        <v>0 г. 0 мес. 0 дн.</v>
      </c>
      <c r="W893" s="22"/>
      <c r="X893" s="72"/>
    </row>
    <row r="894" spans="1:24" ht="35.1" customHeight="1" x14ac:dyDescent="0.25">
      <c r="A894" s="12">
        <f t="shared" si="45"/>
        <v>893</v>
      </c>
      <c r="B894" s="12"/>
      <c r="C894" s="20"/>
      <c r="D894" s="18"/>
      <c r="H894" s="12" t="str">
        <f t="shared" si="46"/>
        <v>0 г. 0 мес. 0 дн.</v>
      </c>
      <c r="V894" s="12" t="str">
        <f t="shared" si="47"/>
        <v>0 г. 0 мес. 0 дн.</v>
      </c>
      <c r="W894" s="22"/>
      <c r="X894" s="72"/>
    </row>
    <row r="895" spans="1:24" ht="35.1" customHeight="1" x14ac:dyDescent="0.25">
      <c r="A895" s="12">
        <f t="shared" si="45"/>
        <v>894</v>
      </c>
      <c r="B895" s="12"/>
      <c r="C895" s="20"/>
      <c r="D895" s="18"/>
      <c r="H895" s="12" t="str">
        <f t="shared" si="46"/>
        <v>0 г. 0 мес. 0 дн.</v>
      </c>
      <c r="V895" s="12" t="str">
        <f t="shared" si="47"/>
        <v>0 г. 0 мес. 0 дн.</v>
      </c>
      <c r="W895" s="22"/>
      <c r="X895" s="72"/>
    </row>
    <row r="896" spans="1:24" ht="35.1" customHeight="1" x14ac:dyDescent="0.25">
      <c r="A896" s="12">
        <f t="shared" si="45"/>
        <v>895</v>
      </c>
      <c r="B896" s="12"/>
      <c r="C896" s="20"/>
      <c r="D896" s="18"/>
      <c r="H896" s="12" t="str">
        <f t="shared" si="46"/>
        <v>0 г. 0 мес. 0 дн.</v>
      </c>
      <c r="V896" s="12" t="str">
        <f t="shared" si="47"/>
        <v>0 г. 0 мес. 0 дн.</v>
      </c>
      <c r="W896" s="22"/>
      <c r="X896" s="72"/>
    </row>
    <row r="897" spans="1:24" ht="35.1" customHeight="1" x14ac:dyDescent="0.25">
      <c r="A897" s="12">
        <f t="shared" ref="A897:A960" si="48">ROW(A896)</f>
        <v>896</v>
      </c>
      <c r="B897" s="12"/>
      <c r="C897" s="20"/>
      <c r="D897" s="18"/>
      <c r="H897" s="12" t="str">
        <f t="shared" si="46"/>
        <v>0 г. 0 мес. 0 дн.</v>
      </c>
      <c r="V897" s="12" t="str">
        <f t="shared" si="47"/>
        <v>0 г. 0 мес. 0 дн.</v>
      </c>
      <c r="W897" s="22"/>
      <c r="X897" s="72"/>
    </row>
    <row r="898" spans="1:24" ht="35.1" customHeight="1" x14ac:dyDescent="0.25">
      <c r="A898" s="12">
        <f t="shared" si="48"/>
        <v>897</v>
      </c>
      <c r="B898" s="12"/>
      <c r="C898" s="20"/>
      <c r="D898" s="18"/>
      <c r="H898" s="12" t="str">
        <f t="shared" si="46"/>
        <v>0 г. 0 мес. 0 дн.</v>
      </c>
      <c r="V898" s="12" t="str">
        <f t="shared" si="47"/>
        <v>0 г. 0 мес. 0 дн.</v>
      </c>
      <c r="W898" s="22"/>
      <c r="X898" s="72"/>
    </row>
    <row r="899" spans="1:24" ht="35.1" customHeight="1" x14ac:dyDescent="0.25">
      <c r="A899" s="12">
        <f t="shared" si="48"/>
        <v>898</v>
      </c>
      <c r="B899" s="12"/>
      <c r="C899" s="20"/>
      <c r="D899" s="18"/>
      <c r="H899" s="12" t="str">
        <f t="shared" si="46"/>
        <v>0 г. 0 мес. 0 дн.</v>
      </c>
      <c r="V899" s="12" t="str">
        <f t="shared" si="47"/>
        <v>0 г. 0 мес. 0 дн.</v>
      </c>
      <c r="W899" s="22"/>
      <c r="X899" s="72"/>
    </row>
    <row r="900" spans="1:24" ht="35.1" customHeight="1" x14ac:dyDescent="0.25">
      <c r="A900" s="12">
        <f t="shared" si="48"/>
        <v>899</v>
      </c>
      <c r="B900" s="12"/>
      <c r="C900" s="20"/>
      <c r="D900" s="18"/>
      <c r="H900" s="12" t="str">
        <f t="shared" si="46"/>
        <v>0 г. 0 мес. 0 дн.</v>
      </c>
      <c r="V900" s="12" t="str">
        <f t="shared" si="47"/>
        <v>0 г. 0 мес. 0 дн.</v>
      </c>
      <c r="W900" s="22"/>
      <c r="X900" s="72"/>
    </row>
    <row r="901" spans="1:24" ht="35.1" customHeight="1" x14ac:dyDescent="0.25">
      <c r="A901" s="12">
        <f t="shared" si="48"/>
        <v>900</v>
      </c>
      <c r="B901" s="12"/>
      <c r="C901" s="20"/>
      <c r="D901" s="18"/>
      <c r="H901" s="12" t="str">
        <f t="shared" si="46"/>
        <v>0 г. 0 мес. 0 дн.</v>
      </c>
      <c r="V901" s="12" t="str">
        <f t="shared" si="47"/>
        <v>0 г. 0 мес. 0 дн.</v>
      </c>
      <c r="W901" s="22"/>
      <c r="X901" s="72"/>
    </row>
    <row r="902" spans="1:24" ht="35.1" customHeight="1" x14ac:dyDescent="0.25">
      <c r="A902" s="12">
        <f t="shared" si="48"/>
        <v>901</v>
      </c>
      <c r="B902" s="12"/>
      <c r="C902" s="20"/>
      <c r="D902" s="18"/>
      <c r="H902" s="12" t="str">
        <f t="shared" ref="H902:H965" si="49">DATEDIF(G902,D902,"y") &amp; " г. " &amp; DATEDIF(G902,D902,"ym") &amp; " мес. " &amp; DATEDIF(G902,D902,"md") &amp; " дн."</f>
        <v>0 г. 0 мес. 0 дн.</v>
      </c>
      <c r="V902" s="12" t="str">
        <f t="shared" si="47"/>
        <v>0 г. 0 мес. 0 дн.</v>
      </c>
      <c r="W902" s="22"/>
      <c r="X902" s="72"/>
    </row>
    <row r="903" spans="1:24" ht="35.1" customHeight="1" x14ac:dyDescent="0.25">
      <c r="A903" s="12">
        <f t="shared" si="48"/>
        <v>902</v>
      </c>
      <c r="B903" s="12"/>
      <c r="C903" s="20"/>
      <c r="D903" s="18"/>
      <c r="H903" s="12" t="str">
        <f t="shared" si="49"/>
        <v>0 г. 0 мес. 0 дн.</v>
      </c>
      <c r="V903" s="12" t="str">
        <f t="shared" si="47"/>
        <v>0 г. 0 мес. 0 дн.</v>
      </c>
      <c r="W903" s="22"/>
      <c r="X903" s="72"/>
    </row>
    <row r="904" spans="1:24" ht="35.1" customHeight="1" x14ac:dyDescent="0.25">
      <c r="A904" s="12">
        <f t="shared" si="48"/>
        <v>903</v>
      </c>
      <c r="B904" s="12"/>
      <c r="C904" s="20"/>
      <c r="D904" s="18"/>
      <c r="H904" s="12" t="str">
        <f t="shared" si="49"/>
        <v>0 г. 0 мес. 0 дн.</v>
      </c>
      <c r="V904" s="12" t="str">
        <f t="shared" si="47"/>
        <v>0 г. 0 мес. 0 дн.</v>
      </c>
      <c r="W904" s="22"/>
      <c r="X904" s="72"/>
    </row>
    <row r="905" spans="1:24" ht="35.1" customHeight="1" x14ac:dyDescent="0.25">
      <c r="A905" s="12">
        <f t="shared" si="48"/>
        <v>904</v>
      </c>
      <c r="B905" s="12"/>
      <c r="C905" s="20"/>
      <c r="D905" s="18"/>
      <c r="H905" s="12" t="str">
        <f t="shared" si="49"/>
        <v>0 г. 0 мес. 0 дн.</v>
      </c>
      <c r="V905" s="12" t="str">
        <f t="shared" si="47"/>
        <v>0 г. 0 мес. 0 дн.</v>
      </c>
      <c r="W905" s="22"/>
      <c r="X905" s="72"/>
    </row>
    <row r="906" spans="1:24" ht="35.1" customHeight="1" x14ac:dyDescent="0.25">
      <c r="A906" s="12">
        <f t="shared" si="48"/>
        <v>905</v>
      </c>
      <c r="B906" s="12"/>
      <c r="C906" s="20"/>
      <c r="D906" s="18"/>
      <c r="H906" s="12" t="str">
        <f t="shared" si="49"/>
        <v>0 г. 0 мес. 0 дн.</v>
      </c>
      <c r="V906" s="12" t="str">
        <f t="shared" si="47"/>
        <v>0 г. 0 мес. 0 дн.</v>
      </c>
      <c r="W906" s="22"/>
      <c r="X906" s="72"/>
    </row>
    <row r="907" spans="1:24" ht="35.1" customHeight="1" x14ac:dyDescent="0.25">
      <c r="A907" s="12">
        <f t="shared" si="48"/>
        <v>906</v>
      </c>
      <c r="B907" s="12"/>
      <c r="C907" s="20"/>
      <c r="D907" s="18"/>
      <c r="H907" s="12" t="str">
        <f t="shared" si="49"/>
        <v>0 г. 0 мес. 0 дн.</v>
      </c>
      <c r="V907" s="12" t="str">
        <f t="shared" si="47"/>
        <v>0 г. 0 мес. 0 дн.</v>
      </c>
      <c r="W907" s="22"/>
      <c r="X907" s="72"/>
    </row>
    <row r="908" spans="1:24" ht="35.1" customHeight="1" x14ac:dyDescent="0.25">
      <c r="A908" s="12">
        <f t="shared" si="48"/>
        <v>907</v>
      </c>
      <c r="B908" s="12"/>
      <c r="C908" s="20"/>
      <c r="D908" s="18"/>
      <c r="H908" s="12" t="str">
        <f t="shared" si="49"/>
        <v>0 г. 0 мес. 0 дн.</v>
      </c>
      <c r="V908" s="12" t="str">
        <f t="shared" si="47"/>
        <v>0 г. 0 мес. 0 дн.</v>
      </c>
      <c r="W908" s="22"/>
      <c r="X908" s="72"/>
    </row>
    <row r="909" spans="1:24" ht="35.1" customHeight="1" x14ac:dyDescent="0.25">
      <c r="A909" s="12">
        <f t="shared" si="48"/>
        <v>908</v>
      </c>
      <c r="B909" s="12"/>
      <c r="C909" s="20"/>
      <c r="D909" s="18"/>
      <c r="H909" s="12" t="str">
        <f t="shared" si="49"/>
        <v>0 г. 0 мес. 0 дн.</v>
      </c>
      <c r="V909" s="12" t="str">
        <f t="shared" si="47"/>
        <v>0 г. 0 мес. 0 дн.</v>
      </c>
      <c r="W909" s="22"/>
      <c r="X909" s="72"/>
    </row>
    <row r="910" spans="1:24" ht="35.1" customHeight="1" x14ac:dyDescent="0.25">
      <c r="A910" s="12">
        <f t="shared" si="48"/>
        <v>909</v>
      </c>
      <c r="B910" s="12"/>
      <c r="C910" s="20"/>
      <c r="D910" s="18"/>
      <c r="H910" s="12" t="str">
        <f t="shared" si="49"/>
        <v>0 г. 0 мес. 0 дн.</v>
      </c>
      <c r="V910" s="12" t="str">
        <f t="shared" si="47"/>
        <v>0 г. 0 мес. 0 дн.</v>
      </c>
      <c r="W910" s="22"/>
      <c r="X910" s="72"/>
    </row>
    <row r="911" spans="1:24" ht="35.1" customHeight="1" x14ac:dyDescent="0.25">
      <c r="A911" s="12">
        <f t="shared" si="48"/>
        <v>910</v>
      </c>
      <c r="B911" s="12"/>
      <c r="C911" s="20"/>
      <c r="D911" s="18"/>
      <c r="H911" s="12" t="str">
        <f t="shared" si="49"/>
        <v>0 г. 0 мес. 0 дн.</v>
      </c>
      <c r="V911" s="12" t="str">
        <f t="shared" si="47"/>
        <v>0 г. 0 мес. 0 дн.</v>
      </c>
      <c r="W911" s="22"/>
      <c r="X911" s="72"/>
    </row>
    <row r="912" spans="1:24" ht="35.1" customHeight="1" x14ac:dyDescent="0.25">
      <c r="A912" s="12">
        <f t="shared" si="48"/>
        <v>911</v>
      </c>
      <c r="B912" s="12"/>
      <c r="C912" s="20"/>
      <c r="D912" s="18"/>
      <c r="H912" s="12" t="str">
        <f t="shared" si="49"/>
        <v>0 г. 0 мес. 0 дн.</v>
      </c>
      <c r="V912" s="12" t="str">
        <f t="shared" si="47"/>
        <v>0 г. 0 мес. 0 дн.</v>
      </c>
      <c r="W912" s="22"/>
      <c r="X912" s="72"/>
    </row>
    <row r="913" spans="1:24" ht="35.1" customHeight="1" x14ac:dyDescent="0.25">
      <c r="A913" s="12">
        <f t="shared" si="48"/>
        <v>912</v>
      </c>
      <c r="B913" s="12"/>
      <c r="C913" s="20"/>
      <c r="D913" s="18"/>
      <c r="H913" s="12" t="str">
        <f t="shared" si="49"/>
        <v>0 г. 0 мес. 0 дн.</v>
      </c>
      <c r="V913" s="12" t="str">
        <f t="shared" si="47"/>
        <v>0 г. 0 мес. 0 дн.</v>
      </c>
      <c r="W913" s="22"/>
      <c r="X913" s="72"/>
    </row>
    <row r="914" spans="1:24" ht="35.1" customHeight="1" x14ac:dyDescent="0.25">
      <c r="A914" s="12">
        <f t="shared" si="48"/>
        <v>913</v>
      </c>
      <c r="B914" s="12"/>
      <c r="C914" s="20"/>
      <c r="D914" s="18"/>
      <c r="H914" s="12" t="str">
        <f t="shared" si="49"/>
        <v>0 г. 0 мес. 0 дн.</v>
      </c>
      <c r="V914" s="12" t="str">
        <f t="shared" si="47"/>
        <v>0 г. 0 мес. 0 дн.</v>
      </c>
      <c r="W914" s="22"/>
      <c r="X914" s="72"/>
    </row>
    <row r="915" spans="1:24" ht="35.1" customHeight="1" x14ac:dyDescent="0.25">
      <c r="A915" s="12">
        <f t="shared" si="48"/>
        <v>914</v>
      </c>
      <c r="B915" s="12"/>
      <c r="C915" s="20"/>
      <c r="D915" s="18"/>
      <c r="H915" s="12" t="str">
        <f t="shared" si="49"/>
        <v>0 г. 0 мес. 0 дн.</v>
      </c>
      <c r="V915" s="12" t="str">
        <f t="shared" si="47"/>
        <v>0 г. 0 мес. 0 дн.</v>
      </c>
      <c r="W915" s="22"/>
      <c r="X915" s="72"/>
    </row>
    <row r="916" spans="1:24" ht="35.1" customHeight="1" x14ac:dyDescent="0.25">
      <c r="A916" s="12">
        <f t="shared" si="48"/>
        <v>915</v>
      </c>
      <c r="B916" s="12"/>
      <c r="C916" s="20"/>
      <c r="D916" s="18"/>
      <c r="H916" s="12" t="str">
        <f t="shared" si="49"/>
        <v>0 г. 0 мес. 0 дн.</v>
      </c>
      <c r="V916" s="12" t="str">
        <f t="shared" si="47"/>
        <v>0 г. 0 мес. 0 дн.</v>
      </c>
      <c r="W916" s="22"/>
      <c r="X916" s="72"/>
    </row>
    <row r="917" spans="1:24" ht="35.1" customHeight="1" x14ac:dyDescent="0.25">
      <c r="A917" s="12">
        <f t="shared" si="48"/>
        <v>916</v>
      </c>
      <c r="B917" s="12"/>
      <c r="C917" s="20"/>
      <c r="D917" s="18"/>
      <c r="H917" s="12" t="str">
        <f t="shared" si="49"/>
        <v>0 г. 0 мес. 0 дн.</v>
      </c>
      <c r="V917" s="12" t="str">
        <f t="shared" si="47"/>
        <v>0 г. 0 мес. 0 дн.</v>
      </c>
      <c r="W917" s="22"/>
      <c r="X917" s="72"/>
    </row>
    <row r="918" spans="1:24" ht="35.1" customHeight="1" x14ac:dyDescent="0.25">
      <c r="A918" s="12">
        <f t="shared" si="48"/>
        <v>917</v>
      </c>
      <c r="B918" s="12"/>
      <c r="C918" s="20"/>
      <c r="D918" s="18"/>
      <c r="H918" s="12" t="str">
        <f t="shared" si="49"/>
        <v>0 г. 0 мес. 0 дн.</v>
      </c>
      <c r="V918" s="12" t="str">
        <f t="shared" si="47"/>
        <v>0 г. 0 мес. 0 дн.</v>
      </c>
      <c r="W918" s="22"/>
      <c r="X918" s="72"/>
    </row>
    <row r="919" spans="1:24" ht="35.1" customHeight="1" x14ac:dyDescent="0.25">
      <c r="A919" s="12">
        <f t="shared" si="48"/>
        <v>918</v>
      </c>
      <c r="B919" s="12"/>
      <c r="C919" s="20"/>
      <c r="D919" s="18"/>
      <c r="H919" s="12" t="str">
        <f t="shared" si="49"/>
        <v>0 г. 0 мес. 0 дн.</v>
      </c>
      <c r="V919" s="12" t="str">
        <f t="shared" si="47"/>
        <v>0 г. 0 мес. 0 дн.</v>
      </c>
      <c r="W919" s="22"/>
      <c r="X919" s="72"/>
    </row>
    <row r="920" spans="1:24" ht="35.1" customHeight="1" x14ac:dyDescent="0.25">
      <c r="A920" s="12">
        <f t="shared" si="48"/>
        <v>919</v>
      </c>
      <c r="B920" s="12"/>
      <c r="C920" s="20"/>
      <c r="D920" s="18"/>
      <c r="H920" s="12" t="str">
        <f t="shared" si="49"/>
        <v>0 г. 0 мес. 0 дн.</v>
      </c>
      <c r="V920" s="12" t="str">
        <f t="shared" ref="V920:V983" si="50">DATEDIF(D920,T920,"y") &amp; " г. " &amp; DATEDIF(D920,T920,"ym") &amp; " мес. " &amp; DATEDIF(D920,T920,"md") &amp; " дн."</f>
        <v>0 г. 0 мес. 0 дн.</v>
      </c>
      <c r="W920" s="22"/>
      <c r="X920" s="72"/>
    </row>
    <row r="921" spans="1:24" ht="35.1" customHeight="1" x14ac:dyDescent="0.25">
      <c r="A921" s="12">
        <f t="shared" si="48"/>
        <v>920</v>
      </c>
      <c r="B921" s="12"/>
      <c r="C921" s="20"/>
      <c r="D921" s="18"/>
      <c r="H921" s="12" t="str">
        <f t="shared" si="49"/>
        <v>0 г. 0 мес. 0 дн.</v>
      </c>
      <c r="V921" s="12" t="str">
        <f t="shared" si="50"/>
        <v>0 г. 0 мес. 0 дн.</v>
      </c>
      <c r="W921" s="22"/>
      <c r="X921" s="72"/>
    </row>
    <row r="922" spans="1:24" ht="35.1" customHeight="1" x14ac:dyDescent="0.25">
      <c r="A922" s="12">
        <f t="shared" si="48"/>
        <v>921</v>
      </c>
      <c r="B922" s="12"/>
      <c r="C922" s="20"/>
      <c r="D922" s="18"/>
      <c r="H922" s="12" t="str">
        <f t="shared" si="49"/>
        <v>0 г. 0 мес. 0 дн.</v>
      </c>
      <c r="V922" s="12" t="str">
        <f t="shared" si="50"/>
        <v>0 г. 0 мес. 0 дн.</v>
      </c>
      <c r="W922" s="22"/>
      <c r="X922" s="72"/>
    </row>
    <row r="923" spans="1:24" ht="35.1" customHeight="1" x14ac:dyDescent="0.25">
      <c r="A923" s="12">
        <f t="shared" si="48"/>
        <v>922</v>
      </c>
      <c r="B923" s="12"/>
      <c r="C923" s="20"/>
      <c r="D923" s="18"/>
      <c r="H923" s="12" t="str">
        <f t="shared" si="49"/>
        <v>0 г. 0 мес. 0 дн.</v>
      </c>
      <c r="V923" s="12" t="str">
        <f t="shared" si="50"/>
        <v>0 г. 0 мес. 0 дн.</v>
      </c>
      <c r="W923" s="22"/>
      <c r="X923" s="72"/>
    </row>
    <row r="924" spans="1:24" ht="35.1" customHeight="1" x14ac:dyDescent="0.25">
      <c r="A924" s="12">
        <f t="shared" si="48"/>
        <v>923</v>
      </c>
      <c r="B924" s="12"/>
      <c r="C924" s="20"/>
      <c r="D924" s="18"/>
      <c r="H924" s="12" t="str">
        <f t="shared" si="49"/>
        <v>0 г. 0 мес. 0 дн.</v>
      </c>
      <c r="V924" s="12" t="str">
        <f t="shared" si="50"/>
        <v>0 г. 0 мес. 0 дн.</v>
      </c>
      <c r="W924" s="22"/>
      <c r="X924" s="72"/>
    </row>
    <row r="925" spans="1:24" ht="35.1" customHeight="1" x14ac:dyDescent="0.25">
      <c r="A925" s="12">
        <f t="shared" si="48"/>
        <v>924</v>
      </c>
      <c r="B925" s="12"/>
      <c r="C925" s="20"/>
      <c r="D925" s="18"/>
      <c r="H925" s="12" t="str">
        <f t="shared" si="49"/>
        <v>0 г. 0 мес. 0 дн.</v>
      </c>
      <c r="V925" s="12" t="str">
        <f t="shared" si="50"/>
        <v>0 г. 0 мес. 0 дн.</v>
      </c>
      <c r="W925" s="22"/>
      <c r="X925" s="72"/>
    </row>
    <row r="926" spans="1:24" ht="35.1" customHeight="1" x14ac:dyDescent="0.25">
      <c r="A926" s="12">
        <f t="shared" si="48"/>
        <v>925</v>
      </c>
      <c r="B926" s="12"/>
      <c r="C926" s="20"/>
      <c r="D926" s="18"/>
      <c r="H926" s="12" t="str">
        <f t="shared" si="49"/>
        <v>0 г. 0 мес. 0 дн.</v>
      </c>
      <c r="V926" s="12" t="str">
        <f t="shared" si="50"/>
        <v>0 г. 0 мес. 0 дн.</v>
      </c>
      <c r="W926" s="22"/>
      <c r="X926" s="72"/>
    </row>
    <row r="927" spans="1:24" ht="35.1" customHeight="1" x14ac:dyDescent="0.25">
      <c r="A927" s="12">
        <f t="shared" si="48"/>
        <v>926</v>
      </c>
      <c r="B927" s="12"/>
      <c r="C927" s="20"/>
      <c r="D927" s="18"/>
      <c r="H927" s="12" t="str">
        <f t="shared" si="49"/>
        <v>0 г. 0 мес. 0 дн.</v>
      </c>
      <c r="V927" s="12" t="str">
        <f t="shared" si="50"/>
        <v>0 г. 0 мес. 0 дн.</v>
      </c>
      <c r="W927" s="22"/>
      <c r="X927" s="72"/>
    </row>
    <row r="928" spans="1:24" ht="35.1" customHeight="1" x14ac:dyDescent="0.25">
      <c r="A928" s="12">
        <f t="shared" si="48"/>
        <v>927</v>
      </c>
      <c r="B928" s="12"/>
      <c r="C928" s="20"/>
      <c r="D928" s="18"/>
      <c r="H928" s="12" t="str">
        <f t="shared" si="49"/>
        <v>0 г. 0 мес. 0 дн.</v>
      </c>
      <c r="V928" s="12" t="str">
        <f t="shared" si="50"/>
        <v>0 г. 0 мес. 0 дн.</v>
      </c>
      <c r="W928" s="22"/>
      <c r="X928" s="72"/>
    </row>
    <row r="929" spans="1:24" ht="35.1" customHeight="1" x14ac:dyDescent="0.25">
      <c r="A929" s="12">
        <f t="shared" si="48"/>
        <v>928</v>
      </c>
      <c r="B929" s="12"/>
      <c r="C929" s="20"/>
      <c r="D929" s="18"/>
      <c r="H929" s="12" t="str">
        <f t="shared" si="49"/>
        <v>0 г. 0 мес. 0 дн.</v>
      </c>
      <c r="V929" s="12" t="str">
        <f t="shared" si="50"/>
        <v>0 г. 0 мес. 0 дн.</v>
      </c>
      <c r="W929" s="22"/>
      <c r="X929" s="72"/>
    </row>
    <row r="930" spans="1:24" ht="35.1" customHeight="1" x14ac:dyDescent="0.25">
      <c r="A930" s="12">
        <f t="shared" si="48"/>
        <v>929</v>
      </c>
      <c r="B930" s="12"/>
      <c r="C930" s="20"/>
      <c r="D930" s="18"/>
      <c r="H930" s="12" t="str">
        <f t="shared" si="49"/>
        <v>0 г. 0 мес. 0 дн.</v>
      </c>
      <c r="V930" s="12" t="str">
        <f t="shared" si="50"/>
        <v>0 г. 0 мес. 0 дн.</v>
      </c>
      <c r="W930" s="22"/>
      <c r="X930" s="72"/>
    </row>
    <row r="931" spans="1:24" ht="35.1" customHeight="1" x14ac:dyDescent="0.25">
      <c r="A931" s="12">
        <f t="shared" si="48"/>
        <v>930</v>
      </c>
      <c r="B931" s="12"/>
      <c r="C931" s="20"/>
      <c r="D931" s="18"/>
      <c r="H931" s="12" t="str">
        <f t="shared" si="49"/>
        <v>0 г. 0 мес. 0 дн.</v>
      </c>
      <c r="V931" s="12" t="str">
        <f t="shared" si="50"/>
        <v>0 г. 0 мес. 0 дн.</v>
      </c>
      <c r="W931" s="22"/>
      <c r="X931" s="72"/>
    </row>
    <row r="932" spans="1:24" ht="35.1" customHeight="1" x14ac:dyDescent="0.25">
      <c r="A932" s="12">
        <f t="shared" si="48"/>
        <v>931</v>
      </c>
      <c r="B932" s="12"/>
      <c r="C932" s="20"/>
      <c r="D932" s="18"/>
      <c r="H932" s="12" t="str">
        <f t="shared" si="49"/>
        <v>0 г. 0 мес. 0 дн.</v>
      </c>
      <c r="V932" s="12" t="str">
        <f t="shared" si="50"/>
        <v>0 г. 0 мес. 0 дн.</v>
      </c>
      <c r="W932" s="22"/>
      <c r="X932" s="72"/>
    </row>
    <row r="933" spans="1:24" ht="35.1" customHeight="1" x14ac:dyDescent="0.25">
      <c r="A933" s="12">
        <f t="shared" si="48"/>
        <v>932</v>
      </c>
      <c r="B933" s="12"/>
      <c r="C933" s="20"/>
      <c r="D933" s="18"/>
      <c r="H933" s="12" t="str">
        <f t="shared" si="49"/>
        <v>0 г. 0 мес. 0 дн.</v>
      </c>
      <c r="V933" s="12" t="str">
        <f t="shared" si="50"/>
        <v>0 г. 0 мес. 0 дн.</v>
      </c>
      <c r="W933" s="22"/>
      <c r="X933" s="72"/>
    </row>
    <row r="934" spans="1:24" ht="35.1" customHeight="1" x14ac:dyDescent="0.25">
      <c r="A934" s="12">
        <f t="shared" si="48"/>
        <v>933</v>
      </c>
      <c r="B934" s="12"/>
      <c r="C934" s="20"/>
      <c r="D934" s="18"/>
      <c r="H934" s="12" t="str">
        <f t="shared" si="49"/>
        <v>0 г. 0 мес. 0 дн.</v>
      </c>
      <c r="V934" s="12" t="str">
        <f t="shared" si="50"/>
        <v>0 г. 0 мес. 0 дн.</v>
      </c>
      <c r="W934" s="22"/>
      <c r="X934" s="72"/>
    </row>
    <row r="935" spans="1:24" ht="35.1" customHeight="1" x14ac:dyDescent="0.25">
      <c r="A935" s="12">
        <f t="shared" si="48"/>
        <v>934</v>
      </c>
      <c r="B935" s="12"/>
      <c r="C935" s="20"/>
      <c r="D935" s="18"/>
      <c r="H935" s="12" t="str">
        <f t="shared" si="49"/>
        <v>0 г. 0 мес. 0 дн.</v>
      </c>
      <c r="V935" s="12" t="str">
        <f t="shared" si="50"/>
        <v>0 г. 0 мес. 0 дн.</v>
      </c>
      <c r="W935" s="22"/>
      <c r="X935" s="72"/>
    </row>
    <row r="936" spans="1:24" ht="35.1" customHeight="1" x14ac:dyDescent="0.25">
      <c r="A936" s="12">
        <f t="shared" si="48"/>
        <v>935</v>
      </c>
      <c r="B936" s="12"/>
      <c r="C936" s="20"/>
      <c r="D936" s="18"/>
      <c r="H936" s="12" t="str">
        <f t="shared" si="49"/>
        <v>0 г. 0 мес. 0 дн.</v>
      </c>
      <c r="V936" s="12" t="str">
        <f t="shared" si="50"/>
        <v>0 г. 0 мес. 0 дн.</v>
      </c>
      <c r="W936" s="22"/>
      <c r="X936" s="72"/>
    </row>
    <row r="937" spans="1:24" ht="35.1" customHeight="1" x14ac:dyDescent="0.25">
      <c r="A937" s="12">
        <f t="shared" si="48"/>
        <v>936</v>
      </c>
      <c r="B937" s="12"/>
      <c r="C937" s="20"/>
      <c r="D937" s="18"/>
      <c r="H937" s="12" t="str">
        <f t="shared" si="49"/>
        <v>0 г. 0 мес. 0 дн.</v>
      </c>
      <c r="V937" s="12" t="str">
        <f t="shared" si="50"/>
        <v>0 г. 0 мес. 0 дн.</v>
      </c>
      <c r="W937" s="22"/>
      <c r="X937" s="72"/>
    </row>
    <row r="938" spans="1:24" ht="35.1" customHeight="1" x14ac:dyDescent="0.25">
      <c r="A938" s="12">
        <f t="shared" si="48"/>
        <v>937</v>
      </c>
      <c r="B938" s="12"/>
      <c r="C938" s="20"/>
      <c r="D938" s="18"/>
      <c r="H938" s="12" t="str">
        <f t="shared" si="49"/>
        <v>0 г. 0 мес. 0 дн.</v>
      </c>
      <c r="V938" s="12" t="str">
        <f t="shared" si="50"/>
        <v>0 г. 0 мес. 0 дн.</v>
      </c>
      <c r="W938" s="22"/>
      <c r="X938" s="72"/>
    </row>
    <row r="939" spans="1:24" ht="35.1" customHeight="1" x14ac:dyDescent="0.25">
      <c r="A939" s="12">
        <f t="shared" si="48"/>
        <v>938</v>
      </c>
      <c r="B939" s="12"/>
      <c r="C939" s="20"/>
      <c r="D939" s="18"/>
      <c r="H939" s="12" t="str">
        <f t="shared" si="49"/>
        <v>0 г. 0 мес. 0 дн.</v>
      </c>
      <c r="V939" s="12" t="str">
        <f t="shared" si="50"/>
        <v>0 г. 0 мес. 0 дн.</v>
      </c>
      <c r="W939" s="22"/>
      <c r="X939" s="72"/>
    </row>
    <row r="940" spans="1:24" ht="35.1" customHeight="1" x14ac:dyDescent="0.25">
      <c r="A940" s="12">
        <f t="shared" si="48"/>
        <v>939</v>
      </c>
      <c r="B940" s="12"/>
      <c r="C940" s="20"/>
      <c r="D940" s="18"/>
      <c r="H940" s="12" t="str">
        <f t="shared" si="49"/>
        <v>0 г. 0 мес. 0 дн.</v>
      </c>
      <c r="V940" s="12" t="str">
        <f t="shared" si="50"/>
        <v>0 г. 0 мес. 0 дн.</v>
      </c>
      <c r="W940" s="22"/>
      <c r="X940" s="72"/>
    </row>
    <row r="941" spans="1:24" ht="35.1" customHeight="1" x14ac:dyDescent="0.25">
      <c r="A941" s="12">
        <f t="shared" si="48"/>
        <v>940</v>
      </c>
      <c r="B941" s="12"/>
      <c r="C941" s="20"/>
      <c r="D941" s="18"/>
      <c r="H941" s="12" t="str">
        <f t="shared" si="49"/>
        <v>0 г. 0 мес. 0 дн.</v>
      </c>
      <c r="V941" s="12" t="str">
        <f t="shared" si="50"/>
        <v>0 г. 0 мес. 0 дн.</v>
      </c>
      <c r="W941" s="22"/>
      <c r="X941" s="72"/>
    </row>
    <row r="942" spans="1:24" ht="35.1" customHeight="1" x14ac:dyDescent="0.25">
      <c r="A942" s="12">
        <f t="shared" si="48"/>
        <v>941</v>
      </c>
      <c r="B942" s="12"/>
      <c r="C942" s="20"/>
      <c r="D942" s="18"/>
      <c r="H942" s="12" t="str">
        <f t="shared" si="49"/>
        <v>0 г. 0 мес. 0 дн.</v>
      </c>
      <c r="V942" s="12" t="str">
        <f t="shared" si="50"/>
        <v>0 г. 0 мес. 0 дн.</v>
      </c>
      <c r="W942" s="22"/>
      <c r="X942" s="72"/>
    </row>
    <row r="943" spans="1:24" ht="35.1" customHeight="1" x14ac:dyDescent="0.25">
      <c r="A943" s="12">
        <f t="shared" si="48"/>
        <v>942</v>
      </c>
      <c r="B943" s="12"/>
      <c r="C943" s="20"/>
      <c r="D943" s="18"/>
      <c r="H943" s="12" t="str">
        <f t="shared" si="49"/>
        <v>0 г. 0 мес. 0 дн.</v>
      </c>
      <c r="V943" s="12" t="str">
        <f t="shared" si="50"/>
        <v>0 г. 0 мес. 0 дн.</v>
      </c>
      <c r="W943" s="22"/>
      <c r="X943" s="72"/>
    </row>
    <row r="944" spans="1:24" ht="35.1" customHeight="1" x14ac:dyDescent="0.25">
      <c r="A944" s="12">
        <f t="shared" si="48"/>
        <v>943</v>
      </c>
      <c r="B944" s="12"/>
      <c r="C944" s="20"/>
      <c r="D944" s="18"/>
      <c r="H944" s="12" t="str">
        <f t="shared" si="49"/>
        <v>0 г. 0 мес. 0 дн.</v>
      </c>
      <c r="V944" s="12" t="str">
        <f t="shared" si="50"/>
        <v>0 г. 0 мес. 0 дн.</v>
      </c>
      <c r="W944" s="22"/>
      <c r="X944" s="72"/>
    </row>
    <row r="945" spans="1:24" ht="35.1" customHeight="1" x14ac:dyDescent="0.25">
      <c r="A945" s="12">
        <f t="shared" si="48"/>
        <v>944</v>
      </c>
      <c r="B945" s="12"/>
      <c r="C945" s="20"/>
      <c r="D945" s="18"/>
      <c r="H945" s="12" t="str">
        <f t="shared" si="49"/>
        <v>0 г. 0 мес. 0 дн.</v>
      </c>
      <c r="V945" s="12" t="str">
        <f t="shared" si="50"/>
        <v>0 г. 0 мес. 0 дн.</v>
      </c>
      <c r="W945" s="22"/>
      <c r="X945" s="72"/>
    </row>
    <row r="946" spans="1:24" ht="35.1" customHeight="1" x14ac:dyDescent="0.25">
      <c r="A946" s="12">
        <f t="shared" si="48"/>
        <v>945</v>
      </c>
      <c r="B946" s="12"/>
      <c r="C946" s="20"/>
      <c r="D946" s="18"/>
      <c r="H946" s="12" t="str">
        <f t="shared" si="49"/>
        <v>0 г. 0 мес. 0 дн.</v>
      </c>
      <c r="V946" s="12" t="str">
        <f t="shared" si="50"/>
        <v>0 г. 0 мес. 0 дн.</v>
      </c>
      <c r="W946" s="22"/>
      <c r="X946" s="72"/>
    </row>
    <row r="947" spans="1:24" ht="35.1" customHeight="1" x14ac:dyDescent="0.25">
      <c r="A947" s="12">
        <f t="shared" si="48"/>
        <v>946</v>
      </c>
      <c r="B947" s="12"/>
      <c r="C947" s="20"/>
      <c r="D947" s="18"/>
      <c r="H947" s="12" t="str">
        <f t="shared" si="49"/>
        <v>0 г. 0 мес. 0 дн.</v>
      </c>
      <c r="V947" s="12" t="str">
        <f t="shared" si="50"/>
        <v>0 г. 0 мес. 0 дн.</v>
      </c>
      <c r="W947" s="22"/>
      <c r="X947" s="72"/>
    </row>
    <row r="948" spans="1:24" ht="35.1" customHeight="1" x14ac:dyDescent="0.25">
      <c r="A948" s="12">
        <f t="shared" si="48"/>
        <v>947</v>
      </c>
      <c r="B948" s="12"/>
      <c r="C948" s="20"/>
      <c r="D948" s="18"/>
      <c r="H948" s="12" t="str">
        <f t="shared" si="49"/>
        <v>0 г. 0 мес. 0 дн.</v>
      </c>
      <c r="V948" s="12" t="str">
        <f t="shared" si="50"/>
        <v>0 г. 0 мес. 0 дн.</v>
      </c>
      <c r="W948" s="22"/>
      <c r="X948" s="72"/>
    </row>
    <row r="949" spans="1:24" ht="35.1" customHeight="1" x14ac:dyDescent="0.25">
      <c r="A949" s="12">
        <f t="shared" si="48"/>
        <v>948</v>
      </c>
      <c r="B949" s="12"/>
      <c r="C949" s="20"/>
      <c r="D949" s="18"/>
      <c r="H949" s="12" t="str">
        <f t="shared" si="49"/>
        <v>0 г. 0 мес. 0 дн.</v>
      </c>
      <c r="V949" s="12" t="str">
        <f t="shared" si="50"/>
        <v>0 г. 0 мес. 0 дн.</v>
      </c>
      <c r="W949" s="22"/>
      <c r="X949" s="72"/>
    </row>
    <row r="950" spans="1:24" ht="35.1" customHeight="1" x14ac:dyDescent="0.25">
      <c r="A950" s="12">
        <f t="shared" si="48"/>
        <v>949</v>
      </c>
      <c r="B950" s="12"/>
      <c r="C950" s="20"/>
      <c r="D950" s="18"/>
      <c r="H950" s="12" t="str">
        <f t="shared" si="49"/>
        <v>0 г. 0 мес. 0 дн.</v>
      </c>
      <c r="V950" s="12" t="str">
        <f t="shared" si="50"/>
        <v>0 г. 0 мес. 0 дн.</v>
      </c>
      <c r="W950" s="22"/>
      <c r="X950" s="72"/>
    </row>
    <row r="951" spans="1:24" ht="35.1" customHeight="1" x14ac:dyDescent="0.25">
      <c r="A951" s="12">
        <f t="shared" si="48"/>
        <v>950</v>
      </c>
      <c r="B951" s="12"/>
      <c r="C951" s="20"/>
      <c r="D951" s="18"/>
      <c r="H951" s="12" t="str">
        <f t="shared" si="49"/>
        <v>0 г. 0 мес. 0 дн.</v>
      </c>
      <c r="V951" s="12" t="str">
        <f t="shared" si="50"/>
        <v>0 г. 0 мес. 0 дн.</v>
      </c>
      <c r="W951" s="22"/>
      <c r="X951" s="72"/>
    </row>
    <row r="952" spans="1:24" ht="35.1" customHeight="1" x14ac:dyDescent="0.25">
      <c r="A952" s="12">
        <f t="shared" si="48"/>
        <v>951</v>
      </c>
      <c r="B952" s="12"/>
      <c r="C952" s="20"/>
      <c r="D952" s="18"/>
      <c r="H952" s="12" t="str">
        <f t="shared" si="49"/>
        <v>0 г. 0 мес. 0 дн.</v>
      </c>
      <c r="V952" s="12" t="str">
        <f t="shared" si="50"/>
        <v>0 г. 0 мес. 0 дн.</v>
      </c>
      <c r="W952" s="22"/>
      <c r="X952" s="72"/>
    </row>
    <row r="953" spans="1:24" ht="35.1" customHeight="1" x14ac:dyDescent="0.25">
      <c r="A953" s="12">
        <f t="shared" si="48"/>
        <v>952</v>
      </c>
      <c r="B953" s="12"/>
      <c r="C953" s="20"/>
      <c r="D953" s="18"/>
      <c r="H953" s="12" t="str">
        <f t="shared" si="49"/>
        <v>0 г. 0 мес. 0 дн.</v>
      </c>
      <c r="V953" s="12" t="str">
        <f t="shared" si="50"/>
        <v>0 г. 0 мес. 0 дн.</v>
      </c>
      <c r="W953" s="22"/>
      <c r="X953" s="72"/>
    </row>
    <row r="954" spans="1:24" ht="35.1" customHeight="1" x14ac:dyDescent="0.25">
      <c r="A954" s="12">
        <f t="shared" si="48"/>
        <v>953</v>
      </c>
      <c r="B954" s="12"/>
      <c r="C954" s="20"/>
      <c r="D954" s="18"/>
      <c r="H954" s="12" t="str">
        <f t="shared" si="49"/>
        <v>0 г. 0 мес. 0 дн.</v>
      </c>
      <c r="V954" s="12" t="str">
        <f t="shared" si="50"/>
        <v>0 г. 0 мес. 0 дн.</v>
      </c>
      <c r="W954" s="22"/>
      <c r="X954" s="72"/>
    </row>
    <row r="955" spans="1:24" ht="35.1" customHeight="1" x14ac:dyDescent="0.25">
      <c r="A955" s="12">
        <f t="shared" si="48"/>
        <v>954</v>
      </c>
      <c r="B955" s="12"/>
      <c r="C955" s="20"/>
      <c r="D955" s="18"/>
      <c r="H955" s="12" t="str">
        <f t="shared" si="49"/>
        <v>0 г. 0 мес. 0 дн.</v>
      </c>
      <c r="V955" s="12" t="str">
        <f t="shared" si="50"/>
        <v>0 г. 0 мес. 0 дн.</v>
      </c>
      <c r="W955" s="22"/>
      <c r="X955" s="72"/>
    </row>
    <row r="956" spans="1:24" ht="35.1" customHeight="1" x14ac:dyDescent="0.25">
      <c r="A956" s="12">
        <f t="shared" si="48"/>
        <v>955</v>
      </c>
      <c r="B956" s="12"/>
      <c r="C956" s="20"/>
      <c r="D956" s="18"/>
      <c r="H956" s="12" t="str">
        <f t="shared" si="49"/>
        <v>0 г. 0 мес. 0 дн.</v>
      </c>
      <c r="V956" s="12" t="str">
        <f t="shared" si="50"/>
        <v>0 г. 0 мес. 0 дн.</v>
      </c>
      <c r="W956" s="22"/>
      <c r="X956" s="72"/>
    </row>
    <row r="957" spans="1:24" ht="35.1" customHeight="1" x14ac:dyDescent="0.25">
      <c r="A957" s="12">
        <f t="shared" si="48"/>
        <v>956</v>
      </c>
      <c r="B957" s="12"/>
      <c r="C957" s="20"/>
      <c r="D957" s="18"/>
      <c r="H957" s="12" t="str">
        <f t="shared" si="49"/>
        <v>0 г. 0 мес. 0 дн.</v>
      </c>
      <c r="V957" s="12" t="str">
        <f t="shared" si="50"/>
        <v>0 г. 0 мес. 0 дн.</v>
      </c>
      <c r="W957" s="22"/>
      <c r="X957" s="72"/>
    </row>
    <row r="958" spans="1:24" ht="35.1" customHeight="1" x14ac:dyDescent="0.25">
      <c r="A958" s="12">
        <f t="shared" si="48"/>
        <v>957</v>
      </c>
      <c r="B958" s="12"/>
      <c r="C958" s="20"/>
      <c r="D958" s="18"/>
      <c r="H958" s="12" t="str">
        <f t="shared" si="49"/>
        <v>0 г. 0 мес. 0 дн.</v>
      </c>
      <c r="V958" s="12" t="str">
        <f t="shared" si="50"/>
        <v>0 г. 0 мес. 0 дн.</v>
      </c>
      <c r="W958" s="22"/>
      <c r="X958" s="72"/>
    </row>
    <row r="959" spans="1:24" ht="35.1" customHeight="1" x14ac:dyDescent="0.25">
      <c r="A959" s="12">
        <f t="shared" si="48"/>
        <v>958</v>
      </c>
      <c r="B959" s="12"/>
      <c r="C959" s="20"/>
      <c r="D959" s="18"/>
      <c r="H959" s="12" t="str">
        <f t="shared" si="49"/>
        <v>0 г. 0 мес. 0 дн.</v>
      </c>
      <c r="V959" s="12" t="str">
        <f t="shared" si="50"/>
        <v>0 г. 0 мес. 0 дн.</v>
      </c>
      <c r="W959" s="22"/>
      <c r="X959" s="72"/>
    </row>
    <row r="960" spans="1:24" ht="35.1" customHeight="1" x14ac:dyDescent="0.25">
      <c r="A960" s="12">
        <f t="shared" si="48"/>
        <v>959</v>
      </c>
      <c r="B960" s="12"/>
      <c r="C960" s="20"/>
      <c r="D960" s="18"/>
      <c r="H960" s="12" t="str">
        <f t="shared" si="49"/>
        <v>0 г. 0 мес. 0 дн.</v>
      </c>
      <c r="V960" s="12" t="str">
        <f t="shared" si="50"/>
        <v>0 г. 0 мес. 0 дн.</v>
      </c>
      <c r="W960" s="22"/>
      <c r="X960" s="72"/>
    </row>
    <row r="961" spans="1:24" ht="35.1" customHeight="1" x14ac:dyDescent="0.25">
      <c r="A961" s="12">
        <f t="shared" ref="A961:A1024" si="51">ROW(A960)</f>
        <v>960</v>
      </c>
      <c r="B961" s="12"/>
      <c r="C961" s="20"/>
      <c r="D961" s="18"/>
      <c r="H961" s="12" t="str">
        <f t="shared" si="49"/>
        <v>0 г. 0 мес. 0 дн.</v>
      </c>
      <c r="V961" s="12" t="str">
        <f t="shared" si="50"/>
        <v>0 г. 0 мес. 0 дн.</v>
      </c>
      <c r="W961" s="22"/>
      <c r="X961" s="72"/>
    </row>
    <row r="962" spans="1:24" ht="35.1" customHeight="1" x14ac:dyDescent="0.25">
      <c r="A962" s="12">
        <f t="shared" si="51"/>
        <v>961</v>
      </c>
      <c r="B962" s="12"/>
      <c r="C962" s="20"/>
      <c r="D962" s="18"/>
      <c r="H962" s="12" t="str">
        <f t="shared" si="49"/>
        <v>0 г. 0 мес. 0 дн.</v>
      </c>
      <c r="V962" s="12" t="str">
        <f t="shared" si="50"/>
        <v>0 г. 0 мес. 0 дн.</v>
      </c>
      <c r="W962" s="22"/>
      <c r="X962" s="72"/>
    </row>
    <row r="963" spans="1:24" ht="35.1" customHeight="1" x14ac:dyDescent="0.25">
      <c r="A963" s="12">
        <f t="shared" si="51"/>
        <v>962</v>
      </c>
      <c r="B963" s="12"/>
      <c r="C963" s="20"/>
      <c r="D963" s="18"/>
      <c r="H963" s="12" t="str">
        <f t="shared" si="49"/>
        <v>0 г. 0 мес. 0 дн.</v>
      </c>
      <c r="V963" s="12" t="str">
        <f t="shared" si="50"/>
        <v>0 г. 0 мес. 0 дн.</v>
      </c>
      <c r="W963" s="22"/>
      <c r="X963" s="72"/>
    </row>
    <row r="964" spans="1:24" ht="35.1" customHeight="1" x14ac:dyDescent="0.25">
      <c r="A964" s="12">
        <f t="shared" si="51"/>
        <v>963</v>
      </c>
      <c r="B964" s="12"/>
      <c r="C964" s="20"/>
      <c r="D964" s="18"/>
      <c r="H964" s="12" t="str">
        <f t="shared" si="49"/>
        <v>0 г. 0 мес. 0 дн.</v>
      </c>
      <c r="V964" s="12" t="str">
        <f t="shared" si="50"/>
        <v>0 г. 0 мес. 0 дн.</v>
      </c>
      <c r="W964" s="22"/>
      <c r="X964" s="72"/>
    </row>
    <row r="965" spans="1:24" ht="35.1" customHeight="1" x14ac:dyDescent="0.25">
      <c r="A965" s="12">
        <f t="shared" si="51"/>
        <v>964</v>
      </c>
      <c r="B965" s="12"/>
      <c r="C965" s="20"/>
      <c r="D965" s="18"/>
      <c r="H965" s="12" t="str">
        <f t="shared" si="49"/>
        <v>0 г. 0 мес. 0 дн.</v>
      </c>
      <c r="V965" s="12" t="str">
        <f t="shared" si="50"/>
        <v>0 г. 0 мес. 0 дн.</v>
      </c>
      <c r="W965" s="22"/>
      <c r="X965" s="72"/>
    </row>
    <row r="966" spans="1:24" ht="35.1" customHeight="1" x14ac:dyDescent="0.25">
      <c r="A966" s="12">
        <f t="shared" si="51"/>
        <v>965</v>
      </c>
      <c r="B966" s="12"/>
      <c r="C966" s="20"/>
      <c r="D966" s="18"/>
      <c r="H966" s="12" t="str">
        <f t="shared" ref="H966:H1029" si="52">DATEDIF(G966,D966,"y") &amp; " г. " &amp; DATEDIF(G966,D966,"ym") &amp; " мес. " &amp; DATEDIF(G966,D966,"md") &amp; " дн."</f>
        <v>0 г. 0 мес. 0 дн.</v>
      </c>
      <c r="V966" s="12" t="str">
        <f t="shared" si="50"/>
        <v>0 г. 0 мес. 0 дн.</v>
      </c>
      <c r="W966" s="22"/>
      <c r="X966" s="72"/>
    </row>
    <row r="967" spans="1:24" ht="35.1" customHeight="1" x14ac:dyDescent="0.25">
      <c r="A967" s="12">
        <f t="shared" si="51"/>
        <v>966</v>
      </c>
      <c r="B967" s="12"/>
      <c r="C967" s="20"/>
      <c r="D967" s="18"/>
      <c r="H967" s="12" t="str">
        <f t="shared" si="52"/>
        <v>0 г. 0 мес. 0 дн.</v>
      </c>
      <c r="V967" s="12" t="str">
        <f t="shared" si="50"/>
        <v>0 г. 0 мес. 0 дн.</v>
      </c>
      <c r="W967" s="22"/>
      <c r="X967" s="72"/>
    </row>
    <row r="968" spans="1:24" ht="35.1" customHeight="1" x14ac:dyDescent="0.25">
      <c r="A968" s="12">
        <f t="shared" si="51"/>
        <v>967</v>
      </c>
      <c r="B968" s="12"/>
      <c r="C968" s="20"/>
      <c r="D968" s="18"/>
      <c r="H968" s="12" t="str">
        <f t="shared" si="52"/>
        <v>0 г. 0 мес. 0 дн.</v>
      </c>
      <c r="V968" s="12" t="str">
        <f t="shared" si="50"/>
        <v>0 г. 0 мес. 0 дн.</v>
      </c>
      <c r="W968" s="22"/>
      <c r="X968" s="72"/>
    </row>
    <row r="969" spans="1:24" ht="35.1" customHeight="1" x14ac:dyDescent="0.25">
      <c r="A969" s="12">
        <f t="shared" si="51"/>
        <v>968</v>
      </c>
      <c r="B969" s="12"/>
      <c r="C969" s="20"/>
      <c r="D969" s="18"/>
      <c r="H969" s="12" t="str">
        <f t="shared" si="52"/>
        <v>0 г. 0 мес. 0 дн.</v>
      </c>
      <c r="V969" s="12" t="str">
        <f t="shared" si="50"/>
        <v>0 г. 0 мес. 0 дн.</v>
      </c>
      <c r="W969" s="22"/>
      <c r="X969" s="72"/>
    </row>
    <row r="970" spans="1:24" ht="35.1" customHeight="1" x14ac:dyDescent="0.25">
      <c r="A970" s="12">
        <f t="shared" si="51"/>
        <v>969</v>
      </c>
      <c r="B970" s="12"/>
      <c r="C970" s="20"/>
      <c r="D970" s="18"/>
      <c r="H970" s="12" t="str">
        <f t="shared" si="52"/>
        <v>0 г. 0 мес. 0 дн.</v>
      </c>
      <c r="V970" s="12" t="str">
        <f t="shared" si="50"/>
        <v>0 г. 0 мес. 0 дн.</v>
      </c>
      <c r="W970" s="22"/>
      <c r="X970" s="72"/>
    </row>
    <row r="971" spans="1:24" ht="35.1" customHeight="1" x14ac:dyDescent="0.25">
      <c r="A971" s="12">
        <f t="shared" si="51"/>
        <v>970</v>
      </c>
      <c r="B971" s="12"/>
      <c r="C971" s="20"/>
      <c r="D971" s="18"/>
      <c r="H971" s="12" t="str">
        <f t="shared" si="52"/>
        <v>0 г. 0 мес. 0 дн.</v>
      </c>
      <c r="V971" s="12" t="str">
        <f t="shared" si="50"/>
        <v>0 г. 0 мес. 0 дн.</v>
      </c>
      <c r="W971" s="22"/>
      <c r="X971" s="72"/>
    </row>
    <row r="972" spans="1:24" ht="35.1" customHeight="1" x14ac:dyDescent="0.25">
      <c r="A972" s="12">
        <f t="shared" si="51"/>
        <v>971</v>
      </c>
      <c r="B972" s="12"/>
      <c r="C972" s="20"/>
      <c r="D972" s="18"/>
      <c r="H972" s="12" t="str">
        <f t="shared" si="52"/>
        <v>0 г. 0 мес. 0 дн.</v>
      </c>
      <c r="V972" s="12" t="str">
        <f t="shared" si="50"/>
        <v>0 г. 0 мес. 0 дн.</v>
      </c>
      <c r="W972" s="22"/>
      <c r="X972" s="72"/>
    </row>
    <row r="973" spans="1:24" ht="35.1" customHeight="1" x14ac:dyDescent="0.25">
      <c r="A973" s="12">
        <f t="shared" si="51"/>
        <v>972</v>
      </c>
      <c r="B973" s="12"/>
      <c r="C973" s="20"/>
      <c r="D973" s="18"/>
      <c r="H973" s="12" t="str">
        <f t="shared" si="52"/>
        <v>0 г. 0 мес. 0 дн.</v>
      </c>
      <c r="V973" s="12" t="str">
        <f t="shared" si="50"/>
        <v>0 г. 0 мес. 0 дн.</v>
      </c>
      <c r="W973" s="22"/>
      <c r="X973" s="72"/>
    </row>
    <row r="974" spans="1:24" ht="35.1" customHeight="1" x14ac:dyDescent="0.25">
      <c r="A974" s="12">
        <f t="shared" si="51"/>
        <v>973</v>
      </c>
      <c r="B974" s="12"/>
      <c r="C974" s="20"/>
      <c r="D974" s="18"/>
      <c r="H974" s="12" t="str">
        <f t="shared" si="52"/>
        <v>0 г. 0 мес. 0 дн.</v>
      </c>
      <c r="V974" s="12" t="str">
        <f t="shared" si="50"/>
        <v>0 г. 0 мес. 0 дн.</v>
      </c>
      <c r="W974" s="22"/>
      <c r="X974" s="72"/>
    </row>
    <row r="975" spans="1:24" ht="35.1" customHeight="1" x14ac:dyDescent="0.25">
      <c r="A975" s="12">
        <f t="shared" si="51"/>
        <v>974</v>
      </c>
      <c r="B975" s="12"/>
      <c r="C975" s="20"/>
      <c r="D975" s="18"/>
      <c r="H975" s="12" t="str">
        <f t="shared" si="52"/>
        <v>0 г. 0 мес. 0 дн.</v>
      </c>
      <c r="V975" s="12" t="str">
        <f t="shared" si="50"/>
        <v>0 г. 0 мес. 0 дн.</v>
      </c>
      <c r="W975" s="22"/>
      <c r="X975" s="72"/>
    </row>
    <row r="976" spans="1:24" ht="35.1" customHeight="1" x14ac:dyDescent="0.25">
      <c r="A976" s="12">
        <f t="shared" si="51"/>
        <v>975</v>
      </c>
      <c r="B976" s="12"/>
      <c r="C976" s="20"/>
      <c r="D976" s="18"/>
      <c r="H976" s="12" t="str">
        <f t="shared" si="52"/>
        <v>0 г. 0 мес. 0 дн.</v>
      </c>
      <c r="V976" s="12" t="str">
        <f t="shared" si="50"/>
        <v>0 г. 0 мес. 0 дн.</v>
      </c>
      <c r="W976" s="22"/>
      <c r="X976" s="72"/>
    </row>
    <row r="977" spans="1:24" ht="35.1" customHeight="1" x14ac:dyDescent="0.25">
      <c r="A977" s="12">
        <f t="shared" si="51"/>
        <v>976</v>
      </c>
      <c r="B977" s="12"/>
      <c r="C977" s="20"/>
      <c r="D977" s="18"/>
      <c r="H977" s="12" t="str">
        <f t="shared" si="52"/>
        <v>0 г. 0 мес. 0 дн.</v>
      </c>
      <c r="V977" s="12" t="str">
        <f t="shared" si="50"/>
        <v>0 г. 0 мес. 0 дн.</v>
      </c>
      <c r="W977" s="22"/>
      <c r="X977" s="72"/>
    </row>
    <row r="978" spans="1:24" ht="35.1" customHeight="1" x14ac:dyDescent="0.25">
      <c r="A978" s="12">
        <f t="shared" si="51"/>
        <v>977</v>
      </c>
      <c r="B978" s="12"/>
      <c r="C978" s="20"/>
      <c r="D978" s="18"/>
      <c r="H978" s="12" t="str">
        <f t="shared" si="52"/>
        <v>0 г. 0 мес. 0 дн.</v>
      </c>
      <c r="V978" s="12" t="str">
        <f t="shared" si="50"/>
        <v>0 г. 0 мес. 0 дн.</v>
      </c>
      <c r="W978" s="22"/>
      <c r="X978" s="72"/>
    </row>
    <row r="979" spans="1:24" ht="35.1" customHeight="1" x14ac:dyDescent="0.25">
      <c r="A979" s="12">
        <f t="shared" si="51"/>
        <v>978</v>
      </c>
      <c r="B979" s="12"/>
      <c r="C979" s="20"/>
      <c r="D979" s="18"/>
      <c r="H979" s="12" t="str">
        <f t="shared" si="52"/>
        <v>0 г. 0 мес. 0 дн.</v>
      </c>
      <c r="V979" s="12" t="str">
        <f t="shared" si="50"/>
        <v>0 г. 0 мес. 0 дн.</v>
      </c>
      <c r="W979" s="22"/>
      <c r="X979" s="72"/>
    </row>
    <row r="980" spans="1:24" ht="35.1" customHeight="1" x14ac:dyDescent="0.25">
      <c r="A980" s="12">
        <f t="shared" si="51"/>
        <v>979</v>
      </c>
      <c r="B980" s="12"/>
      <c r="C980" s="20"/>
      <c r="D980" s="18"/>
      <c r="H980" s="12" t="str">
        <f t="shared" si="52"/>
        <v>0 г. 0 мес. 0 дн.</v>
      </c>
      <c r="V980" s="12" t="str">
        <f t="shared" si="50"/>
        <v>0 г. 0 мес. 0 дн.</v>
      </c>
      <c r="W980" s="22"/>
      <c r="X980" s="72"/>
    </row>
    <row r="981" spans="1:24" ht="35.1" customHeight="1" x14ac:dyDescent="0.25">
      <c r="A981" s="12">
        <f t="shared" si="51"/>
        <v>980</v>
      </c>
      <c r="B981" s="12"/>
      <c r="C981" s="20"/>
      <c r="D981" s="18"/>
      <c r="H981" s="12" t="str">
        <f t="shared" si="52"/>
        <v>0 г. 0 мес. 0 дн.</v>
      </c>
      <c r="V981" s="12" t="str">
        <f t="shared" si="50"/>
        <v>0 г. 0 мес. 0 дн.</v>
      </c>
      <c r="W981" s="22"/>
      <c r="X981" s="72"/>
    </row>
    <row r="982" spans="1:24" ht="35.1" customHeight="1" x14ac:dyDescent="0.25">
      <c r="A982" s="12">
        <f t="shared" si="51"/>
        <v>981</v>
      </c>
      <c r="B982" s="12"/>
      <c r="C982" s="20"/>
      <c r="D982" s="18"/>
      <c r="H982" s="12" t="str">
        <f t="shared" si="52"/>
        <v>0 г. 0 мес. 0 дн.</v>
      </c>
      <c r="V982" s="12" t="str">
        <f t="shared" si="50"/>
        <v>0 г. 0 мес. 0 дн.</v>
      </c>
      <c r="W982" s="22"/>
      <c r="X982" s="72"/>
    </row>
    <row r="983" spans="1:24" ht="35.1" customHeight="1" x14ac:dyDescent="0.25">
      <c r="A983" s="12">
        <f t="shared" si="51"/>
        <v>982</v>
      </c>
      <c r="B983" s="12"/>
      <c r="C983" s="20"/>
      <c r="D983" s="18"/>
      <c r="H983" s="12" t="str">
        <f t="shared" si="52"/>
        <v>0 г. 0 мес. 0 дн.</v>
      </c>
      <c r="V983" s="12" t="str">
        <f t="shared" si="50"/>
        <v>0 г. 0 мес. 0 дн.</v>
      </c>
      <c r="W983" s="22"/>
      <c r="X983" s="72"/>
    </row>
    <row r="984" spans="1:24" ht="35.1" customHeight="1" x14ac:dyDescent="0.25">
      <c r="A984" s="12">
        <f t="shared" si="51"/>
        <v>983</v>
      </c>
      <c r="B984" s="12"/>
      <c r="C984" s="20"/>
      <c r="D984" s="18"/>
      <c r="H984" s="12" t="str">
        <f t="shared" si="52"/>
        <v>0 г. 0 мес. 0 дн.</v>
      </c>
      <c r="V984" s="12" t="str">
        <f t="shared" ref="V984:V1047" si="53">DATEDIF(D984,T984,"y") &amp; " г. " &amp; DATEDIF(D984,T984,"ym") &amp; " мес. " &amp; DATEDIF(D984,T984,"md") &amp; " дн."</f>
        <v>0 г. 0 мес. 0 дн.</v>
      </c>
      <c r="W984" s="22"/>
      <c r="X984" s="72"/>
    </row>
    <row r="985" spans="1:24" ht="35.1" customHeight="1" x14ac:dyDescent="0.25">
      <c r="A985" s="12">
        <f t="shared" si="51"/>
        <v>984</v>
      </c>
      <c r="B985" s="12"/>
      <c r="C985" s="20"/>
      <c r="D985" s="18"/>
      <c r="H985" s="12" t="str">
        <f t="shared" si="52"/>
        <v>0 г. 0 мес. 0 дн.</v>
      </c>
      <c r="V985" s="12" t="str">
        <f t="shared" si="53"/>
        <v>0 г. 0 мес. 0 дн.</v>
      </c>
      <c r="W985" s="22"/>
      <c r="X985" s="72"/>
    </row>
    <row r="986" spans="1:24" ht="35.1" customHeight="1" x14ac:dyDescent="0.25">
      <c r="A986" s="12">
        <f t="shared" si="51"/>
        <v>985</v>
      </c>
      <c r="B986" s="12"/>
      <c r="C986" s="20"/>
      <c r="D986" s="18"/>
      <c r="H986" s="12" t="str">
        <f t="shared" si="52"/>
        <v>0 г. 0 мес. 0 дн.</v>
      </c>
      <c r="V986" s="12" t="str">
        <f t="shared" si="53"/>
        <v>0 г. 0 мес. 0 дн.</v>
      </c>
      <c r="W986" s="22"/>
      <c r="X986" s="72"/>
    </row>
    <row r="987" spans="1:24" ht="35.1" customHeight="1" x14ac:dyDescent="0.25">
      <c r="A987" s="12">
        <f t="shared" si="51"/>
        <v>986</v>
      </c>
      <c r="B987" s="12"/>
      <c r="C987" s="20"/>
      <c r="D987" s="18"/>
      <c r="H987" s="12" t="str">
        <f t="shared" si="52"/>
        <v>0 г. 0 мес. 0 дн.</v>
      </c>
      <c r="V987" s="12" t="str">
        <f t="shared" si="53"/>
        <v>0 г. 0 мес. 0 дн.</v>
      </c>
      <c r="W987" s="22"/>
      <c r="X987" s="72"/>
    </row>
    <row r="988" spans="1:24" ht="35.1" customHeight="1" x14ac:dyDescent="0.25">
      <c r="A988" s="12">
        <f t="shared" si="51"/>
        <v>987</v>
      </c>
      <c r="B988" s="12"/>
      <c r="C988" s="20"/>
      <c r="D988" s="18"/>
      <c r="H988" s="12" t="str">
        <f t="shared" si="52"/>
        <v>0 г. 0 мес. 0 дн.</v>
      </c>
      <c r="V988" s="12" t="str">
        <f t="shared" si="53"/>
        <v>0 г. 0 мес. 0 дн.</v>
      </c>
      <c r="W988" s="22"/>
      <c r="X988" s="72"/>
    </row>
    <row r="989" spans="1:24" ht="35.1" customHeight="1" x14ac:dyDescent="0.25">
      <c r="A989" s="12">
        <f t="shared" si="51"/>
        <v>988</v>
      </c>
      <c r="B989" s="12"/>
      <c r="C989" s="20"/>
      <c r="D989" s="18"/>
      <c r="H989" s="12" t="str">
        <f t="shared" si="52"/>
        <v>0 г. 0 мес. 0 дн.</v>
      </c>
      <c r="V989" s="12" t="str">
        <f t="shared" si="53"/>
        <v>0 г. 0 мес. 0 дн.</v>
      </c>
      <c r="W989" s="22"/>
      <c r="X989" s="72"/>
    </row>
    <row r="990" spans="1:24" ht="35.1" customHeight="1" x14ac:dyDescent="0.25">
      <c r="A990" s="12">
        <f t="shared" si="51"/>
        <v>989</v>
      </c>
      <c r="B990" s="12"/>
      <c r="C990" s="20"/>
      <c r="D990" s="18"/>
      <c r="H990" s="12" t="str">
        <f t="shared" si="52"/>
        <v>0 г. 0 мес. 0 дн.</v>
      </c>
      <c r="V990" s="12" t="str">
        <f t="shared" si="53"/>
        <v>0 г. 0 мес. 0 дн.</v>
      </c>
      <c r="W990" s="22"/>
      <c r="X990" s="72"/>
    </row>
    <row r="991" spans="1:24" ht="35.1" customHeight="1" x14ac:dyDescent="0.25">
      <c r="A991" s="12">
        <f t="shared" si="51"/>
        <v>990</v>
      </c>
      <c r="B991" s="12"/>
      <c r="C991" s="20"/>
      <c r="D991" s="18"/>
      <c r="H991" s="12" t="str">
        <f t="shared" si="52"/>
        <v>0 г. 0 мес. 0 дн.</v>
      </c>
      <c r="V991" s="12" t="str">
        <f t="shared" si="53"/>
        <v>0 г. 0 мес. 0 дн.</v>
      </c>
      <c r="W991" s="22"/>
      <c r="X991" s="72"/>
    </row>
    <row r="992" spans="1:24" ht="35.1" customHeight="1" x14ac:dyDescent="0.25">
      <c r="A992" s="12">
        <f t="shared" si="51"/>
        <v>991</v>
      </c>
      <c r="B992" s="12"/>
      <c r="C992" s="20"/>
      <c r="D992" s="18"/>
      <c r="H992" s="12" t="str">
        <f t="shared" si="52"/>
        <v>0 г. 0 мес. 0 дн.</v>
      </c>
      <c r="V992" s="12" t="str">
        <f t="shared" si="53"/>
        <v>0 г. 0 мес. 0 дн.</v>
      </c>
      <c r="W992" s="22"/>
      <c r="X992" s="72"/>
    </row>
    <row r="993" spans="1:24" ht="35.1" customHeight="1" x14ac:dyDescent="0.25">
      <c r="A993" s="12">
        <f t="shared" si="51"/>
        <v>992</v>
      </c>
      <c r="B993" s="12"/>
      <c r="C993" s="20"/>
      <c r="D993" s="18"/>
      <c r="H993" s="12" t="str">
        <f t="shared" si="52"/>
        <v>0 г. 0 мес. 0 дн.</v>
      </c>
      <c r="V993" s="12" t="str">
        <f t="shared" si="53"/>
        <v>0 г. 0 мес. 0 дн.</v>
      </c>
      <c r="W993" s="22"/>
      <c r="X993" s="72"/>
    </row>
    <row r="994" spans="1:24" ht="35.1" customHeight="1" x14ac:dyDescent="0.25">
      <c r="A994" s="12">
        <f t="shared" si="51"/>
        <v>993</v>
      </c>
      <c r="B994" s="12"/>
      <c r="C994" s="20"/>
      <c r="D994" s="18"/>
      <c r="H994" s="12" t="str">
        <f t="shared" si="52"/>
        <v>0 г. 0 мес. 0 дн.</v>
      </c>
      <c r="V994" s="12" t="str">
        <f t="shared" si="53"/>
        <v>0 г. 0 мес. 0 дн.</v>
      </c>
      <c r="W994" s="22"/>
      <c r="X994" s="72"/>
    </row>
    <row r="995" spans="1:24" ht="35.1" customHeight="1" x14ac:dyDescent="0.25">
      <c r="A995" s="12">
        <f t="shared" si="51"/>
        <v>994</v>
      </c>
      <c r="B995" s="12"/>
      <c r="C995" s="20"/>
      <c r="D995" s="18"/>
      <c r="H995" s="12" t="str">
        <f t="shared" si="52"/>
        <v>0 г. 0 мес. 0 дн.</v>
      </c>
      <c r="V995" s="12" t="str">
        <f t="shared" si="53"/>
        <v>0 г. 0 мес. 0 дн.</v>
      </c>
      <c r="W995" s="22"/>
      <c r="X995" s="72"/>
    </row>
    <row r="996" spans="1:24" ht="35.1" customHeight="1" x14ac:dyDescent="0.25">
      <c r="A996" s="12">
        <f t="shared" si="51"/>
        <v>995</v>
      </c>
      <c r="B996" s="12"/>
      <c r="C996" s="20"/>
      <c r="D996" s="18"/>
      <c r="H996" s="12" t="str">
        <f t="shared" si="52"/>
        <v>0 г. 0 мес. 0 дн.</v>
      </c>
      <c r="V996" s="12" t="str">
        <f t="shared" si="53"/>
        <v>0 г. 0 мес. 0 дн.</v>
      </c>
      <c r="W996" s="22"/>
      <c r="X996" s="72"/>
    </row>
    <row r="997" spans="1:24" ht="35.1" customHeight="1" x14ac:dyDescent="0.25">
      <c r="A997" s="12">
        <f t="shared" si="51"/>
        <v>996</v>
      </c>
      <c r="B997" s="12"/>
      <c r="C997" s="20"/>
      <c r="D997" s="18"/>
      <c r="H997" s="12" t="str">
        <f t="shared" si="52"/>
        <v>0 г. 0 мес. 0 дн.</v>
      </c>
      <c r="V997" s="12" t="str">
        <f t="shared" si="53"/>
        <v>0 г. 0 мес. 0 дн.</v>
      </c>
      <c r="W997" s="22"/>
      <c r="X997" s="72"/>
    </row>
    <row r="998" spans="1:24" ht="35.1" customHeight="1" x14ac:dyDescent="0.25">
      <c r="A998" s="12">
        <f t="shared" si="51"/>
        <v>997</v>
      </c>
      <c r="B998" s="12"/>
      <c r="C998" s="20"/>
      <c r="D998" s="18"/>
      <c r="H998" s="12" t="str">
        <f t="shared" si="52"/>
        <v>0 г. 0 мес. 0 дн.</v>
      </c>
      <c r="V998" s="12" t="str">
        <f t="shared" si="53"/>
        <v>0 г. 0 мес. 0 дн.</v>
      </c>
      <c r="W998" s="22"/>
      <c r="X998" s="72"/>
    </row>
    <row r="999" spans="1:24" ht="35.1" customHeight="1" x14ac:dyDescent="0.25">
      <c r="A999" s="12">
        <f t="shared" si="51"/>
        <v>998</v>
      </c>
      <c r="B999" s="12"/>
      <c r="C999" s="20"/>
      <c r="D999" s="18"/>
      <c r="H999" s="12" t="str">
        <f t="shared" si="52"/>
        <v>0 г. 0 мес. 0 дн.</v>
      </c>
      <c r="V999" s="12" t="str">
        <f t="shared" si="53"/>
        <v>0 г. 0 мес. 0 дн.</v>
      </c>
      <c r="W999" s="22"/>
      <c r="X999" s="72"/>
    </row>
    <row r="1000" spans="1:24" ht="35.1" customHeight="1" x14ac:dyDescent="0.25">
      <c r="A1000" s="12">
        <f t="shared" si="51"/>
        <v>999</v>
      </c>
      <c r="B1000" s="12"/>
      <c r="C1000" s="20"/>
      <c r="D1000" s="18"/>
      <c r="H1000" s="12" t="str">
        <f t="shared" si="52"/>
        <v>0 г. 0 мес. 0 дн.</v>
      </c>
      <c r="V1000" s="12" t="str">
        <f t="shared" si="53"/>
        <v>0 г. 0 мес. 0 дн.</v>
      </c>
      <c r="W1000" s="22"/>
      <c r="X1000" s="72"/>
    </row>
    <row r="1001" spans="1:24" ht="35.1" customHeight="1" x14ac:dyDescent="0.25">
      <c r="A1001" s="12">
        <f t="shared" si="51"/>
        <v>1000</v>
      </c>
      <c r="B1001" s="12"/>
      <c r="C1001" s="20"/>
      <c r="D1001" s="18"/>
      <c r="H1001" s="12" t="str">
        <f t="shared" si="52"/>
        <v>0 г. 0 мес. 0 дн.</v>
      </c>
      <c r="V1001" s="12" t="str">
        <f t="shared" si="53"/>
        <v>0 г. 0 мес. 0 дн.</v>
      </c>
      <c r="W1001" s="22"/>
      <c r="X1001" s="72"/>
    </row>
    <row r="1002" spans="1:24" ht="35.1" customHeight="1" x14ac:dyDescent="0.25">
      <c r="A1002" s="12">
        <f t="shared" si="51"/>
        <v>1001</v>
      </c>
      <c r="B1002" s="12"/>
      <c r="C1002" s="20"/>
      <c r="D1002" s="18"/>
      <c r="H1002" s="12" t="str">
        <f t="shared" si="52"/>
        <v>0 г. 0 мес. 0 дн.</v>
      </c>
      <c r="V1002" s="12" t="str">
        <f t="shared" si="53"/>
        <v>0 г. 0 мес. 0 дн.</v>
      </c>
      <c r="W1002" s="22"/>
      <c r="X1002" s="72"/>
    </row>
    <row r="1003" spans="1:24" ht="35.1" customHeight="1" x14ac:dyDescent="0.25">
      <c r="A1003" s="12">
        <f t="shared" si="51"/>
        <v>1002</v>
      </c>
      <c r="B1003" s="12"/>
      <c r="C1003" s="20"/>
      <c r="D1003" s="18"/>
      <c r="H1003" s="12" t="str">
        <f t="shared" si="52"/>
        <v>0 г. 0 мес. 0 дн.</v>
      </c>
      <c r="V1003" s="12" t="str">
        <f t="shared" si="53"/>
        <v>0 г. 0 мес. 0 дн.</v>
      </c>
      <c r="W1003" s="22"/>
      <c r="X1003" s="72"/>
    </row>
    <row r="1004" spans="1:24" ht="35.1" customHeight="1" x14ac:dyDescent="0.25">
      <c r="A1004" s="12">
        <f t="shared" si="51"/>
        <v>1003</v>
      </c>
      <c r="B1004" s="12"/>
      <c r="C1004" s="20"/>
      <c r="D1004" s="18"/>
      <c r="H1004" s="12" t="str">
        <f t="shared" si="52"/>
        <v>0 г. 0 мес. 0 дн.</v>
      </c>
      <c r="V1004" s="12" t="str">
        <f t="shared" si="53"/>
        <v>0 г. 0 мес. 0 дн.</v>
      </c>
      <c r="W1004" s="22"/>
      <c r="X1004" s="72"/>
    </row>
    <row r="1005" spans="1:24" ht="35.1" customHeight="1" x14ac:dyDescent="0.25">
      <c r="A1005" s="12">
        <f t="shared" si="51"/>
        <v>1004</v>
      </c>
      <c r="B1005" s="12"/>
      <c r="C1005" s="20"/>
      <c r="D1005" s="18"/>
      <c r="H1005" s="12" t="str">
        <f t="shared" si="52"/>
        <v>0 г. 0 мес. 0 дн.</v>
      </c>
      <c r="V1005" s="12" t="str">
        <f t="shared" si="53"/>
        <v>0 г. 0 мес. 0 дн.</v>
      </c>
      <c r="W1005" s="22"/>
      <c r="X1005" s="72"/>
    </row>
    <row r="1006" spans="1:24" ht="35.1" customHeight="1" x14ac:dyDescent="0.25">
      <c r="A1006" s="12">
        <f t="shared" si="51"/>
        <v>1005</v>
      </c>
      <c r="B1006" s="12"/>
      <c r="C1006" s="20"/>
      <c r="D1006" s="18"/>
      <c r="H1006" s="12" t="str">
        <f t="shared" si="52"/>
        <v>0 г. 0 мес. 0 дн.</v>
      </c>
      <c r="V1006" s="12" t="str">
        <f t="shared" si="53"/>
        <v>0 г. 0 мес. 0 дн.</v>
      </c>
      <c r="W1006" s="22"/>
      <c r="X1006" s="72"/>
    </row>
    <row r="1007" spans="1:24" ht="35.1" customHeight="1" x14ac:dyDescent="0.25">
      <c r="A1007" s="12">
        <f t="shared" si="51"/>
        <v>1006</v>
      </c>
      <c r="B1007" s="12"/>
      <c r="C1007" s="20"/>
      <c r="D1007" s="18"/>
      <c r="H1007" s="12" t="str">
        <f t="shared" si="52"/>
        <v>0 г. 0 мес. 0 дн.</v>
      </c>
      <c r="V1007" s="12" t="str">
        <f t="shared" si="53"/>
        <v>0 г. 0 мес. 0 дн.</v>
      </c>
      <c r="W1007" s="22"/>
      <c r="X1007" s="72"/>
    </row>
    <row r="1008" spans="1:24" ht="35.1" customHeight="1" x14ac:dyDescent="0.25">
      <c r="A1008" s="12">
        <f t="shared" si="51"/>
        <v>1007</v>
      </c>
      <c r="B1008" s="12"/>
      <c r="C1008" s="20"/>
      <c r="D1008" s="18"/>
      <c r="H1008" s="12" t="str">
        <f t="shared" si="52"/>
        <v>0 г. 0 мес. 0 дн.</v>
      </c>
      <c r="V1008" s="12" t="str">
        <f t="shared" si="53"/>
        <v>0 г. 0 мес. 0 дн.</v>
      </c>
      <c r="W1008" s="22"/>
      <c r="X1008" s="72"/>
    </row>
    <row r="1009" spans="1:24" ht="35.1" customHeight="1" x14ac:dyDescent="0.25">
      <c r="A1009" s="12">
        <f t="shared" si="51"/>
        <v>1008</v>
      </c>
      <c r="B1009" s="12"/>
      <c r="C1009" s="20"/>
      <c r="D1009" s="18"/>
      <c r="H1009" s="12" t="str">
        <f t="shared" si="52"/>
        <v>0 г. 0 мес. 0 дн.</v>
      </c>
      <c r="V1009" s="12" t="str">
        <f t="shared" si="53"/>
        <v>0 г. 0 мес. 0 дн.</v>
      </c>
      <c r="W1009" s="22"/>
      <c r="X1009" s="72"/>
    </row>
    <row r="1010" spans="1:24" ht="35.1" customHeight="1" x14ac:dyDescent="0.25">
      <c r="A1010" s="12">
        <f t="shared" si="51"/>
        <v>1009</v>
      </c>
      <c r="B1010" s="12"/>
      <c r="C1010" s="20"/>
      <c r="D1010" s="18"/>
      <c r="H1010" s="12" t="str">
        <f t="shared" si="52"/>
        <v>0 г. 0 мес. 0 дн.</v>
      </c>
      <c r="V1010" s="12" t="str">
        <f t="shared" si="53"/>
        <v>0 г. 0 мес. 0 дн.</v>
      </c>
      <c r="W1010" s="22"/>
      <c r="X1010" s="72"/>
    </row>
    <row r="1011" spans="1:24" ht="35.1" customHeight="1" x14ac:dyDescent="0.25">
      <c r="A1011" s="12">
        <f t="shared" si="51"/>
        <v>1010</v>
      </c>
      <c r="B1011" s="12"/>
      <c r="C1011" s="20"/>
      <c r="D1011" s="18"/>
      <c r="H1011" s="12" t="str">
        <f t="shared" si="52"/>
        <v>0 г. 0 мес. 0 дн.</v>
      </c>
      <c r="V1011" s="12" t="str">
        <f t="shared" si="53"/>
        <v>0 г. 0 мес. 0 дн.</v>
      </c>
      <c r="W1011" s="22"/>
      <c r="X1011" s="72"/>
    </row>
    <row r="1012" spans="1:24" ht="35.1" customHeight="1" x14ac:dyDescent="0.25">
      <c r="A1012" s="12">
        <f t="shared" si="51"/>
        <v>1011</v>
      </c>
      <c r="B1012" s="12"/>
      <c r="C1012" s="20"/>
      <c r="D1012" s="18"/>
      <c r="H1012" s="12" t="str">
        <f t="shared" si="52"/>
        <v>0 г. 0 мес. 0 дн.</v>
      </c>
      <c r="V1012" s="12" t="str">
        <f t="shared" si="53"/>
        <v>0 г. 0 мес. 0 дн.</v>
      </c>
      <c r="W1012" s="22"/>
      <c r="X1012" s="72"/>
    </row>
    <row r="1013" spans="1:24" ht="35.1" customHeight="1" x14ac:dyDescent="0.25">
      <c r="A1013" s="12">
        <f t="shared" si="51"/>
        <v>1012</v>
      </c>
      <c r="B1013" s="12"/>
      <c r="C1013" s="20"/>
      <c r="D1013" s="18"/>
      <c r="H1013" s="12" t="str">
        <f t="shared" si="52"/>
        <v>0 г. 0 мес. 0 дн.</v>
      </c>
      <c r="V1013" s="12" t="str">
        <f t="shared" si="53"/>
        <v>0 г. 0 мес. 0 дн.</v>
      </c>
      <c r="W1013" s="22"/>
      <c r="X1013" s="72"/>
    </row>
    <row r="1014" spans="1:24" ht="35.1" customHeight="1" x14ac:dyDescent="0.25">
      <c r="A1014" s="12">
        <f t="shared" si="51"/>
        <v>1013</v>
      </c>
      <c r="B1014" s="12"/>
      <c r="C1014" s="20"/>
      <c r="D1014" s="18"/>
      <c r="H1014" s="12" t="str">
        <f t="shared" si="52"/>
        <v>0 г. 0 мес. 0 дн.</v>
      </c>
      <c r="V1014" s="12" t="str">
        <f t="shared" si="53"/>
        <v>0 г. 0 мес. 0 дн.</v>
      </c>
      <c r="W1014" s="22"/>
      <c r="X1014" s="72"/>
    </row>
    <row r="1015" spans="1:24" ht="35.1" customHeight="1" x14ac:dyDescent="0.25">
      <c r="A1015" s="12">
        <f t="shared" si="51"/>
        <v>1014</v>
      </c>
      <c r="B1015" s="12"/>
      <c r="C1015" s="20"/>
      <c r="D1015" s="18"/>
      <c r="H1015" s="12" t="str">
        <f t="shared" si="52"/>
        <v>0 г. 0 мес. 0 дн.</v>
      </c>
      <c r="V1015" s="12" t="str">
        <f t="shared" si="53"/>
        <v>0 г. 0 мес. 0 дн.</v>
      </c>
      <c r="W1015" s="22"/>
      <c r="X1015" s="72"/>
    </row>
    <row r="1016" spans="1:24" ht="35.1" customHeight="1" x14ac:dyDescent="0.25">
      <c r="A1016" s="12">
        <f t="shared" si="51"/>
        <v>1015</v>
      </c>
      <c r="B1016" s="12"/>
      <c r="C1016" s="20"/>
      <c r="D1016" s="18"/>
      <c r="H1016" s="12" t="str">
        <f t="shared" si="52"/>
        <v>0 г. 0 мес. 0 дн.</v>
      </c>
      <c r="V1016" s="12" t="str">
        <f t="shared" si="53"/>
        <v>0 г. 0 мес. 0 дн.</v>
      </c>
      <c r="W1016" s="22"/>
      <c r="X1016" s="72"/>
    </row>
    <row r="1017" spans="1:24" ht="35.1" customHeight="1" x14ac:dyDescent="0.25">
      <c r="A1017" s="12">
        <f t="shared" si="51"/>
        <v>1016</v>
      </c>
      <c r="B1017" s="12"/>
      <c r="C1017" s="20"/>
      <c r="D1017" s="18"/>
      <c r="H1017" s="12" t="str">
        <f t="shared" si="52"/>
        <v>0 г. 0 мес. 0 дн.</v>
      </c>
      <c r="V1017" s="12" t="str">
        <f t="shared" si="53"/>
        <v>0 г. 0 мес. 0 дн.</v>
      </c>
      <c r="W1017" s="22"/>
      <c r="X1017" s="72"/>
    </row>
    <row r="1018" spans="1:24" ht="35.1" customHeight="1" x14ac:dyDescent="0.25">
      <c r="A1018" s="12">
        <f t="shared" si="51"/>
        <v>1017</v>
      </c>
      <c r="B1018" s="12"/>
      <c r="C1018" s="20"/>
      <c r="D1018" s="18"/>
      <c r="H1018" s="12" t="str">
        <f t="shared" si="52"/>
        <v>0 г. 0 мес. 0 дн.</v>
      </c>
      <c r="V1018" s="12" t="str">
        <f t="shared" si="53"/>
        <v>0 г. 0 мес. 0 дн.</v>
      </c>
      <c r="W1018" s="22"/>
      <c r="X1018" s="72"/>
    </row>
    <row r="1019" spans="1:24" ht="35.1" customHeight="1" x14ac:dyDescent="0.25">
      <c r="A1019" s="12">
        <f t="shared" si="51"/>
        <v>1018</v>
      </c>
      <c r="B1019" s="12"/>
      <c r="C1019" s="20"/>
      <c r="D1019" s="18"/>
      <c r="H1019" s="12" t="str">
        <f t="shared" si="52"/>
        <v>0 г. 0 мес. 0 дн.</v>
      </c>
      <c r="V1019" s="12" t="str">
        <f t="shared" si="53"/>
        <v>0 г. 0 мес. 0 дн.</v>
      </c>
      <c r="W1019" s="22"/>
      <c r="X1019" s="72"/>
    </row>
    <row r="1020" spans="1:24" ht="35.1" customHeight="1" x14ac:dyDescent="0.25">
      <c r="A1020" s="12">
        <f t="shared" si="51"/>
        <v>1019</v>
      </c>
      <c r="B1020" s="12"/>
      <c r="C1020" s="20"/>
      <c r="D1020" s="18"/>
      <c r="H1020" s="12" t="str">
        <f t="shared" si="52"/>
        <v>0 г. 0 мес. 0 дн.</v>
      </c>
      <c r="V1020" s="12" t="str">
        <f t="shared" si="53"/>
        <v>0 г. 0 мес. 0 дн.</v>
      </c>
      <c r="W1020" s="22"/>
      <c r="X1020" s="72"/>
    </row>
    <row r="1021" spans="1:24" ht="35.1" customHeight="1" x14ac:dyDescent="0.25">
      <c r="A1021" s="12">
        <f t="shared" si="51"/>
        <v>1020</v>
      </c>
      <c r="B1021" s="12"/>
      <c r="C1021" s="20"/>
      <c r="D1021" s="18"/>
      <c r="H1021" s="12" t="str">
        <f t="shared" si="52"/>
        <v>0 г. 0 мес. 0 дн.</v>
      </c>
      <c r="V1021" s="12" t="str">
        <f t="shared" si="53"/>
        <v>0 г. 0 мес. 0 дн.</v>
      </c>
      <c r="W1021" s="22"/>
      <c r="X1021" s="72"/>
    </row>
    <row r="1022" spans="1:24" ht="35.1" customHeight="1" x14ac:dyDescent="0.25">
      <c r="A1022" s="12">
        <f t="shared" si="51"/>
        <v>1021</v>
      </c>
      <c r="B1022" s="12"/>
      <c r="C1022" s="20"/>
      <c r="D1022" s="18"/>
      <c r="H1022" s="12" t="str">
        <f t="shared" si="52"/>
        <v>0 г. 0 мес. 0 дн.</v>
      </c>
      <c r="V1022" s="12" t="str">
        <f t="shared" si="53"/>
        <v>0 г. 0 мес. 0 дн.</v>
      </c>
      <c r="W1022" s="22"/>
      <c r="X1022" s="72"/>
    </row>
    <row r="1023" spans="1:24" ht="35.1" customHeight="1" x14ac:dyDescent="0.25">
      <c r="A1023" s="12">
        <f t="shared" si="51"/>
        <v>1022</v>
      </c>
      <c r="B1023" s="12"/>
      <c r="C1023" s="20"/>
      <c r="D1023" s="18"/>
      <c r="H1023" s="12" t="str">
        <f t="shared" si="52"/>
        <v>0 г. 0 мес. 0 дн.</v>
      </c>
      <c r="V1023" s="12" t="str">
        <f t="shared" si="53"/>
        <v>0 г. 0 мес. 0 дн.</v>
      </c>
      <c r="W1023" s="22"/>
      <c r="X1023" s="72"/>
    </row>
    <row r="1024" spans="1:24" ht="35.1" customHeight="1" x14ac:dyDescent="0.25">
      <c r="A1024" s="12">
        <f t="shared" si="51"/>
        <v>1023</v>
      </c>
      <c r="B1024" s="12"/>
      <c r="C1024" s="20"/>
      <c r="D1024" s="18"/>
      <c r="H1024" s="12" t="str">
        <f t="shared" si="52"/>
        <v>0 г. 0 мес. 0 дн.</v>
      </c>
      <c r="V1024" s="12" t="str">
        <f t="shared" si="53"/>
        <v>0 г. 0 мес. 0 дн.</v>
      </c>
      <c r="W1024" s="22"/>
      <c r="X1024" s="72"/>
    </row>
    <row r="1025" spans="1:24" ht="35.1" customHeight="1" x14ac:dyDescent="0.25">
      <c r="A1025" s="12">
        <f t="shared" ref="A1025:A1088" si="54">ROW(A1024)</f>
        <v>1024</v>
      </c>
      <c r="B1025" s="12"/>
      <c r="C1025" s="20"/>
      <c r="D1025" s="18"/>
      <c r="H1025" s="12" t="str">
        <f t="shared" si="52"/>
        <v>0 г. 0 мес. 0 дн.</v>
      </c>
      <c r="V1025" s="12" t="str">
        <f t="shared" si="53"/>
        <v>0 г. 0 мес. 0 дн.</v>
      </c>
      <c r="W1025" s="22"/>
      <c r="X1025" s="72"/>
    </row>
    <row r="1026" spans="1:24" ht="35.1" customHeight="1" x14ac:dyDescent="0.25">
      <c r="A1026" s="12">
        <f t="shared" si="54"/>
        <v>1025</v>
      </c>
      <c r="B1026" s="12"/>
      <c r="C1026" s="20"/>
      <c r="D1026" s="18"/>
      <c r="H1026" s="12" t="str">
        <f t="shared" si="52"/>
        <v>0 г. 0 мес. 0 дн.</v>
      </c>
      <c r="V1026" s="12" t="str">
        <f t="shared" si="53"/>
        <v>0 г. 0 мес. 0 дн.</v>
      </c>
      <c r="W1026" s="22"/>
      <c r="X1026" s="72"/>
    </row>
    <row r="1027" spans="1:24" ht="35.1" customHeight="1" x14ac:dyDescent="0.25">
      <c r="A1027" s="12">
        <f t="shared" si="54"/>
        <v>1026</v>
      </c>
      <c r="B1027" s="12"/>
      <c r="C1027" s="20"/>
      <c r="D1027" s="18"/>
      <c r="H1027" s="12" t="str">
        <f t="shared" si="52"/>
        <v>0 г. 0 мес. 0 дн.</v>
      </c>
      <c r="V1027" s="12" t="str">
        <f t="shared" si="53"/>
        <v>0 г. 0 мес. 0 дн.</v>
      </c>
      <c r="W1027" s="22"/>
      <c r="X1027" s="72"/>
    </row>
    <row r="1028" spans="1:24" ht="35.1" customHeight="1" x14ac:dyDescent="0.25">
      <c r="A1028" s="12">
        <f t="shared" si="54"/>
        <v>1027</v>
      </c>
      <c r="B1028" s="12"/>
      <c r="C1028" s="20"/>
      <c r="D1028" s="18"/>
      <c r="H1028" s="12" t="str">
        <f t="shared" si="52"/>
        <v>0 г. 0 мес. 0 дн.</v>
      </c>
      <c r="V1028" s="12" t="str">
        <f t="shared" si="53"/>
        <v>0 г. 0 мес. 0 дн.</v>
      </c>
      <c r="W1028" s="22"/>
      <c r="X1028" s="72"/>
    </row>
    <row r="1029" spans="1:24" ht="35.1" customHeight="1" x14ac:dyDescent="0.25">
      <c r="A1029" s="12">
        <f t="shared" si="54"/>
        <v>1028</v>
      </c>
      <c r="B1029" s="12"/>
      <c r="C1029" s="20"/>
      <c r="D1029" s="18"/>
      <c r="H1029" s="12" t="str">
        <f t="shared" si="52"/>
        <v>0 г. 0 мес. 0 дн.</v>
      </c>
      <c r="V1029" s="12" t="str">
        <f t="shared" si="53"/>
        <v>0 г. 0 мес. 0 дн.</v>
      </c>
      <c r="W1029" s="22"/>
      <c r="X1029" s="72"/>
    </row>
    <row r="1030" spans="1:24" ht="35.1" customHeight="1" x14ac:dyDescent="0.25">
      <c r="A1030" s="12">
        <f t="shared" si="54"/>
        <v>1029</v>
      </c>
      <c r="B1030" s="12"/>
      <c r="C1030" s="20"/>
      <c r="D1030" s="18"/>
      <c r="H1030" s="12" t="str">
        <f t="shared" ref="H1030:H1093" si="55">DATEDIF(G1030,D1030,"y") &amp; " г. " &amp; DATEDIF(G1030,D1030,"ym") &amp; " мес. " &amp; DATEDIF(G1030,D1030,"md") &amp; " дн."</f>
        <v>0 г. 0 мес. 0 дн.</v>
      </c>
      <c r="V1030" s="12" t="str">
        <f t="shared" si="53"/>
        <v>0 г. 0 мес. 0 дн.</v>
      </c>
      <c r="W1030" s="22"/>
      <c r="X1030" s="72"/>
    </row>
    <row r="1031" spans="1:24" ht="35.1" customHeight="1" x14ac:dyDescent="0.25">
      <c r="A1031" s="12">
        <f t="shared" si="54"/>
        <v>1030</v>
      </c>
      <c r="B1031" s="12"/>
      <c r="C1031" s="20"/>
      <c r="D1031" s="18"/>
      <c r="H1031" s="12" t="str">
        <f t="shared" si="55"/>
        <v>0 г. 0 мес. 0 дн.</v>
      </c>
      <c r="V1031" s="12" t="str">
        <f t="shared" si="53"/>
        <v>0 г. 0 мес. 0 дн.</v>
      </c>
      <c r="W1031" s="22"/>
      <c r="X1031" s="72"/>
    </row>
    <row r="1032" spans="1:24" ht="35.1" customHeight="1" x14ac:dyDescent="0.25">
      <c r="A1032" s="12">
        <f t="shared" si="54"/>
        <v>1031</v>
      </c>
      <c r="B1032" s="12"/>
      <c r="C1032" s="20"/>
      <c r="D1032" s="18"/>
      <c r="H1032" s="12" t="str">
        <f t="shared" si="55"/>
        <v>0 г. 0 мес. 0 дн.</v>
      </c>
      <c r="V1032" s="12" t="str">
        <f t="shared" si="53"/>
        <v>0 г. 0 мес. 0 дн.</v>
      </c>
      <c r="W1032" s="22"/>
      <c r="X1032" s="72"/>
    </row>
    <row r="1033" spans="1:24" ht="35.1" customHeight="1" x14ac:dyDescent="0.25">
      <c r="A1033" s="12">
        <f t="shared" si="54"/>
        <v>1032</v>
      </c>
      <c r="B1033" s="12"/>
      <c r="C1033" s="20"/>
      <c r="D1033" s="18"/>
      <c r="H1033" s="12" t="str">
        <f t="shared" si="55"/>
        <v>0 г. 0 мес. 0 дн.</v>
      </c>
      <c r="V1033" s="12" t="str">
        <f t="shared" si="53"/>
        <v>0 г. 0 мес. 0 дн.</v>
      </c>
      <c r="W1033" s="22"/>
      <c r="X1033" s="72"/>
    </row>
    <row r="1034" spans="1:24" ht="35.1" customHeight="1" x14ac:dyDescent="0.25">
      <c r="A1034" s="12">
        <f t="shared" si="54"/>
        <v>1033</v>
      </c>
      <c r="B1034" s="12"/>
      <c r="C1034" s="20"/>
      <c r="D1034" s="18"/>
      <c r="H1034" s="12" t="str">
        <f t="shared" si="55"/>
        <v>0 г. 0 мес. 0 дн.</v>
      </c>
      <c r="V1034" s="12" t="str">
        <f t="shared" si="53"/>
        <v>0 г. 0 мес. 0 дн.</v>
      </c>
      <c r="W1034" s="22"/>
      <c r="X1034" s="72"/>
    </row>
    <row r="1035" spans="1:24" ht="35.1" customHeight="1" x14ac:dyDescent="0.25">
      <c r="A1035" s="12">
        <f t="shared" si="54"/>
        <v>1034</v>
      </c>
      <c r="B1035" s="12"/>
      <c r="C1035" s="20"/>
      <c r="D1035" s="18"/>
      <c r="H1035" s="12" t="str">
        <f t="shared" si="55"/>
        <v>0 г. 0 мес. 0 дн.</v>
      </c>
      <c r="V1035" s="12" t="str">
        <f t="shared" si="53"/>
        <v>0 г. 0 мес. 0 дн.</v>
      </c>
      <c r="W1035" s="22"/>
      <c r="X1035" s="72"/>
    </row>
    <row r="1036" spans="1:24" ht="35.1" customHeight="1" x14ac:dyDescent="0.25">
      <c r="A1036" s="12">
        <f t="shared" si="54"/>
        <v>1035</v>
      </c>
      <c r="B1036" s="12"/>
      <c r="C1036" s="20"/>
      <c r="D1036" s="18"/>
      <c r="H1036" s="12" t="str">
        <f t="shared" si="55"/>
        <v>0 г. 0 мес. 0 дн.</v>
      </c>
      <c r="V1036" s="12" t="str">
        <f t="shared" si="53"/>
        <v>0 г. 0 мес. 0 дн.</v>
      </c>
      <c r="W1036" s="22"/>
      <c r="X1036" s="72"/>
    </row>
    <row r="1037" spans="1:24" ht="35.1" customHeight="1" x14ac:dyDescent="0.25">
      <c r="A1037" s="12">
        <f t="shared" si="54"/>
        <v>1036</v>
      </c>
      <c r="B1037" s="12"/>
      <c r="C1037" s="20"/>
      <c r="D1037" s="18"/>
      <c r="H1037" s="12" t="str">
        <f t="shared" si="55"/>
        <v>0 г. 0 мес. 0 дн.</v>
      </c>
      <c r="V1037" s="12" t="str">
        <f t="shared" si="53"/>
        <v>0 г. 0 мес. 0 дн.</v>
      </c>
      <c r="W1037" s="22"/>
      <c r="X1037" s="72"/>
    </row>
    <row r="1038" spans="1:24" ht="35.1" customHeight="1" x14ac:dyDescent="0.25">
      <c r="A1038" s="12">
        <f t="shared" si="54"/>
        <v>1037</v>
      </c>
      <c r="B1038" s="12"/>
      <c r="C1038" s="20"/>
      <c r="D1038" s="18"/>
      <c r="H1038" s="12" t="str">
        <f t="shared" si="55"/>
        <v>0 г. 0 мес. 0 дн.</v>
      </c>
      <c r="V1038" s="12" t="str">
        <f t="shared" si="53"/>
        <v>0 г. 0 мес. 0 дн.</v>
      </c>
      <c r="W1038" s="22"/>
      <c r="X1038" s="72"/>
    </row>
    <row r="1039" spans="1:24" ht="35.1" customHeight="1" x14ac:dyDescent="0.25">
      <c r="A1039" s="12">
        <f t="shared" si="54"/>
        <v>1038</v>
      </c>
      <c r="B1039" s="12"/>
      <c r="C1039" s="20"/>
      <c r="D1039" s="18"/>
      <c r="H1039" s="12" t="str">
        <f t="shared" si="55"/>
        <v>0 г. 0 мес. 0 дн.</v>
      </c>
      <c r="V1039" s="12" t="str">
        <f t="shared" si="53"/>
        <v>0 г. 0 мес. 0 дн.</v>
      </c>
      <c r="W1039" s="22"/>
      <c r="X1039" s="72"/>
    </row>
    <row r="1040" spans="1:24" ht="35.1" customHeight="1" x14ac:dyDescent="0.25">
      <c r="A1040" s="12">
        <f t="shared" si="54"/>
        <v>1039</v>
      </c>
      <c r="B1040" s="12"/>
      <c r="C1040" s="20"/>
      <c r="D1040" s="18"/>
      <c r="H1040" s="12" t="str">
        <f t="shared" si="55"/>
        <v>0 г. 0 мес. 0 дн.</v>
      </c>
      <c r="V1040" s="12" t="str">
        <f t="shared" si="53"/>
        <v>0 г. 0 мес. 0 дн.</v>
      </c>
      <c r="W1040" s="22"/>
      <c r="X1040" s="72"/>
    </row>
    <row r="1041" spans="1:24" ht="35.1" customHeight="1" x14ac:dyDescent="0.25">
      <c r="A1041" s="12">
        <f t="shared" si="54"/>
        <v>1040</v>
      </c>
      <c r="B1041" s="12"/>
      <c r="C1041" s="20"/>
      <c r="D1041" s="18"/>
      <c r="H1041" s="12" t="str">
        <f t="shared" si="55"/>
        <v>0 г. 0 мес. 0 дн.</v>
      </c>
      <c r="V1041" s="12" t="str">
        <f t="shared" si="53"/>
        <v>0 г. 0 мес. 0 дн.</v>
      </c>
      <c r="W1041" s="22"/>
      <c r="X1041" s="72"/>
    </row>
    <row r="1042" spans="1:24" ht="35.1" customHeight="1" x14ac:dyDescent="0.25">
      <c r="A1042" s="12">
        <f t="shared" si="54"/>
        <v>1041</v>
      </c>
      <c r="B1042" s="12"/>
      <c r="C1042" s="20"/>
      <c r="D1042" s="18"/>
      <c r="H1042" s="12" t="str">
        <f t="shared" si="55"/>
        <v>0 г. 0 мес. 0 дн.</v>
      </c>
      <c r="V1042" s="12" t="str">
        <f t="shared" si="53"/>
        <v>0 г. 0 мес. 0 дн.</v>
      </c>
      <c r="W1042" s="22"/>
      <c r="X1042" s="72"/>
    </row>
    <row r="1043" spans="1:24" ht="35.1" customHeight="1" x14ac:dyDescent="0.25">
      <c r="A1043" s="12">
        <f t="shared" si="54"/>
        <v>1042</v>
      </c>
      <c r="B1043" s="12"/>
      <c r="C1043" s="20"/>
      <c r="D1043" s="18"/>
      <c r="H1043" s="12" t="str">
        <f t="shared" si="55"/>
        <v>0 г. 0 мес. 0 дн.</v>
      </c>
      <c r="V1043" s="12" t="str">
        <f t="shared" si="53"/>
        <v>0 г. 0 мес. 0 дн.</v>
      </c>
      <c r="W1043" s="22"/>
      <c r="X1043" s="72"/>
    </row>
    <row r="1044" spans="1:24" ht="35.1" customHeight="1" x14ac:dyDescent="0.25">
      <c r="A1044" s="12">
        <f t="shared" si="54"/>
        <v>1043</v>
      </c>
      <c r="B1044" s="12"/>
      <c r="C1044" s="20"/>
      <c r="D1044" s="18"/>
      <c r="H1044" s="12" t="str">
        <f t="shared" si="55"/>
        <v>0 г. 0 мес. 0 дн.</v>
      </c>
      <c r="V1044" s="12" t="str">
        <f t="shared" si="53"/>
        <v>0 г. 0 мес. 0 дн.</v>
      </c>
      <c r="W1044" s="22"/>
      <c r="X1044" s="72"/>
    </row>
    <row r="1045" spans="1:24" ht="35.1" customHeight="1" x14ac:dyDescent="0.25">
      <c r="A1045" s="12">
        <f t="shared" si="54"/>
        <v>1044</v>
      </c>
      <c r="B1045" s="12"/>
      <c r="C1045" s="20"/>
      <c r="D1045" s="18"/>
      <c r="H1045" s="12" t="str">
        <f t="shared" si="55"/>
        <v>0 г. 0 мес. 0 дн.</v>
      </c>
      <c r="V1045" s="12" t="str">
        <f t="shared" si="53"/>
        <v>0 г. 0 мес. 0 дн.</v>
      </c>
      <c r="W1045" s="22"/>
      <c r="X1045" s="72"/>
    </row>
    <row r="1046" spans="1:24" ht="35.1" customHeight="1" x14ac:dyDescent="0.25">
      <c r="A1046" s="12">
        <f t="shared" si="54"/>
        <v>1045</v>
      </c>
      <c r="B1046" s="12"/>
      <c r="C1046" s="20"/>
      <c r="D1046" s="18"/>
      <c r="H1046" s="12" t="str">
        <f t="shared" si="55"/>
        <v>0 г. 0 мес. 0 дн.</v>
      </c>
      <c r="V1046" s="12" t="str">
        <f t="shared" si="53"/>
        <v>0 г. 0 мес. 0 дн.</v>
      </c>
      <c r="W1046" s="22"/>
      <c r="X1046" s="72"/>
    </row>
    <row r="1047" spans="1:24" ht="35.1" customHeight="1" x14ac:dyDescent="0.25">
      <c r="A1047" s="12">
        <f t="shared" si="54"/>
        <v>1046</v>
      </c>
      <c r="B1047" s="12"/>
      <c r="C1047" s="20"/>
      <c r="D1047" s="18"/>
      <c r="H1047" s="12" t="str">
        <f t="shared" si="55"/>
        <v>0 г. 0 мес. 0 дн.</v>
      </c>
      <c r="V1047" s="12" t="str">
        <f t="shared" si="53"/>
        <v>0 г. 0 мес. 0 дн.</v>
      </c>
      <c r="W1047" s="22"/>
      <c r="X1047" s="72"/>
    </row>
    <row r="1048" spans="1:24" ht="35.1" customHeight="1" x14ac:dyDescent="0.25">
      <c r="A1048" s="12">
        <f t="shared" si="54"/>
        <v>1047</v>
      </c>
      <c r="B1048" s="12"/>
      <c r="C1048" s="20"/>
      <c r="D1048" s="18"/>
      <c r="H1048" s="12" t="str">
        <f t="shared" si="55"/>
        <v>0 г. 0 мес. 0 дн.</v>
      </c>
      <c r="V1048" s="12" t="str">
        <f t="shared" ref="V1048:V1111" si="56">DATEDIF(D1048,T1048,"y") &amp; " г. " &amp; DATEDIF(D1048,T1048,"ym") &amp; " мес. " &amp; DATEDIF(D1048,T1048,"md") &amp; " дн."</f>
        <v>0 г. 0 мес. 0 дн.</v>
      </c>
      <c r="W1048" s="22"/>
      <c r="X1048" s="72"/>
    </row>
    <row r="1049" spans="1:24" ht="35.1" customHeight="1" x14ac:dyDescent="0.25">
      <c r="A1049" s="12">
        <f t="shared" si="54"/>
        <v>1048</v>
      </c>
      <c r="B1049" s="12"/>
      <c r="C1049" s="20"/>
      <c r="D1049" s="18"/>
      <c r="H1049" s="12" t="str">
        <f t="shared" si="55"/>
        <v>0 г. 0 мес. 0 дн.</v>
      </c>
      <c r="V1049" s="12" t="str">
        <f t="shared" si="56"/>
        <v>0 г. 0 мес. 0 дн.</v>
      </c>
      <c r="W1049" s="22"/>
      <c r="X1049" s="72"/>
    </row>
    <row r="1050" spans="1:24" ht="35.1" customHeight="1" x14ac:dyDescent="0.25">
      <c r="A1050" s="12">
        <f t="shared" si="54"/>
        <v>1049</v>
      </c>
      <c r="B1050" s="12"/>
      <c r="C1050" s="20"/>
      <c r="D1050" s="18"/>
      <c r="H1050" s="12" t="str">
        <f t="shared" si="55"/>
        <v>0 г. 0 мес. 0 дн.</v>
      </c>
      <c r="V1050" s="12" t="str">
        <f t="shared" si="56"/>
        <v>0 г. 0 мес. 0 дн.</v>
      </c>
      <c r="W1050" s="22"/>
      <c r="X1050" s="72"/>
    </row>
    <row r="1051" spans="1:24" ht="35.1" customHeight="1" x14ac:dyDescent="0.25">
      <c r="A1051" s="12">
        <f t="shared" si="54"/>
        <v>1050</v>
      </c>
      <c r="B1051" s="12"/>
      <c r="C1051" s="20"/>
      <c r="D1051" s="18"/>
      <c r="H1051" s="12" t="str">
        <f t="shared" si="55"/>
        <v>0 г. 0 мес. 0 дн.</v>
      </c>
      <c r="V1051" s="12" t="str">
        <f t="shared" si="56"/>
        <v>0 г. 0 мес. 0 дн.</v>
      </c>
      <c r="W1051" s="22"/>
      <c r="X1051" s="72"/>
    </row>
    <row r="1052" spans="1:24" ht="35.1" customHeight="1" x14ac:dyDescent="0.25">
      <c r="A1052" s="12">
        <f t="shared" si="54"/>
        <v>1051</v>
      </c>
      <c r="B1052" s="12"/>
      <c r="C1052" s="20"/>
      <c r="D1052" s="18"/>
      <c r="H1052" s="12" t="str">
        <f t="shared" si="55"/>
        <v>0 г. 0 мес. 0 дн.</v>
      </c>
      <c r="V1052" s="12" t="str">
        <f t="shared" si="56"/>
        <v>0 г. 0 мес. 0 дн.</v>
      </c>
      <c r="W1052" s="22"/>
      <c r="X1052" s="72"/>
    </row>
    <row r="1053" spans="1:24" ht="35.1" customHeight="1" x14ac:dyDescent="0.25">
      <c r="A1053" s="12">
        <f t="shared" si="54"/>
        <v>1052</v>
      </c>
      <c r="B1053" s="12"/>
      <c r="C1053" s="20"/>
      <c r="D1053" s="18"/>
      <c r="H1053" s="12" t="str">
        <f t="shared" si="55"/>
        <v>0 г. 0 мес. 0 дн.</v>
      </c>
      <c r="V1053" s="12" t="str">
        <f t="shared" si="56"/>
        <v>0 г. 0 мес. 0 дн.</v>
      </c>
      <c r="W1053" s="22"/>
      <c r="X1053" s="72"/>
    </row>
    <row r="1054" spans="1:24" ht="35.1" customHeight="1" x14ac:dyDescent="0.25">
      <c r="A1054" s="12">
        <f t="shared" si="54"/>
        <v>1053</v>
      </c>
      <c r="B1054" s="12"/>
      <c r="C1054" s="20"/>
      <c r="D1054" s="18"/>
      <c r="H1054" s="12" t="str">
        <f t="shared" si="55"/>
        <v>0 г. 0 мес. 0 дн.</v>
      </c>
      <c r="V1054" s="12" t="str">
        <f t="shared" si="56"/>
        <v>0 г. 0 мес. 0 дн.</v>
      </c>
      <c r="W1054" s="22"/>
      <c r="X1054" s="72"/>
    </row>
    <row r="1055" spans="1:24" ht="35.1" customHeight="1" x14ac:dyDescent="0.25">
      <c r="A1055" s="12">
        <f t="shared" si="54"/>
        <v>1054</v>
      </c>
      <c r="B1055" s="12"/>
      <c r="C1055" s="20"/>
      <c r="D1055" s="18"/>
      <c r="H1055" s="12" t="str">
        <f t="shared" si="55"/>
        <v>0 г. 0 мес. 0 дн.</v>
      </c>
      <c r="V1055" s="12" t="str">
        <f t="shared" si="56"/>
        <v>0 г. 0 мес. 0 дн.</v>
      </c>
      <c r="W1055" s="22"/>
      <c r="X1055" s="72"/>
    </row>
    <row r="1056" spans="1:24" ht="35.1" customHeight="1" x14ac:dyDescent="0.25">
      <c r="A1056" s="12">
        <f t="shared" si="54"/>
        <v>1055</v>
      </c>
      <c r="B1056" s="12"/>
      <c r="C1056" s="20"/>
      <c r="D1056" s="18"/>
      <c r="H1056" s="12" t="str">
        <f t="shared" si="55"/>
        <v>0 г. 0 мес. 0 дн.</v>
      </c>
      <c r="V1056" s="12" t="str">
        <f t="shared" si="56"/>
        <v>0 г. 0 мес. 0 дн.</v>
      </c>
      <c r="W1056" s="22"/>
      <c r="X1056" s="72"/>
    </row>
    <row r="1057" spans="1:24" ht="35.1" customHeight="1" x14ac:dyDescent="0.25">
      <c r="A1057" s="12">
        <f t="shared" si="54"/>
        <v>1056</v>
      </c>
      <c r="B1057" s="12"/>
      <c r="C1057" s="20"/>
      <c r="D1057" s="18"/>
      <c r="H1057" s="12" t="str">
        <f t="shared" si="55"/>
        <v>0 г. 0 мес. 0 дн.</v>
      </c>
      <c r="V1057" s="12" t="str">
        <f t="shared" si="56"/>
        <v>0 г. 0 мес. 0 дн.</v>
      </c>
      <c r="W1057" s="22"/>
      <c r="X1057" s="72"/>
    </row>
    <row r="1058" spans="1:24" ht="35.1" customHeight="1" x14ac:dyDescent="0.25">
      <c r="A1058" s="12">
        <f t="shared" si="54"/>
        <v>1057</v>
      </c>
      <c r="B1058" s="12"/>
      <c r="C1058" s="20"/>
      <c r="D1058" s="18"/>
      <c r="H1058" s="12" t="str">
        <f t="shared" si="55"/>
        <v>0 г. 0 мес. 0 дн.</v>
      </c>
      <c r="V1058" s="12" t="str">
        <f t="shared" si="56"/>
        <v>0 г. 0 мес. 0 дн.</v>
      </c>
      <c r="W1058" s="22"/>
      <c r="X1058" s="72"/>
    </row>
    <row r="1059" spans="1:24" ht="35.1" customHeight="1" x14ac:dyDescent="0.25">
      <c r="A1059" s="12">
        <f t="shared" si="54"/>
        <v>1058</v>
      </c>
      <c r="B1059" s="12"/>
      <c r="C1059" s="20"/>
      <c r="D1059" s="18"/>
      <c r="H1059" s="12" t="str">
        <f t="shared" si="55"/>
        <v>0 г. 0 мес. 0 дн.</v>
      </c>
      <c r="V1059" s="12" t="str">
        <f t="shared" si="56"/>
        <v>0 г. 0 мес. 0 дн.</v>
      </c>
      <c r="W1059" s="22"/>
      <c r="X1059" s="72"/>
    </row>
    <row r="1060" spans="1:24" ht="35.1" customHeight="1" x14ac:dyDescent="0.25">
      <c r="A1060" s="12">
        <f t="shared" si="54"/>
        <v>1059</v>
      </c>
      <c r="B1060" s="12"/>
      <c r="C1060" s="20"/>
      <c r="D1060" s="18"/>
      <c r="H1060" s="12" t="str">
        <f t="shared" si="55"/>
        <v>0 г. 0 мес. 0 дн.</v>
      </c>
      <c r="V1060" s="12" t="str">
        <f t="shared" si="56"/>
        <v>0 г. 0 мес. 0 дн.</v>
      </c>
      <c r="W1060" s="22"/>
      <c r="X1060" s="72"/>
    </row>
    <row r="1061" spans="1:24" ht="35.1" customHeight="1" x14ac:dyDescent="0.25">
      <c r="A1061" s="12">
        <f t="shared" si="54"/>
        <v>1060</v>
      </c>
      <c r="B1061" s="12"/>
      <c r="C1061" s="20"/>
      <c r="D1061" s="18"/>
      <c r="H1061" s="12" t="str">
        <f t="shared" si="55"/>
        <v>0 г. 0 мес. 0 дн.</v>
      </c>
      <c r="V1061" s="12" t="str">
        <f t="shared" si="56"/>
        <v>0 г. 0 мес. 0 дн.</v>
      </c>
      <c r="W1061" s="22"/>
      <c r="X1061" s="72"/>
    </row>
    <row r="1062" spans="1:24" ht="35.1" customHeight="1" x14ac:dyDescent="0.25">
      <c r="A1062" s="12">
        <f t="shared" si="54"/>
        <v>1061</v>
      </c>
      <c r="B1062" s="12"/>
      <c r="C1062" s="20"/>
      <c r="D1062" s="18"/>
      <c r="H1062" s="12" t="str">
        <f t="shared" si="55"/>
        <v>0 г. 0 мес. 0 дн.</v>
      </c>
      <c r="V1062" s="12" t="str">
        <f t="shared" si="56"/>
        <v>0 г. 0 мес. 0 дн.</v>
      </c>
      <c r="W1062" s="22"/>
      <c r="X1062" s="72"/>
    </row>
    <row r="1063" spans="1:24" ht="35.1" customHeight="1" x14ac:dyDescent="0.25">
      <c r="A1063" s="12">
        <f t="shared" si="54"/>
        <v>1062</v>
      </c>
      <c r="B1063" s="12"/>
      <c r="C1063" s="20"/>
      <c r="D1063" s="18"/>
      <c r="H1063" s="12" t="str">
        <f t="shared" si="55"/>
        <v>0 г. 0 мес. 0 дн.</v>
      </c>
      <c r="V1063" s="12" t="str">
        <f t="shared" si="56"/>
        <v>0 г. 0 мес. 0 дн.</v>
      </c>
      <c r="W1063" s="22"/>
      <c r="X1063" s="72"/>
    </row>
    <row r="1064" spans="1:24" ht="35.1" customHeight="1" x14ac:dyDescent="0.25">
      <c r="A1064" s="12">
        <f t="shared" si="54"/>
        <v>1063</v>
      </c>
      <c r="B1064" s="12"/>
      <c r="C1064" s="20"/>
      <c r="D1064" s="18"/>
      <c r="H1064" s="12" t="str">
        <f t="shared" si="55"/>
        <v>0 г. 0 мес. 0 дн.</v>
      </c>
      <c r="V1064" s="12" t="str">
        <f t="shared" si="56"/>
        <v>0 г. 0 мес. 0 дн.</v>
      </c>
      <c r="W1064" s="22"/>
      <c r="X1064" s="72"/>
    </row>
    <row r="1065" spans="1:24" ht="35.1" customHeight="1" x14ac:dyDescent="0.25">
      <c r="A1065" s="12">
        <f t="shared" si="54"/>
        <v>1064</v>
      </c>
      <c r="B1065" s="12"/>
      <c r="C1065" s="20"/>
      <c r="D1065" s="18"/>
      <c r="H1065" s="12" t="str">
        <f t="shared" si="55"/>
        <v>0 г. 0 мес. 0 дн.</v>
      </c>
      <c r="V1065" s="12" t="str">
        <f t="shared" si="56"/>
        <v>0 г. 0 мес. 0 дн.</v>
      </c>
      <c r="W1065" s="22"/>
      <c r="X1065" s="72"/>
    </row>
    <row r="1066" spans="1:24" ht="35.1" customHeight="1" x14ac:dyDescent="0.25">
      <c r="A1066" s="12">
        <f t="shared" si="54"/>
        <v>1065</v>
      </c>
      <c r="B1066" s="12"/>
      <c r="C1066" s="20"/>
      <c r="D1066" s="18"/>
      <c r="H1066" s="12" t="str">
        <f t="shared" si="55"/>
        <v>0 г. 0 мес. 0 дн.</v>
      </c>
      <c r="V1066" s="12" t="str">
        <f t="shared" si="56"/>
        <v>0 г. 0 мес. 0 дн.</v>
      </c>
      <c r="W1066" s="22"/>
      <c r="X1066" s="72"/>
    </row>
    <row r="1067" spans="1:24" ht="35.1" customHeight="1" x14ac:dyDescent="0.25">
      <c r="A1067" s="12">
        <f t="shared" si="54"/>
        <v>1066</v>
      </c>
      <c r="B1067" s="12"/>
      <c r="C1067" s="20"/>
      <c r="D1067" s="18"/>
      <c r="H1067" s="12" t="str">
        <f t="shared" si="55"/>
        <v>0 г. 0 мес. 0 дн.</v>
      </c>
      <c r="V1067" s="12" t="str">
        <f t="shared" si="56"/>
        <v>0 г. 0 мес. 0 дн.</v>
      </c>
      <c r="W1067" s="22"/>
      <c r="X1067" s="72"/>
    </row>
    <row r="1068" spans="1:24" ht="35.1" customHeight="1" x14ac:dyDescent="0.25">
      <c r="A1068" s="12">
        <f t="shared" si="54"/>
        <v>1067</v>
      </c>
      <c r="B1068" s="12"/>
      <c r="C1068" s="20"/>
      <c r="D1068" s="18"/>
      <c r="H1068" s="12" t="str">
        <f t="shared" si="55"/>
        <v>0 г. 0 мес. 0 дн.</v>
      </c>
      <c r="V1068" s="12" t="str">
        <f t="shared" si="56"/>
        <v>0 г. 0 мес. 0 дн.</v>
      </c>
      <c r="W1068" s="22"/>
      <c r="X1068" s="72"/>
    </row>
    <row r="1069" spans="1:24" ht="35.1" customHeight="1" x14ac:dyDescent="0.25">
      <c r="A1069" s="12">
        <f t="shared" si="54"/>
        <v>1068</v>
      </c>
      <c r="B1069" s="12"/>
      <c r="C1069" s="20"/>
      <c r="D1069" s="18"/>
      <c r="H1069" s="12" t="str">
        <f t="shared" si="55"/>
        <v>0 г. 0 мес. 0 дн.</v>
      </c>
      <c r="V1069" s="12" t="str">
        <f t="shared" si="56"/>
        <v>0 г. 0 мес. 0 дн.</v>
      </c>
      <c r="W1069" s="22"/>
      <c r="X1069" s="72"/>
    </row>
    <row r="1070" spans="1:24" ht="35.1" customHeight="1" x14ac:dyDescent="0.25">
      <c r="A1070" s="12">
        <f t="shared" si="54"/>
        <v>1069</v>
      </c>
      <c r="B1070" s="12"/>
      <c r="C1070" s="20"/>
      <c r="D1070" s="18"/>
      <c r="H1070" s="12" t="str">
        <f t="shared" si="55"/>
        <v>0 г. 0 мес. 0 дн.</v>
      </c>
      <c r="V1070" s="12" t="str">
        <f t="shared" si="56"/>
        <v>0 г. 0 мес. 0 дн.</v>
      </c>
      <c r="W1070" s="22"/>
      <c r="X1070" s="72"/>
    </row>
    <row r="1071" spans="1:24" ht="35.1" customHeight="1" x14ac:dyDescent="0.25">
      <c r="A1071" s="12">
        <f t="shared" si="54"/>
        <v>1070</v>
      </c>
      <c r="B1071" s="12"/>
      <c r="C1071" s="20"/>
      <c r="D1071" s="18"/>
      <c r="H1071" s="12" t="str">
        <f t="shared" si="55"/>
        <v>0 г. 0 мес. 0 дн.</v>
      </c>
      <c r="V1071" s="12" t="str">
        <f t="shared" si="56"/>
        <v>0 г. 0 мес. 0 дн.</v>
      </c>
      <c r="W1071" s="22"/>
      <c r="X1071" s="72"/>
    </row>
    <row r="1072" spans="1:24" ht="35.1" customHeight="1" x14ac:dyDescent="0.25">
      <c r="A1072" s="12">
        <f t="shared" si="54"/>
        <v>1071</v>
      </c>
      <c r="B1072" s="12"/>
      <c r="C1072" s="20"/>
      <c r="D1072" s="18"/>
      <c r="H1072" s="12" t="str">
        <f t="shared" si="55"/>
        <v>0 г. 0 мес. 0 дн.</v>
      </c>
      <c r="V1072" s="12" t="str">
        <f t="shared" si="56"/>
        <v>0 г. 0 мес. 0 дн.</v>
      </c>
      <c r="W1072" s="22"/>
      <c r="X1072" s="72"/>
    </row>
    <row r="1073" spans="1:24" ht="35.1" customHeight="1" x14ac:dyDescent="0.25">
      <c r="A1073" s="12">
        <f t="shared" si="54"/>
        <v>1072</v>
      </c>
      <c r="B1073" s="12"/>
      <c r="C1073" s="20"/>
      <c r="D1073" s="18"/>
      <c r="H1073" s="12" t="str">
        <f t="shared" si="55"/>
        <v>0 г. 0 мес. 0 дн.</v>
      </c>
      <c r="V1073" s="12" t="str">
        <f t="shared" si="56"/>
        <v>0 г. 0 мес. 0 дн.</v>
      </c>
      <c r="W1073" s="22"/>
      <c r="X1073" s="72"/>
    </row>
    <row r="1074" spans="1:24" ht="35.1" customHeight="1" x14ac:dyDescent="0.25">
      <c r="A1074" s="12">
        <f t="shared" si="54"/>
        <v>1073</v>
      </c>
      <c r="B1074" s="12"/>
      <c r="C1074" s="20"/>
      <c r="D1074" s="18"/>
      <c r="H1074" s="12" t="str">
        <f t="shared" si="55"/>
        <v>0 г. 0 мес. 0 дн.</v>
      </c>
      <c r="V1074" s="12" t="str">
        <f t="shared" si="56"/>
        <v>0 г. 0 мес. 0 дн.</v>
      </c>
      <c r="W1074" s="22"/>
      <c r="X1074" s="72"/>
    </row>
    <row r="1075" spans="1:24" ht="35.1" customHeight="1" x14ac:dyDescent="0.25">
      <c r="A1075" s="12">
        <f t="shared" si="54"/>
        <v>1074</v>
      </c>
      <c r="B1075" s="12"/>
      <c r="C1075" s="20"/>
      <c r="D1075" s="18"/>
      <c r="H1075" s="12" t="str">
        <f t="shared" si="55"/>
        <v>0 г. 0 мес. 0 дн.</v>
      </c>
      <c r="V1075" s="12" t="str">
        <f t="shared" si="56"/>
        <v>0 г. 0 мес. 0 дн.</v>
      </c>
      <c r="W1075" s="22"/>
      <c r="X1075" s="72"/>
    </row>
    <row r="1076" spans="1:24" ht="35.1" customHeight="1" x14ac:dyDescent="0.25">
      <c r="A1076" s="12">
        <f t="shared" si="54"/>
        <v>1075</v>
      </c>
      <c r="B1076" s="12"/>
      <c r="C1076" s="20"/>
      <c r="D1076" s="18"/>
      <c r="H1076" s="12" t="str">
        <f t="shared" si="55"/>
        <v>0 г. 0 мес. 0 дн.</v>
      </c>
      <c r="V1076" s="12" t="str">
        <f t="shared" si="56"/>
        <v>0 г. 0 мес. 0 дн.</v>
      </c>
      <c r="W1076" s="22"/>
      <c r="X1076" s="72"/>
    </row>
    <row r="1077" spans="1:24" ht="35.1" customHeight="1" x14ac:dyDescent="0.25">
      <c r="A1077" s="12">
        <f t="shared" si="54"/>
        <v>1076</v>
      </c>
      <c r="B1077" s="12"/>
      <c r="C1077" s="20"/>
      <c r="D1077" s="18"/>
      <c r="H1077" s="12" t="str">
        <f t="shared" si="55"/>
        <v>0 г. 0 мес. 0 дн.</v>
      </c>
      <c r="V1077" s="12" t="str">
        <f t="shared" si="56"/>
        <v>0 г. 0 мес. 0 дн.</v>
      </c>
      <c r="W1077" s="22"/>
      <c r="X1077" s="72"/>
    </row>
    <row r="1078" spans="1:24" ht="35.1" customHeight="1" x14ac:dyDescent="0.25">
      <c r="A1078" s="12">
        <f t="shared" si="54"/>
        <v>1077</v>
      </c>
      <c r="B1078" s="12"/>
      <c r="C1078" s="20"/>
      <c r="D1078" s="18"/>
      <c r="H1078" s="12" t="str">
        <f t="shared" si="55"/>
        <v>0 г. 0 мес. 0 дн.</v>
      </c>
      <c r="V1078" s="12" t="str">
        <f t="shared" si="56"/>
        <v>0 г. 0 мес. 0 дн.</v>
      </c>
      <c r="W1078" s="22"/>
      <c r="X1078" s="72"/>
    </row>
    <row r="1079" spans="1:24" ht="35.1" customHeight="1" x14ac:dyDescent="0.25">
      <c r="A1079" s="12">
        <f t="shared" si="54"/>
        <v>1078</v>
      </c>
      <c r="B1079" s="12"/>
      <c r="C1079" s="20"/>
      <c r="D1079" s="18"/>
      <c r="H1079" s="12" t="str">
        <f t="shared" si="55"/>
        <v>0 г. 0 мес. 0 дн.</v>
      </c>
      <c r="V1079" s="12" t="str">
        <f t="shared" si="56"/>
        <v>0 г. 0 мес. 0 дн.</v>
      </c>
      <c r="W1079" s="22"/>
      <c r="X1079" s="72"/>
    </row>
    <row r="1080" spans="1:24" ht="35.1" customHeight="1" x14ac:dyDescent="0.25">
      <c r="A1080" s="12">
        <f t="shared" si="54"/>
        <v>1079</v>
      </c>
      <c r="B1080" s="12"/>
      <c r="C1080" s="20"/>
      <c r="D1080" s="18"/>
      <c r="H1080" s="12" t="str">
        <f t="shared" si="55"/>
        <v>0 г. 0 мес. 0 дн.</v>
      </c>
      <c r="V1080" s="12" t="str">
        <f t="shared" si="56"/>
        <v>0 г. 0 мес. 0 дн.</v>
      </c>
      <c r="W1080" s="22"/>
      <c r="X1080" s="72"/>
    </row>
    <row r="1081" spans="1:24" ht="35.1" customHeight="1" x14ac:dyDescent="0.25">
      <c r="A1081" s="12">
        <f t="shared" si="54"/>
        <v>1080</v>
      </c>
      <c r="B1081" s="12"/>
      <c r="C1081" s="20"/>
      <c r="D1081" s="18"/>
      <c r="H1081" s="12" t="str">
        <f t="shared" si="55"/>
        <v>0 г. 0 мес. 0 дн.</v>
      </c>
      <c r="V1081" s="12" t="str">
        <f t="shared" si="56"/>
        <v>0 г. 0 мес. 0 дн.</v>
      </c>
      <c r="W1081" s="22"/>
      <c r="X1081" s="72"/>
    </row>
    <row r="1082" spans="1:24" ht="35.1" customHeight="1" x14ac:dyDescent="0.25">
      <c r="A1082" s="12">
        <f t="shared" si="54"/>
        <v>1081</v>
      </c>
      <c r="B1082" s="12"/>
      <c r="C1082" s="20"/>
      <c r="D1082" s="18"/>
      <c r="H1082" s="12" t="str">
        <f t="shared" si="55"/>
        <v>0 г. 0 мес. 0 дн.</v>
      </c>
      <c r="V1082" s="12" t="str">
        <f t="shared" si="56"/>
        <v>0 г. 0 мес. 0 дн.</v>
      </c>
      <c r="W1082" s="22"/>
      <c r="X1082" s="72"/>
    </row>
    <row r="1083" spans="1:24" ht="35.1" customHeight="1" x14ac:dyDescent="0.25">
      <c r="A1083" s="12">
        <f t="shared" si="54"/>
        <v>1082</v>
      </c>
      <c r="B1083" s="12"/>
      <c r="C1083" s="20"/>
      <c r="D1083" s="18"/>
      <c r="H1083" s="12" t="str">
        <f t="shared" si="55"/>
        <v>0 г. 0 мес. 0 дн.</v>
      </c>
      <c r="V1083" s="12" t="str">
        <f t="shared" si="56"/>
        <v>0 г. 0 мес. 0 дн.</v>
      </c>
      <c r="W1083" s="22"/>
      <c r="X1083" s="72"/>
    </row>
    <row r="1084" spans="1:24" ht="35.1" customHeight="1" x14ac:dyDescent="0.25">
      <c r="A1084" s="12">
        <f t="shared" si="54"/>
        <v>1083</v>
      </c>
      <c r="B1084" s="12"/>
      <c r="C1084" s="20"/>
      <c r="D1084" s="18"/>
      <c r="H1084" s="12" t="str">
        <f t="shared" si="55"/>
        <v>0 г. 0 мес. 0 дн.</v>
      </c>
      <c r="V1084" s="12" t="str">
        <f t="shared" si="56"/>
        <v>0 г. 0 мес. 0 дн.</v>
      </c>
      <c r="W1084" s="22"/>
      <c r="X1084" s="72"/>
    </row>
    <row r="1085" spans="1:24" ht="35.1" customHeight="1" x14ac:dyDescent="0.25">
      <c r="A1085" s="12">
        <f t="shared" si="54"/>
        <v>1084</v>
      </c>
      <c r="B1085" s="12"/>
      <c r="C1085" s="20"/>
      <c r="D1085" s="18"/>
      <c r="H1085" s="12" t="str">
        <f t="shared" si="55"/>
        <v>0 г. 0 мес. 0 дн.</v>
      </c>
      <c r="V1085" s="12" t="str">
        <f t="shared" si="56"/>
        <v>0 г. 0 мес. 0 дн.</v>
      </c>
      <c r="W1085" s="22"/>
      <c r="X1085" s="72"/>
    </row>
    <row r="1086" spans="1:24" ht="35.1" customHeight="1" x14ac:dyDescent="0.25">
      <c r="A1086" s="12">
        <f t="shared" si="54"/>
        <v>1085</v>
      </c>
      <c r="B1086" s="12"/>
      <c r="C1086" s="20"/>
      <c r="D1086" s="18"/>
      <c r="H1086" s="12" t="str">
        <f t="shared" si="55"/>
        <v>0 г. 0 мес. 0 дн.</v>
      </c>
      <c r="V1086" s="12" t="str">
        <f t="shared" si="56"/>
        <v>0 г. 0 мес. 0 дн.</v>
      </c>
      <c r="W1086" s="22"/>
      <c r="X1086" s="72"/>
    </row>
    <row r="1087" spans="1:24" ht="35.1" customHeight="1" x14ac:dyDescent="0.25">
      <c r="A1087" s="12">
        <f t="shared" si="54"/>
        <v>1086</v>
      </c>
      <c r="B1087" s="12"/>
      <c r="C1087" s="20"/>
      <c r="D1087" s="18"/>
      <c r="H1087" s="12" t="str">
        <f t="shared" si="55"/>
        <v>0 г. 0 мес. 0 дн.</v>
      </c>
      <c r="V1087" s="12" t="str">
        <f t="shared" si="56"/>
        <v>0 г. 0 мес. 0 дн.</v>
      </c>
      <c r="W1087" s="22"/>
      <c r="X1087" s="72"/>
    </row>
    <row r="1088" spans="1:24" ht="35.1" customHeight="1" x14ac:dyDescent="0.25">
      <c r="A1088" s="12">
        <f t="shared" si="54"/>
        <v>1087</v>
      </c>
      <c r="B1088" s="12"/>
      <c r="C1088" s="20"/>
      <c r="D1088" s="18"/>
      <c r="H1088" s="12" t="str">
        <f t="shared" si="55"/>
        <v>0 г. 0 мес. 0 дн.</v>
      </c>
      <c r="V1088" s="12" t="str">
        <f t="shared" si="56"/>
        <v>0 г. 0 мес. 0 дн.</v>
      </c>
      <c r="W1088" s="22"/>
      <c r="X1088" s="72"/>
    </row>
    <row r="1089" spans="1:24" ht="35.1" customHeight="1" x14ac:dyDescent="0.25">
      <c r="A1089" s="12">
        <f t="shared" ref="A1089:A1152" si="57">ROW(A1088)</f>
        <v>1088</v>
      </c>
      <c r="B1089" s="12"/>
      <c r="C1089" s="20"/>
      <c r="D1089" s="18"/>
      <c r="H1089" s="12" t="str">
        <f t="shared" si="55"/>
        <v>0 г. 0 мес. 0 дн.</v>
      </c>
      <c r="V1089" s="12" t="str">
        <f t="shared" si="56"/>
        <v>0 г. 0 мес. 0 дн.</v>
      </c>
      <c r="W1089" s="22"/>
      <c r="X1089" s="72"/>
    </row>
    <row r="1090" spans="1:24" ht="35.1" customHeight="1" x14ac:dyDescent="0.25">
      <c r="A1090" s="12">
        <f t="shared" si="57"/>
        <v>1089</v>
      </c>
      <c r="B1090" s="12"/>
      <c r="C1090" s="20"/>
      <c r="D1090" s="18"/>
      <c r="H1090" s="12" t="str">
        <f t="shared" si="55"/>
        <v>0 г. 0 мес. 0 дн.</v>
      </c>
      <c r="V1090" s="12" t="str">
        <f t="shared" si="56"/>
        <v>0 г. 0 мес. 0 дн.</v>
      </c>
      <c r="W1090" s="22"/>
      <c r="X1090" s="72"/>
    </row>
    <row r="1091" spans="1:24" ht="35.1" customHeight="1" x14ac:dyDescent="0.25">
      <c r="A1091" s="12">
        <f t="shared" si="57"/>
        <v>1090</v>
      </c>
      <c r="B1091" s="12"/>
      <c r="C1091" s="20"/>
      <c r="D1091" s="18"/>
      <c r="H1091" s="12" t="str">
        <f t="shared" si="55"/>
        <v>0 г. 0 мес. 0 дн.</v>
      </c>
      <c r="V1091" s="12" t="str">
        <f t="shared" si="56"/>
        <v>0 г. 0 мес. 0 дн.</v>
      </c>
      <c r="W1091" s="22"/>
      <c r="X1091" s="72"/>
    </row>
    <row r="1092" spans="1:24" ht="35.1" customHeight="1" x14ac:dyDescent="0.25">
      <c r="A1092" s="12">
        <f t="shared" si="57"/>
        <v>1091</v>
      </c>
      <c r="B1092" s="12"/>
      <c r="C1092" s="20"/>
      <c r="D1092" s="18"/>
      <c r="H1092" s="12" t="str">
        <f t="shared" si="55"/>
        <v>0 г. 0 мес. 0 дн.</v>
      </c>
      <c r="V1092" s="12" t="str">
        <f t="shared" si="56"/>
        <v>0 г. 0 мес. 0 дн.</v>
      </c>
      <c r="W1092" s="22"/>
      <c r="X1092" s="72"/>
    </row>
    <row r="1093" spans="1:24" ht="35.1" customHeight="1" x14ac:dyDescent="0.25">
      <c r="A1093" s="12">
        <f t="shared" si="57"/>
        <v>1092</v>
      </c>
      <c r="B1093" s="12"/>
      <c r="C1093" s="20"/>
      <c r="D1093" s="18"/>
      <c r="H1093" s="12" t="str">
        <f t="shared" si="55"/>
        <v>0 г. 0 мес. 0 дн.</v>
      </c>
      <c r="V1093" s="12" t="str">
        <f t="shared" si="56"/>
        <v>0 г. 0 мес. 0 дн.</v>
      </c>
      <c r="W1093" s="22"/>
      <c r="X1093" s="72"/>
    </row>
    <row r="1094" spans="1:24" ht="35.1" customHeight="1" x14ac:dyDescent="0.25">
      <c r="A1094" s="12">
        <f t="shared" si="57"/>
        <v>1093</v>
      </c>
      <c r="B1094" s="12"/>
      <c r="C1094" s="20"/>
      <c r="D1094" s="18"/>
      <c r="H1094" s="12" t="str">
        <f t="shared" ref="H1094:H1157" si="58">DATEDIF(G1094,D1094,"y") &amp; " г. " &amp; DATEDIF(G1094,D1094,"ym") &amp; " мес. " &amp; DATEDIF(G1094,D1094,"md") &amp; " дн."</f>
        <v>0 г. 0 мес. 0 дн.</v>
      </c>
      <c r="V1094" s="12" t="str">
        <f t="shared" si="56"/>
        <v>0 г. 0 мес. 0 дн.</v>
      </c>
      <c r="W1094" s="22"/>
      <c r="X1094" s="72"/>
    </row>
    <row r="1095" spans="1:24" ht="35.1" customHeight="1" x14ac:dyDescent="0.25">
      <c r="A1095" s="12">
        <f t="shared" si="57"/>
        <v>1094</v>
      </c>
      <c r="B1095" s="12"/>
      <c r="C1095" s="20"/>
      <c r="D1095" s="18"/>
      <c r="H1095" s="12" t="str">
        <f t="shared" si="58"/>
        <v>0 г. 0 мес. 0 дн.</v>
      </c>
      <c r="V1095" s="12" t="str">
        <f t="shared" si="56"/>
        <v>0 г. 0 мес. 0 дн.</v>
      </c>
      <c r="W1095" s="22"/>
      <c r="X1095" s="72"/>
    </row>
    <row r="1096" spans="1:24" ht="35.1" customHeight="1" x14ac:dyDescent="0.25">
      <c r="A1096" s="12">
        <f t="shared" si="57"/>
        <v>1095</v>
      </c>
      <c r="B1096" s="12"/>
      <c r="C1096" s="20"/>
      <c r="D1096" s="18"/>
      <c r="H1096" s="12" t="str">
        <f t="shared" si="58"/>
        <v>0 г. 0 мес. 0 дн.</v>
      </c>
      <c r="V1096" s="12" t="str">
        <f t="shared" si="56"/>
        <v>0 г. 0 мес. 0 дн.</v>
      </c>
      <c r="W1096" s="22"/>
      <c r="X1096" s="72"/>
    </row>
    <row r="1097" spans="1:24" ht="35.1" customHeight="1" x14ac:dyDescent="0.25">
      <c r="A1097" s="12">
        <f t="shared" si="57"/>
        <v>1096</v>
      </c>
      <c r="B1097" s="12"/>
      <c r="C1097" s="20"/>
      <c r="D1097" s="18"/>
      <c r="H1097" s="12" t="str">
        <f t="shared" si="58"/>
        <v>0 г. 0 мес. 0 дн.</v>
      </c>
      <c r="V1097" s="12" t="str">
        <f t="shared" si="56"/>
        <v>0 г. 0 мес. 0 дн.</v>
      </c>
      <c r="W1097" s="22"/>
      <c r="X1097" s="72"/>
    </row>
    <row r="1098" spans="1:24" ht="35.1" customHeight="1" x14ac:dyDescent="0.25">
      <c r="A1098" s="12">
        <f t="shared" si="57"/>
        <v>1097</v>
      </c>
      <c r="B1098" s="12"/>
      <c r="C1098" s="20"/>
      <c r="D1098" s="18"/>
      <c r="H1098" s="12" t="str">
        <f t="shared" si="58"/>
        <v>0 г. 0 мес. 0 дн.</v>
      </c>
      <c r="V1098" s="12" t="str">
        <f t="shared" si="56"/>
        <v>0 г. 0 мес. 0 дн.</v>
      </c>
      <c r="W1098" s="22"/>
      <c r="X1098" s="72"/>
    </row>
    <row r="1099" spans="1:24" ht="35.1" customHeight="1" x14ac:dyDescent="0.25">
      <c r="A1099" s="12">
        <f t="shared" si="57"/>
        <v>1098</v>
      </c>
      <c r="B1099" s="12"/>
      <c r="C1099" s="20"/>
      <c r="D1099" s="18"/>
      <c r="H1099" s="12" t="str">
        <f t="shared" si="58"/>
        <v>0 г. 0 мес. 0 дн.</v>
      </c>
      <c r="V1099" s="12" t="str">
        <f t="shared" si="56"/>
        <v>0 г. 0 мес. 0 дн.</v>
      </c>
      <c r="W1099" s="22"/>
      <c r="X1099" s="72"/>
    </row>
    <row r="1100" spans="1:24" ht="35.1" customHeight="1" x14ac:dyDescent="0.25">
      <c r="A1100" s="12">
        <f t="shared" si="57"/>
        <v>1099</v>
      </c>
      <c r="B1100" s="12"/>
      <c r="C1100" s="20"/>
      <c r="D1100" s="18"/>
      <c r="H1100" s="12" t="str">
        <f t="shared" si="58"/>
        <v>0 г. 0 мес. 0 дн.</v>
      </c>
      <c r="V1100" s="12" t="str">
        <f t="shared" si="56"/>
        <v>0 г. 0 мес. 0 дн.</v>
      </c>
      <c r="W1100" s="22"/>
      <c r="X1100" s="72"/>
    </row>
    <row r="1101" spans="1:24" ht="35.1" customHeight="1" x14ac:dyDescent="0.25">
      <c r="A1101" s="12">
        <f t="shared" si="57"/>
        <v>1100</v>
      </c>
      <c r="B1101" s="12"/>
      <c r="C1101" s="20"/>
      <c r="D1101" s="18"/>
      <c r="H1101" s="12" t="str">
        <f t="shared" si="58"/>
        <v>0 г. 0 мес. 0 дн.</v>
      </c>
      <c r="V1101" s="12" t="str">
        <f t="shared" si="56"/>
        <v>0 г. 0 мес. 0 дн.</v>
      </c>
      <c r="W1101" s="22"/>
      <c r="X1101" s="72"/>
    </row>
    <row r="1102" spans="1:24" ht="35.1" customHeight="1" x14ac:dyDescent="0.25">
      <c r="A1102" s="12">
        <f t="shared" si="57"/>
        <v>1101</v>
      </c>
      <c r="B1102" s="12"/>
      <c r="C1102" s="20"/>
      <c r="D1102" s="18"/>
      <c r="H1102" s="12" t="str">
        <f t="shared" si="58"/>
        <v>0 г. 0 мес. 0 дн.</v>
      </c>
      <c r="V1102" s="12" t="str">
        <f t="shared" si="56"/>
        <v>0 г. 0 мес. 0 дн.</v>
      </c>
      <c r="W1102" s="22"/>
      <c r="X1102" s="72"/>
    </row>
    <row r="1103" spans="1:24" ht="35.1" customHeight="1" x14ac:dyDescent="0.25">
      <c r="A1103" s="12">
        <f t="shared" si="57"/>
        <v>1102</v>
      </c>
      <c r="B1103" s="12"/>
      <c r="C1103" s="20"/>
      <c r="D1103" s="18"/>
      <c r="H1103" s="12" t="str">
        <f t="shared" si="58"/>
        <v>0 г. 0 мес. 0 дн.</v>
      </c>
      <c r="V1103" s="12" t="str">
        <f t="shared" si="56"/>
        <v>0 г. 0 мес. 0 дн.</v>
      </c>
      <c r="W1103" s="22"/>
      <c r="X1103" s="72"/>
    </row>
    <row r="1104" spans="1:24" ht="35.1" customHeight="1" x14ac:dyDescent="0.25">
      <c r="A1104" s="12">
        <f t="shared" si="57"/>
        <v>1103</v>
      </c>
      <c r="B1104" s="12"/>
      <c r="C1104" s="20"/>
      <c r="D1104" s="18"/>
      <c r="H1104" s="12" t="str">
        <f t="shared" si="58"/>
        <v>0 г. 0 мес. 0 дн.</v>
      </c>
      <c r="V1104" s="12" t="str">
        <f t="shared" si="56"/>
        <v>0 г. 0 мес. 0 дн.</v>
      </c>
      <c r="W1104" s="22"/>
      <c r="X1104" s="72"/>
    </row>
    <row r="1105" spans="1:24" ht="35.1" customHeight="1" x14ac:dyDescent="0.25">
      <c r="A1105" s="12">
        <f t="shared" si="57"/>
        <v>1104</v>
      </c>
      <c r="B1105" s="12"/>
      <c r="C1105" s="20"/>
      <c r="D1105" s="18"/>
      <c r="H1105" s="12" t="str">
        <f t="shared" si="58"/>
        <v>0 г. 0 мес. 0 дн.</v>
      </c>
      <c r="V1105" s="12" t="str">
        <f t="shared" si="56"/>
        <v>0 г. 0 мес. 0 дн.</v>
      </c>
      <c r="W1105" s="22"/>
      <c r="X1105" s="72"/>
    </row>
    <row r="1106" spans="1:24" ht="35.1" customHeight="1" x14ac:dyDescent="0.25">
      <c r="A1106" s="12">
        <f t="shared" si="57"/>
        <v>1105</v>
      </c>
      <c r="B1106" s="12"/>
      <c r="C1106" s="20"/>
      <c r="D1106" s="18"/>
      <c r="H1106" s="12" t="str">
        <f t="shared" si="58"/>
        <v>0 г. 0 мес. 0 дн.</v>
      </c>
      <c r="V1106" s="12" t="str">
        <f t="shared" si="56"/>
        <v>0 г. 0 мес. 0 дн.</v>
      </c>
      <c r="W1106" s="22"/>
      <c r="X1106" s="72"/>
    </row>
    <row r="1107" spans="1:24" ht="35.1" customHeight="1" x14ac:dyDescent="0.25">
      <c r="A1107" s="12">
        <f t="shared" si="57"/>
        <v>1106</v>
      </c>
      <c r="B1107" s="12"/>
      <c r="C1107" s="20"/>
      <c r="D1107" s="18"/>
      <c r="H1107" s="12" t="str">
        <f t="shared" si="58"/>
        <v>0 г. 0 мес. 0 дн.</v>
      </c>
      <c r="V1107" s="12" t="str">
        <f t="shared" si="56"/>
        <v>0 г. 0 мес. 0 дн.</v>
      </c>
      <c r="W1107" s="22"/>
      <c r="X1107" s="72"/>
    </row>
    <row r="1108" spans="1:24" ht="35.1" customHeight="1" x14ac:dyDescent="0.25">
      <c r="A1108" s="12">
        <f t="shared" si="57"/>
        <v>1107</v>
      </c>
      <c r="B1108" s="12"/>
      <c r="C1108" s="20"/>
      <c r="D1108" s="18"/>
      <c r="H1108" s="12" t="str">
        <f t="shared" si="58"/>
        <v>0 г. 0 мес. 0 дн.</v>
      </c>
      <c r="V1108" s="12" t="str">
        <f t="shared" si="56"/>
        <v>0 г. 0 мес. 0 дн.</v>
      </c>
      <c r="W1108" s="22"/>
      <c r="X1108" s="72"/>
    </row>
    <row r="1109" spans="1:24" ht="35.1" customHeight="1" x14ac:dyDescent="0.25">
      <c r="A1109" s="12">
        <f t="shared" si="57"/>
        <v>1108</v>
      </c>
      <c r="B1109" s="12"/>
      <c r="C1109" s="20"/>
      <c r="D1109" s="18"/>
      <c r="H1109" s="12" t="str">
        <f t="shared" si="58"/>
        <v>0 г. 0 мес. 0 дн.</v>
      </c>
      <c r="V1109" s="12" t="str">
        <f t="shared" si="56"/>
        <v>0 г. 0 мес. 0 дн.</v>
      </c>
      <c r="W1109" s="22"/>
      <c r="X1109" s="72"/>
    </row>
    <row r="1110" spans="1:24" ht="35.1" customHeight="1" x14ac:dyDescent="0.25">
      <c r="A1110" s="12">
        <f t="shared" si="57"/>
        <v>1109</v>
      </c>
      <c r="B1110" s="12"/>
      <c r="C1110" s="20"/>
      <c r="D1110" s="18"/>
      <c r="H1110" s="12" t="str">
        <f t="shared" si="58"/>
        <v>0 г. 0 мес. 0 дн.</v>
      </c>
      <c r="V1110" s="12" t="str">
        <f t="shared" si="56"/>
        <v>0 г. 0 мес. 0 дн.</v>
      </c>
      <c r="W1110" s="22"/>
      <c r="X1110" s="72"/>
    </row>
    <row r="1111" spans="1:24" ht="35.1" customHeight="1" x14ac:dyDescent="0.25">
      <c r="A1111" s="12">
        <f t="shared" si="57"/>
        <v>1110</v>
      </c>
      <c r="B1111" s="12"/>
      <c r="C1111" s="20"/>
      <c r="D1111" s="18"/>
      <c r="H1111" s="12" t="str">
        <f t="shared" si="58"/>
        <v>0 г. 0 мес. 0 дн.</v>
      </c>
      <c r="V1111" s="12" t="str">
        <f t="shared" si="56"/>
        <v>0 г. 0 мес. 0 дн.</v>
      </c>
      <c r="W1111" s="22"/>
      <c r="X1111" s="72"/>
    </row>
    <row r="1112" spans="1:24" ht="35.1" customHeight="1" x14ac:dyDescent="0.25">
      <c r="A1112" s="12">
        <f t="shared" si="57"/>
        <v>1111</v>
      </c>
      <c r="B1112" s="12"/>
      <c r="C1112" s="20"/>
      <c r="D1112" s="18"/>
      <c r="H1112" s="12" t="str">
        <f t="shared" si="58"/>
        <v>0 г. 0 мес. 0 дн.</v>
      </c>
      <c r="V1112" s="12" t="str">
        <f t="shared" ref="V1112:V1175" si="59">DATEDIF(D1112,T1112,"y") &amp; " г. " &amp; DATEDIF(D1112,T1112,"ym") &amp; " мес. " &amp; DATEDIF(D1112,T1112,"md") &amp; " дн."</f>
        <v>0 г. 0 мес. 0 дн.</v>
      </c>
      <c r="W1112" s="22"/>
      <c r="X1112" s="72"/>
    </row>
    <row r="1113" spans="1:24" ht="35.1" customHeight="1" x14ac:dyDescent="0.25">
      <c r="A1113" s="12">
        <f t="shared" si="57"/>
        <v>1112</v>
      </c>
      <c r="B1113" s="12"/>
      <c r="C1113" s="20"/>
      <c r="D1113" s="18"/>
      <c r="H1113" s="12" t="str">
        <f t="shared" si="58"/>
        <v>0 г. 0 мес. 0 дн.</v>
      </c>
      <c r="V1113" s="12" t="str">
        <f t="shared" si="59"/>
        <v>0 г. 0 мес. 0 дн.</v>
      </c>
      <c r="W1113" s="22"/>
      <c r="X1113" s="72"/>
    </row>
    <row r="1114" spans="1:24" ht="35.1" customHeight="1" x14ac:dyDescent="0.25">
      <c r="A1114" s="12">
        <f t="shared" si="57"/>
        <v>1113</v>
      </c>
      <c r="B1114" s="12"/>
      <c r="C1114" s="20"/>
      <c r="D1114" s="18"/>
      <c r="H1114" s="12" t="str">
        <f t="shared" si="58"/>
        <v>0 г. 0 мес. 0 дн.</v>
      </c>
      <c r="V1114" s="12" t="str">
        <f t="shared" si="59"/>
        <v>0 г. 0 мес. 0 дн.</v>
      </c>
      <c r="W1114" s="22"/>
      <c r="X1114" s="72"/>
    </row>
    <row r="1115" spans="1:24" ht="35.1" customHeight="1" x14ac:dyDescent="0.25">
      <c r="A1115" s="12">
        <f t="shared" si="57"/>
        <v>1114</v>
      </c>
      <c r="B1115" s="12"/>
      <c r="C1115" s="20"/>
      <c r="D1115" s="18"/>
      <c r="H1115" s="12" t="str">
        <f t="shared" si="58"/>
        <v>0 г. 0 мес. 0 дн.</v>
      </c>
      <c r="V1115" s="12" t="str">
        <f t="shared" si="59"/>
        <v>0 г. 0 мес. 0 дн.</v>
      </c>
      <c r="W1115" s="22"/>
      <c r="X1115" s="72"/>
    </row>
    <row r="1116" spans="1:24" ht="35.1" customHeight="1" x14ac:dyDescent="0.25">
      <c r="A1116" s="12">
        <f t="shared" si="57"/>
        <v>1115</v>
      </c>
      <c r="B1116" s="12"/>
      <c r="C1116" s="20"/>
      <c r="D1116" s="18"/>
      <c r="H1116" s="12" t="str">
        <f t="shared" si="58"/>
        <v>0 г. 0 мес. 0 дн.</v>
      </c>
      <c r="V1116" s="12" t="str">
        <f t="shared" si="59"/>
        <v>0 г. 0 мес. 0 дн.</v>
      </c>
      <c r="W1116" s="22"/>
      <c r="X1116" s="72"/>
    </row>
    <row r="1117" spans="1:24" ht="35.1" customHeight="1" x14ac:dyDescent="0.25">
      <c r="A1117" s="12">
        <f t="shared" si="57"/>
        <v>1116</v>
      </c>
      <c r="B1117" s="12"/>
      <c r="C1117" s="20"/>
      <c r="D1117" s="18"/>
      <c r="H1117" s="12" t="str">
        <f t="shared" si="58"/>
        <v>0 г. 0 мес. 0 дн.</v>
      </c>
      <c r="V1117" s="12" t="str">
        <f t="shared" si="59"/>
        <v>0 г. 0 мес. 0 дн.</v>
      </c>
      <c r="W1117" s="22"/>
      <c r="X1117" s="72"/>
    </row>
    <row r="1118" spans="1:24" ht="35.1" customHeight="1" x14ac:dyDescent="0.25">
      <c r="A1118" s="12">
        <f t="shared" si="57"/>
        <v>1117</v>
      </c>
      <c r="B1118" s="12"/>
      <c r="C1118" s="20"/>
      <c r="D1118" s="18"/>
      <c r="H1118" s="12" t="str">
        <f t="shared" si="58"/>
        <v>0 г. 0 мес. 0 дн.</v>
      </c>
      <c r="V1118" s="12" t="str">
        <f t="shared" si="59"/>
        <v>0 г. 0 мес. 0 дн.</v>
      </c>
      <c r="W1118" s="22"/>
      <c r="X1118" s="72"/>
    </row>
    <row r="1119" spans="1:24" ht="35.1" customHeight="1" x14ac:dyDescent="0.25">
      <c r="A1119" s="12">
        <f t="shared" si="57"/>
        <v>1118</v>
      </c>
      <c r="B1119" s="12"/>
      <c r="C1119" s="20"/>
      <c r="D1119" s="18"/>
      <c r="H1119" s="12" t="str">
        <f t="shared" si="58"/>
        <v>0 г. 0 мес. 0 дн.</v>
      </c>
      <c r="V1119" s="12" t="str">
        <f t="shared" si="59"/>
        <v>0 г. 0 мес. 0 дн.</v>
      </c>
      <c r="W1119" s="22"/>
      <c r="X1119" s="72"/>
    </row>
    <row r="1120" spans="1:24" ht="35.1" customHeight="1" x14ac:dyDescent="0.25">
      <c r="A1120" s="12">
        <f t="shared" si="57"/>
        <v>1119</v>
      </c>
      <c r="B1120" s="12"/>
      <c r="C1120" s="20"/>
      <c r="D1120" s="18"/>
      <c r="H1120" s="12" t="str">
        <f t="shared" si="58"/>
        <v>0 г. 0 мес. 0 дн.</v>
      </c>
      <c r="V1120" s="12" t="str">
        <f t="shared" si="59"/>
        <v>0 г. 0 мес. 0 дн.</v>
      </c>
      <c r="W1120" s="22"/>
      <c r="X1120" s="72"/>
    </row>
    <row r="1121" spans="1:24" ht="35.1" customHeight="1" x14ac:dyDescent="0.25">
      <c r="A1121" s="12">
        <f t="shared" si="57"/>
        <v>1120</v>
      </c>
      <c r="B1121" s="12"/>
      <c r="C1121" s="20"/>
      <c r="D1121" s="18"/>
      <c r="H1121" s="12" t="str">
        <f t="shared" si="58"/>
        <v>0 г. 0 мес. 0 дн.</v>
      </c>
      <c r="V1121" s="12" t="str">
        <f t="shared" si="59"/>
        <v>0 г. 0 мес. 0 дн.</v>
      </c>
      <c r="W1121" s="22"/>
      <c r="X1121" s="72"/>
    </row>
    <row r="1122" spans="1:24" ht="35.1" customHeight="1" x14ac:dyDescent="0.25">
      <c r="A1122" s="12">
        <f t="shared" si="57"/>
        <v>1121</v>
      </c>
      <c r="B1122" s="12"/>
      <c r="C1122" s="20"/>
      <c r="D1122" s="18"/>
      <c r="H1122" s="12" t="str">
        <f t="shared" si="58"/>
        <v>0 г. 0 мес. 0 дн.</v>
      </c>
      <c r="V1122" s="12" t="str">
        <f t="shared" si="59"/>
        <v>0 г. 0 мес. 0 дн.</v>
      </c>
      <c r="W1122" s="22"/>
      <c r="X1122" s="72"/>
    </row>
    <row r="1123" spans="1:24" ht="35.1" customHeight="1" x14ac:dyDescent="0.25">
      <c r="A1123" s="12">
        <f t="shared" si="57"/>
        <v>1122</v>
      </c>
      <c r="B1123" s="12"/>
      <c r="C1123" s="20"/>
      <c r="D1123" s="18"/>
      <c r="H1123" s="12" t="str">
        <f t="shared" si="58"/>
        <v>0 г. 0 мес. 0 дн.</v>
      </c>
      <c r="V1123" s="12" t="str">
        <f t="shared" si="59"/>
        <v>0 г. 0 мес. 0 дн.</v>
      </c>
      <c r="W1123" s="22"/>
      <c r="X1123" s="72"/>
    </row>
    <row r="1124" spans="1:24" ht="35.1" customHeight="1" x14ac:dyDescent="0.25">
      <c r="A1124" s="12">
        <f t="shared" si="57"/>
        <v>1123</v>
      </c>
      <c r="B1124" s="12"/>
      <c r="C1124" s="20"/>
      <c r="D1124" s="18"/>
      <c r="H1124" s="12" t="str">
        <f t="shared" si="58"/>
        <v>0 г. 0 мес. 0 дн.</v>
      </c>
      <c r="V1124" s="12" t="str">
        <f t="shared" si="59"/>
        <v>0 г. 0 мес. 0 дн.</v>
      </c>
      <c r="W1124" s="22"/>
      <c r="X1124" s="72"/>
    </row>
    <row r="1125" spans="1:24" ht="35.1" customHeight="1" x14ac:dyDescent="0.25">
      <c r="A1125" s="12">
        <f t="shared" si="57"/>
        <v>1124</v>
      </c>
      <c r="B1125" s="12"/>
      <c r="C1125" s="20"/>
      <c r="D1125" s="18"/>
      <c r="H1125" s="12" t="str">
        <f t="shared" si="58"/>
        <v>0 г. 0 мес. 0 дн.</v>
      </c>
      <c r="V1125" s="12" t="str">
        <f t="shared" si="59"/>
        <v>0 г. 0 мес. 0 дн.</v>
      </c>
      <c r="W1125" s="22"/>
      <c r="X1125" s="72"/>
    </row>
    <row r="1126" spans="1:24" ht="35.1" customHeight="1" x14ac:dyDescent="0.25">
      <c r="A1126" s="12">
        <f t="shared" si="57"/>
        <v>1125</v>
      </c>
      <c r="B1126" s="12"/>
      <c r="C1126" s="20"/>
      <c r="D1126" s="18"/>
      <c r="H1126" s="12" t="str">
        <f t="shared" si="58"/>
        <v>0 г. 0 мес. 0 дн.</v>
      </c>
      <c r="V1126" s="12" t="str">
        <f t="shared" si="59"/>
        <v>0 г. 0 мес. 0 дн.</v>
      </c>
      <c r="W1126" s="22"/>
      <c r="X1126" s="72"/>
    </row>
    <row r="1127" spans="1:24" ht="35.1" customHeight="1" x14ac:dyDescent="0.25">
      <c r="A1127" s="12">
        <f t="shared" si="57"/>
        <v>1126</v>
      </c>
      <c r="B1127" s="12"/>
      <c r="C1127" s="20"/>
      <c r="D1127" s="18"/>
      <c r="H1127" s="12" t="str">
        <f t="shared" si="58"/>
        <v>0 г. 0 мес. 0 дн.</v>
      </c>
      <c r="V1127" s="12" t="str">
        <f t="shared" si="59"/>
        <v>0 г. 0 мес. 0 дн.</v>
      </c>
      <c r="W1127" s="22"/>
      <c r="X1127" s="72"/>
    </row>
    <row r="1128" spans="1:24" ht="35.1" customHeight="1" x14ac:dyDescent="0.25">
      <c r="A1128" s="12">
        <f t="shared" si="57"/>
        <v>1127</v>
      </c>
      <c r="B1128" s="12"/>
      <c r="C1128" s="20"/>
      <c r="D1128" s="18"/>
      <c r="H1128" s="12" t="str">
        <f t="shared" si="58"/>
        <v>0 г. 0 мес. 0 дн.</v>
      </c>
      <c r="V1128" s="12" t="str">
        <f t="shared" si="59"/>
        <v>0 г. 0 мес. 0 дн.</v>
      </c>
      <c r="W1128" s="22"/>
      <c r="X1128" s="72"/>
    </row>
    <row r="1129" spans="1:24" ht="35.1" customHeight="1" x14ac:dyDescent="0.25">
      <c r="A1129" s="12">
        <f t="shared" si="57"/>
        <v>1128</v>
      </c>
      <c r="B1129" s="12"/>
      <c r="C1129" s="20"/>
      <c r="D1129" s="18"/>
      <c r="H1129" s="12" t="str">
        <f t="shared" si="58"/>
        <v>0 г. 0 мес. 0 дн.</v>
      </c>
      <c r="V1129" s="12" t="str">
        <f t="shared" si="59"/>
        <v>0 г. 0 мес. 0 дн.</v>
      </c>
      <c r="W1129" s="22"/>
      <c r="X1129" s="72"/>
    </row>
    <row r="1130" spans="1:24" ht="35.1" customHeight="1" x14ac:dyDescent="0.25">
      <c r="A1130" s="12">
        <f t="shared" si="57"/>
        <v>1129</v>
      </c>
      <c r="B1130" s="12"/>
      <c r="C1130" s="20"/>
      <c r="D1130" s="18"/>
      <c r="H1130" s="12" t="str">
        <f t="shared" si="58"/>
        <v>0 г. 0 мес. 0 дн.</v>
      </c>
      <c r="V1130" s="12" t="str">
        <f t="shared" si="59"/>
        <v>0 г. 0 мес. 0 дн.</v>
      </c>
      <c r="W1130" s="22"/>
      <c r="X1130" s="72"/>
    </row>
    <row r="1131" spans="1:24" ht="35.1" customHeight="1" x14ac:dyDescent="0.25">
      <c r="A1131" s="12">
        <f t="shared" si="57"/>
        <v>1130</v>
      </c>
      <c r="B1131" s="12"/>
      <c r="C1131" s="20"/>
      <c r="D1131" s="18"/>
      <c r="H1131" s="12" t="str">
        <f t="shared" si="58"/>
        <v>0 г. 0 мес. 0 дн.</v>
      </c>
      <c r="V1131" s="12" t="str">
        <f t="shared" si="59"/>
        <v>0 г. 0 мес. 0 дн.</v>
      </c>
      <c r="W1131" s="22"/>
      <c r="X1131" s="72"/>
    </row>
    <row r="1132" spans="1:24" ht="35.1" customHeight="1" x14ac:dyDescent="0.25">
      <c r="A1132" s="12">
        <f t="shared" si="57"/>
        <v>1131</v>
      </c>
      <c r="B1132" s="12"/>
      <c r="C1132" s="20"/>
      <c r="D1132" s="18"/>
      <c r="H1132" s="12" t="str">
        <f t="shared" si="58"/>
        <v>0 г. 0 мес. 0 дн.</v>
      </c>
      <c r="V1132" s="12" t="str">
        <f t="shared" si="59"/>
        <v>0 г. 0 мес. 0 дн.</v>
      </c>
      <c r="W1132" s="22"/>
      <c r="X1132" s="72"/>
    </row>
    <row r="1133" spans="1:24" ht="35.1" customHeight="1" x14ac:dyDescent="0.25">
      <c r="A1133" s="12">
        <f t="shared" si="57"/>
        <v>1132</v>
      </c>
      <c r="B1133" s="12"/>
      <c r="C1133" s="20"/>
      <c r="D1133" s="18"/>
      <c r="H1133" s="12" t="str">
        <f t="shared" si="58"/>
        <v>0 г. 0 мес. 0 дн.</v>
      </c>
      <c r="V1133" s="12" t="str">
        <f t="shared" si="59"/>
        <v>0 г. 0 мес. 0 дн.</v>
      </c>
      <c r="W1133" s="22"/>
      <c r="X1133" s="72"/>
    </row>
    <row r="1134" spans="1:24" ht="35.1" customHeight="1" x14ac:dyDescent="0.25">
      <c r="A1134" s="12">
        <f t="shared" si="57"/>
        <v>1133</v>
      </c>
      <c r="B1134" s="12"/>
      <c r="C1134" s="20"/>
      <c r="D1134" s="18"/>
      <c r="H1134" s="12" t="str">
        <f t="shared" si="58"/>
        <v>0 г. 0 мес. 0 дн.</v>
      </c>
      <c r="V1134" s="12" t="str">
        <f t="shared" si="59"/>
        <v>0 г. 0 мес. 0 дн.</v>
      </c>
      <c r="W1134" s="22"/>
      <c r="X1134" s="72"/>
    </row>
    <row r="1135" spans="1:24" ht="35.1" customHeight="1" x14ac:dyDescent="0.25">
      <c r="A1135" s="12">
        <f t="shared" si="57"/>
        <v>1134</v>
      </c>
      <c r="B1135" s="12"/>
      <c r="C1135" s="20"/>
      <c r="D1135" s="18"/>
      <c r="H1135" s="12" t="str">
        <f t="shared" si="58"/>
        <v>0 г. 0 мес. 0 дн.</v>
      </c>
      <c r="V1135" s="12" t="str">
        <f t="shared" si="59"/>
        <v>0 г. 0 мес. 0 дн.</v>
      </c>
      <c r="W1135" s="22"/>
      <c r="X1135" s="72"/>
    </row>
    <row r="1136" spans="1:24" ht="35.1" customHeight="1" x14ac:dyDescent="0.25">
      <c r="A1136" s="12">
        <f t="shared" si="57"/>
        <v>1135</v>
      </c>
      <c r="B1136" s="12"/>
      <c r="C1136" s="20"/>
      <c r="D1136" s="18"/>
      <c r="H1136" s="12" t="str">
        <f t="shared" si="58"/>
        <v>0 г. 0 мес. 0 дн.</v>
      </c>
      <c r="V1136" s="12" t="str">
        <f t="shared" si="59"/>
        <v>0 г. 0 мес. 0 дн.</v>
      </c>
      <c r="W1136" s="22"/>
      <c r="X1136" s="72"/>
    </row>
    <row r="1137" spans="1:24" ht="35.1" customHeight="1" x14ac:dyDescent="0.25">
      <c r="A1137" s="12">
        <f t="shared" si="57"/>
        <v>1136</v>
      </c>
      <c r="B1137" s="12"/>
      <c r="C1137" s="20"/>
      <c r="D1137" s="18"/>
      <c r="H1137" s="12" t="str">
        <f t="shared" si="58"/>
        <v>0 г. 0 мес. 0 дн.</v>
      </c>
      <c r="V1137" s="12" t="str">
        <f t="shared" si="59"/>
        <v>0 г. 0 мес. 0 дн.</v>
      </c>
      <c r="W1137" s="22"/>
      <c r="X1137" s="72"/>
    </row>
    <row r="1138" spans="1:24" ht="35.1" customHeight="1" x14ac:dyDescent="0.25">
      <c r="A1138" s="12">
        <f t="shared" si="57"/>
        <v>1137</v>
      </c>
      <c r="B1138" s="12"/>
      <c r="C1138" s="20"/>
      <c r="D1138" s="18"/>
      <c r="H1138" s="12" t="str">
        <f t="shared" si="58"/>
        <v>0 г. 0 мес. 0 дн.</v>
      </c>
      <c r="V1138" s="12" t="str">
        <f t="shared" si="59"/>
        <v>0 г. 0 мес. 0 дн.</v>
      </c>
      <c r="W1138" s="22"/>
      <c r="X1138" s="72"/>
    </row>
    <row r="1139" spans="1:24" ht="35.1" customHeight="1" x14ac:dyDescent="0.25">
      <c r="A1139" s="12">
        <f t="shared" si="57"/>
        <v>1138</v>
      </c>
      <c r="B1139" s="12"/>
      <c r="C1139" s="20"/>
      <c r="D1139" s="18"/>
      <c r="H1139" s="12" t="str">
        <f t="shared" si="58"/>
        <v>0 г. 0 мес. 0 дн.</v>
      </c>
      <c r="V1139" s="12" t="str">
        <f t="shared" si="59"/>
        <v>0 г. 0 мес. 0 дн.</v>
      </c>
      <c r="W1139" s="22"/>
      <c r="X1139" s="72"/>
    </row>
    <row r="1140" spans="1:24" ht="35.1" customHeight="1" x14ac:dyDescent="0.25">
      <c r="A1140" s="12">
        <f t="shared" si="57"/>
        <v>1139</v>
      </c>
      <c r="B1140" s="12"/>
      <c r="C1140" s="20"/>
      <c r="D1140" s="18"/>
      <c r="H1140" s="12" t="str">
        <f t="shared" si="58"/>
        <v>0 г. 0 мес. 0 дн.</v>
      </c>
      <c r="V1140" s="12" t="str">
        <f t="shared" si="59"/>
        <v>0 г. 0 мес. 0 дн.</v>
      </c>
      <c r="W1140" s="22"/>
      <c r="X1140" s="72"/>
    </row>
    <row r="1141" spans="1:24" ht="35.1" customHeight="1" x14ac:dyDescent="0.25">
      <c r="A1141" s="12">
        <f t="shared" si="57"/>
        <v>1140</v>
      </c>
      <c r="B1141" s="12"/>
      <c r="C1141" s="20"/>
      <c r="D1141" s="18"/>
      <c r="H1141" s="12" t="str">
        <f t="shared" si="58"/>
        <v>0 г. 0 мес. 0 дн.</v>
      </c>
      <c r="V1141" s="12" t="str">
        <f t="shared" si="59"/>
        <v>0 г. 0 мес. 0 дн.</v>
      </c>
      <c r="W1141" s="22"/>
      <c r="X1141" s="72"/>
    </row>
    <row r="1142" spans="1:24" ht="35.1" customHeight="1" x14ac:dyDescent="0.25">
      <c r="A1142" s="12">
        <f t="shared" si="57"/>
        <v>1141</v>
      </c>
      <c r="B1142" s="12"/>
      <c r="C1142" s="20"/>
      <c r="D1142" s="18"/>
      <c r="H1142" s="12" t="str">
        <f t="shared" si="58"/>
        <v>0 г. 0 мес. 0 дн.</v>
      </c>
      <c r="V1142" s="12" t="str">
        <f t="shared" si="59"/>
        <v>0 г. 0 мес. 0 дн.</v>
      </c>
      <c r="W1142" s="22"/>
      <c r="X1142" s="72"/>
    </row>
    <row r="1143" spans="1:24" ht="35.1" customHeight="1" x14ac:dyDescent="0.25">
      <c r="A1143" s="12">
        <f t="shared" si="57"/>
        <v>1142</v>
      </c>
      <c r="B1143" s="12"/>
      <c r="C1143" s="20"/>
      <c r="D1143" s="18"/>
      <c r="H1143" s="12" t="str">
        <f t="shared" si="58"/>
        <v>0 г. 0 мес. 0 дн.</v>
      </c>
      <c r="V1143" s="12" t="str">
        <f t="shared" si="59"/>
        <v>0 г. 0 мес. 0 дн.</v>
      </c>
      <c r="W1143" s="22"/>
      <c r="X1143" s="72"/>
    </row>
    <row r="1144" spans="1:24" ht="35.1" customHeight="1" x14ac:dyDescent="0.25">
      <c r="A1144" s="12">
        <f t="shared" si="57"/>
        <v>1143</v>
      </c>
      <c r="B1144" s="12"/>
      <c r="C1144" s="20"/>
      <c r="D1144" s="18"/>
      <c r="H1144" s="12" t="str">
        <f t="shared" si="58"/>
        <v>0 г. 0 мес. 0 дн.</v>
      </c>
      <c r="V1144" s="12" t="str">
        <f t="shared" si="59"/>
        <v>0 г. 0 мес. 0 дн.</v>
      </c>
      <c r="W1144" s="22"/>
      <c r="X1144" s="72"/>
    </row>
    <row r="1145" spans="1:24" ht="35.1" customHeight="1" x14ac:dyDescent="0.25">
      <c r="A1145" s="12">
        <f t="shared" si="57"/>
        <v>1144</v>
      </c>
      <c r="B1145" s="12"/>
      <c r="C1145" s="20"/>
      <c r="D1145" s="18"/>
      <c r="H1145" s="12" t="str">
        <f t="shared" si="58"/>
        <v>0 г. 0 мес. 0 дн.</v>
      </c>
      <c r="V1145" s="12" t="str">
        <f t="shared" si="59"/>
        <v>0 г. 0 мес. 0 дн.</v>
      </c>
      <c r="W1145" s="22"/>
      <c r="X1145" s="72"/>
    </row>
    <row r="1146" spans="1:24" ht="35.1" customHeight="1" x14ac:dyDescent="0.25">
      <c r="A1146" s="12">
        <f t="shared" si="57"/>
        <v>1145</v>
      </c>
      <c r="B1146" s="12"/>
      <c r="C1146" s="20"/>
      <c r="D1146" s="18"/>
      <c r="H1146" s="12" t="str">
        <f t="shared" si="58"/>
        <v>0 г. 0 мес. 0 дн.</v>
      </c>
      <c r="V1146" s="12" t="str">
        <f t="shared" si="59"/>
        <v>0 г. 0 мес. 0 дн.</v>
      </c>
      <c r="W1146" s="22"/>
      <c r="X1146" s="72"/>
    </row>
    <row r="1147" spans="1:24" ht="35.1" customHeight="1" x14ac:dyDescent="0.25">
      <c r="A1147" s="12">
        <f t="shared" si="57"/>
        <v>1146</v>
      </c>
      <c r="B1147" s="12"/>
      <c r="C1147" s="20"/>
      <c r="D1147" s="18"/>
      <c r="H1147" s="12" t="str">
        <f t="shared" si="58"/>
        <v>0 г. 0 мес. 0 дн.</v>
      </c>
      <c r="V1147" s="12" t="str">
        <f t="shared" si="59"/>
        <v>0 г. 0 мес. 0 дн.</v>
      </c>
      <c r="W1147" s="22"/>
      <c r="X1147" s="72"/>
    </row>
    <row r="1148" spans="1:24" ht="35.1" customHeight="1" x14ac:dyDescent="0.25">
      <c r="A1148" s="12">
        <f t="shared" si="57"/>
        <v>1147</v>
      </c>
      <c r="B1148" s="12"/>
      <c r="C1148" s="20"/>
      <c r="D1148" s="18"/>
      <c r="H1148" s="12" t="str">
        <f t="shared" si="58"/>
        <v>0 г. 0 мес. 0 дн.</v>
      </c>
      <c r="V1148" s="12" t="str">
        <f t="shared" si="59"/>
        <v>0 г. 0 мес. 0 дн.</v>
      </c>
      <c r="W1148" s="22"/>
      <c r="X1148" s="72"/>
    </row>
    <row r="1149" spans="1:24" ht="35.1" customHeight="1" x14ac:dyDescent="0.25">
      <c r="A1149" s="12">
        <f t="shared" si="57"/>
        <v>1148</v>
      </c>
      <c r="B1149" s="12"/>
      <c r="C1149" s="20"/>
      <c r="D1149" s="18"/>
      <c r="H1149" s="12" t="str">
        <f t="shared" si="58"/>
        <v>0 г. 0 мес. 0 дн.</v>
      </c>
      <c r="V1149" s="12" t="str">
        <f t="shared" si="59"/>
        <v>0 г. 0 мес. 0 дн.</v>
      </c>
      <c r="W1149" s="22"/>
      <c r="X1149" s="72"/>
    </row>
    <row r="1150" spans="1:24" ht="35.1" customHeight="1" x14ac:dyDescent="0.25">
      <c r="A1150" s="12">
        <f t="shared" si="57"/>
        <v>1149</v>
      </c>
      <c r="B1150" s="12"/>
      <c r="C1150" s="20"/>
      <c r="D1150" s="18"/>
      <c r="H1150" s="12" t="str">
        <f t="shared" si="58"/>
        <v>0 г. 0 мес. 0 дн.</v>
      </c>
      <c r="V1150" s="12" t="str">
        <f t="shared" si="59"/>
        <v>0 г. 0 мес. 0 дн.</v>
      </c>
      <c r="W1150" s="22"/>
      <c r="X1150" s="72"/>
    </row>
    <row r="1151" spans="1:24" ht="35.1" customHeight="1" x14ac:dyDescent="0.25">
      <c r="A1151" s="12">
        <f t="shared" si="57"/>
        <v>1150</v>
      </c>
      <c r="B1151" s="12"/>
      <c r="C1151" s="20"/>
      <c r="D1151" s="18"/>
      <c r="H1151" s="12" t="str">
        <f t="shared" si="58"/>
        <v>0 г. 0 мес. 0 дн.</v>
      </c>
      <c r="V1151" s="12" t="str">
        <f t="shared" si="59"/>
        <v>0 г. 0 мес. 0 дн.</v>
      </c>
      <c r="W1151" s="22"/>
      <c r="X1151" s="72"/>
    </row>
    <row r="1152" spans="1:24" ht="35.1" customHeight="1" x14ac:dyDescent="0.25">
      <c r="A1152" s="12">
        <f t="shared" si="57"/>
        <v>1151</v>
      </c>
      <c r="B1152" s="12"/>
      <c r="C1152" s="20"/>
      <c r="D1152" s="18"/>
      <c r="H1152" s="12" t="str">
        <f t="shared" si="58"/>
        <v>0 г. 0 мес. 0 дн.</v>
      </c>
      <c r="V1152" s="12" t="str">
        <f t="shared" si="59"/>
        <v>0 г. 0 мес. 0 дн.</v>
      </c>
      <c r="W1152" s="22"/>
      <c r="X1152" s="72"/>
    </row>
    <row r="1153" spans="1:24" ht="35.1" customHeight="1" x14ac:dyDescent="0.25">
      <c r="A1153" s="12">
        <f t="shared" ref="A1153:A1216" si="60">ROW(A1152)</f>
        <v>1152</v>
      </c>
      <c r="B1153" s="12"/>
      <c r="C1153" s="20"/>
      <c r="D1153" s="18"/>
      <c r="H1153" s="12" t="str">
        <f t="shared" si="58"/>
        <v>0 г. 0 мес. 0 дн.</v>
      </c>
      <c r="V1153" s="12" t="str">
        <f t="shared" si="59"/>
        <v>0 г. 0 мес. 0 дн.</v>
      </c>
      <c r="W1153" s="22"/>
      <c r="X1153" s="72"/>
    </row>
    <row r="1154" spans="1:24" ht="35.1" customHeight="1" x14ac:dyDescent="0.25">
      <c r="A1154" s="12">
        <f t="shared" si="60"/>
        <v>1153</v>
      </c>
      <c r="B1154" s="12"/>
      <c r="C1154" s="20"/>
      <c r="D1154" s="18"/>
      <c r="H1154" s="12" t="str">
        <f t="shared" si="58"/>
        <v>0 г. 0 мес. 0 дн.</v>
      </c>
      <c r="V1154" s="12" t="str">
        <f t="shared" si="59"/>
        <v>0 г. 0 мес. 0 дн.</v>
      </c>
      <c r="W1154" s="22"/>
      <c r="X1154" s="72"/>
    </row>
    <row r="1155" spans="1:24" ht="35.1" customHeight="1" x14ac:dyDescent="0.25">
      <c r="A1155" s="12">
        <f t="shared" si="60"/>
        <v>1154</v>
      </c>
      <c r="B1155" s="12"/>
      <c r="C1155" s="20"/>
      <c r="D1155" s="18"/>
      <c r="H1155" s="12" t="str">
        <f t="shared" si="58"/>
        <v>0 г. 0 мес. 0 дн.</v>
      </c>
      <c r="V1155" s="12" t="str">
        <f t="shared" si="59"/>
        <v>0 г. 0 мес. 0 дн.</v>
      </c>
      <c r="W1155" s="22"/>
      <c r="X1155" s="72"/>
    </row>
    <row r="1156" spans="1:24" ht="35.1" customHeight="1" x14ac:dyDescent="0.25">
      <c r="A1156" s="12">
        <f t="shared" si="60"/>
        <v>1155</v>
      </c>
      <c r="B1156" s="12"/>
      <c r="C1156" s="20"/>
      <c r="D1156" s="18"/>
      <c r="H1156" s="12" t="str">
        <f t="shared" si="58"/>
        <v>0 г. 0 мес. 0 дн.</v>
      </c>
      <c r="V1156" s="12" t="str">
        <f t="shared" si="59"/>
        <v>0 г. 0 мес. 0 дн.</v>
      </c>
      <c r="W1156" s="22"/>
      <c r="X1156" s="72"/>
    </row>
    <row r="1157" spans="1:24" ht="35.1" customHeight="1" x14ac:dyDescent="0.25">
      <c r="A1157" s="12">
        <f t="shared" si="60"/>
        <v>1156</v>
      </c>
      <c r="B1157" s="12"/>
      <c r="C1157" s="20"/>
      <c r="D1157" s="18"/>
      <c r="H1157" s="12" t="str">
        <f t="shared" si="58"/>
        <v>0 г. 0 мес. 0 дн.</v>
      </c>
      <c r="V1157" s="12" t="str">
        <f t="shared" si="59"/>
        <v>0 г. 0 мес. 0 дн.</v>
      </c>
      <c r="W1157" s="22"/>
      <c r="X1157" s="72"/>
    </row>
    <row r="1158" spans="1:24" ht="35.1" customHeight="1" x14ac:dyDescent="0.25">
      <c r="A1158" s="12">
        <f t="shared" si="60"/>
        <v>1157</v>
      </c>
      <c r="B1158" s="12"/>
      <c r="C1158" s="20"/>
      <c r="D1158" s="18"/>
      <c r="H1158" s="12" t="str">
        <f t="shared" ref="H1158:H1221" si="61">DATEDIF(G1158,D1158,"y") &amp; " г. " &amp; DATEDIF(G1158,D1158,"ym") &amp; " мес. " &amp; DATEDIF(G1158,D1158,"md") &amp; " дн."</f>
        <v>0 г. 0 мес. 0 дн.</v>
      </c>
      <c r="V1158" s="12" t="str">
        <f t="shared" si="59"/>
        <v>0 г. 0 мес. 0 дн.</v>
      </c>
      <c r="W1158" s="22"/>
      <c r="X1158" s="72"/>
    </row>
    <row r="1159" spans="1:24" ht="35.1" customHeight="1" x14ac:dyDescent="0.25">
      <c r="A1159" s="12">
        <f t="shared" si="60"/>
        <v>1158</v>
      </c>
      <c r="B1159" s="12"/>
      <c r="C1159" s="20"/>
      <c r="D1159" s="18"/>
      <c r="H1159" s="12" t="str">
        <f t="shared" si="61"/>
        <v>0 г. 0 мес. 0 дн.</v>
      </c>
      <c r="V1159" s="12" t="str">
        <f t="shared" si="59"/>
        <v>0 г. 0 мес. 0 дн.</v>
      </c>
      <c r="W1159" s="22"/>
      <c r="X1159" s="72"/>
    </row>
    <row r="1160" spans="1:24" ht="35.1" customHeight="1" x14ac:dyDescent="0.25">
      <c r="A1160" s="12">
        <f t="shared" si="60"/>
        <v>1159</v>
      </c>
      <c r="B1160" s="12"/>
      <c r="C1160" s="20"/>
      <c r="D1160" s="18"/>
      <c r="H1160" s="12" t="str">
        <f t="shared" si="61"/>
        <v>0 г. 0 мес. 0 дн.</v>
      </c>
      <c r="V1160" s="12" t="str">
        <f t="shared" si="59"/>
        <v>0 г. 0 мес. 0 дн.</v>
      </c>
      <c r="W1160" s="22"/>
      <c r="X1160" s="72"/>
    </row>
    <row r="1161" spans="1:24" ht="35.1" customHeight="1" x14ac:dyDescent="0.25">
      <c r="A1161" s="12">
        <f t="shared" si="60"/>
        <v>1160</v>
      </c>
      <c r="B1161" s="12"/>
      <c r="C1161" s="20"/>
      <c r="D1161" s="18"/>
      <c r="H1161" s="12" t="str">
        <f t="shared" si="61"/>
        <v>0 г. 0 мес. 0 дн.</v>
      </c>
      <c r="V1161" s="12" t="str">
        <f t="shared" si="59"/>
        <v>0 г. 0 мес. 0 дн.</v>
      </c>
      <c r="W1161" s="22"/>
      <c r="X1161" s="72"/>
    </row>
    <row r="1162" spans="1:24" ht="35.1" customHeight="1" x14ac:dyDescent="0.25">
      <c r="A1162" s="12">
        <f t="shared" si="60"/>
        <v>1161</v>
      </c>
      <c r="B1162" s="12"/>
      <c r="C1162" s="20"/>
      <c r="D1162" s="18"/>
      <c r="H1162" s="12" t="str">
        <f t="shared" si="61"/>
        <v>0 г. 0 мес. 0 дн.</v>
      </c>
      <c r="V1162" s="12" t="str">
        <f t="shared" si="59"/>
        <v>0 г. 0 мес. 0 дн.</v>
      </c>
      <c r="W1162" s="22"/>
      <c r="X1162" s="72"/>
    </row>
    <row r="1163" spans="1:24" ht="35.1" customHeight="1" x14ac:dyDescent="0.25">
      <c r="A1163" s="12">
        <f t="shared" si="60"/>
        <v>1162</v>
      </c>
      <c r="B1163" s="12"/>
      <c r="C1163" s="20"/>
      <c r="D1163" s="18"/>
      <c r="H1163" s="12" t="str">
        <f t="shared" si="61"/>
        <v>0 г. 0 мес. 0 дн.</v>
      </c>
      <c r="V1163" s="12" t="str">
        <f t="shared" si="59"/>
        <v>0 г. 0 мес. 0 дн.</v>
      </c>
      <c r="W1163" s="22"/>
      <c r="X1163" s="72"/>
    </row>
    <row r="1164" spans="1:24" ht="35.1" customHeight="1" x14ac:dyDescent="0.25">
      <c r="A1164" s="12">
        <f t="shared" si="60"/>
        <v>1163</v>
      </c>
      <c r="B1164" s="12"/>
      <c r="C1164" s="20"/>
      <c r="D1164" s="18"/>
      <c r="H1164" s="12" t="str">
        <f t="shared" si="61"/>
        <v>0 г. 0 мес. 0 дн.</v>
      </c>
      <c r="V1164" s="12" t="str">
        <f t="shared" si="59"/>
        <v>0 г. 0 мес. 0 дн.</v>
      </c>
      <c r="W1164" s="22"/>
      <c r="X1164" s="72"/>
    </row>
    <row r="1165" spans="1:24" ht="35.1" customHeight="1" x14ac:dyDescent="0.25">
      <c r="A1165" s="12">
        <f t="shared" si="60"/>
        <v>1164</v>
      </c>
      <c r="B1165" s="12"/>
      <c r="C1165" s="20"/>
      <c r="D1165" s="18"/>
      <c r="H1165" s="12" t="str">
        <f t="shared" si="61"/>
        <v>0 г. 0 мес. 0 дн.</v>
      </c>
      <c r="V1165" s="12" t="str">
        <f t="shared" si="59"/>
        <v>0 г. 0 мес. 0 дн.</v>
      </c>
      <c r="W1165" s="22"/>
      <c r="X1165" s="72"/>
    </row>
    <row r="1166" spans="1:24" ht="35.1" customHeight="1" x14ac:dyDescent="0.25">
      <c r="A1166" s="12">
        <f t="shared" si="60"/>
        <v>1165</v>
      </c>
      <c r="B1166" s="12"/>
      <c r="C1166" s="20"/>
      <c r="D1166" s="18"/>
      <c r="H1166" s="12" t="str">
        <f t="shared" si="61"/>
        <v>0 г. 0 мес. 0 дн.</v>
      </c>
      <c r="V1166" s="12" t="str">
        <f t="shared" si="59"/>
        <v>0 г. 0 мес. 0 дн.</v>
      </c>
      <c r="W1166" s="22"/>
      <c r="X1166" s="72"/>
    </row>
    <row r="1167" spans="1:24" ht="35.1" customHeight="1" x14ac:dyDescent="0.25">
      <c r="A1167" s="12">
        <f t="shared" si="60"/>
        <v>1166</v>
      </c>
      <c r="B1167" s="12"/>
      <c r="C1167" s="20"/>
      <c r="D1167" s="18"/>
      <c r="H1167" s="12" t="str">
        <f t="shared" si="61"/>
        <v>0 г. 0 мес. 0 дн.</v>
      </c>
      <c r="V1167" s="12" t="str">
        <f t="shared" si="59"/>
        <v>0 г. 0 мес. 0 дн.</v>
      </c>
      <c r="W1167" s="22"/>
      <c r="X1167" s="72"/>
    </row>
    <row r="1168" spans="1:24" ht="35.1" customHeight="1" x14ac:dyDescent="0.25">
      <c r="A1168" s="12">
        <f t="shared" si="60"/>
        <v>1167</v>
      </c>
      <c r="B1168" s="12"/>
      <c r="C1168" s="20"/>
      <c r="D1168" s="18"/>
      <c r="H1168" s="12" t="str">
        <f t="shared" si="61"/>
        <v>0 г. 0 мес. 0 дн.</v>
      </c>
      <c r="V1168" s="12" t="str">
        <f t="shared" si="59"/>
        <v>0 г. 0 мес. 0 дн.</v>
      </c>
      <c r="W1168" s="22"/>
      <c r="X1168" s="72"/>
    </row>
    <row r="1169" spans="1:24" ht="35.1" customHeight="1" x14ac:dyDescent="0.25">
      <c r="A1169" s="12">
        <f t="shared" si="60"/>
        <v>1168</v>
      </c>
      <c r="B1169" s="12"/>
      <c r="C1169" s="20"/>
      <c r="D1169" s="18"/>
      <c r="H1169" s="12" t="str">
        <f t="shared" si="61"/>
        <v>0 г. 0 мес. 0 дн.</v>
      </c>
      <c r="V1169" s="12" t="str">
        <f t="shared" si="59"/>
        <v>0 г. 0 мес. 0 дн.</v>
      </c>
      <c r="W1169" s="22"/>
      <c r="X1169" s="72"/>
    </row>
    <row r="1170" spans="1:24" ht="35.1" customHeight="1" x14ac:dyDescent="0.25">
      <c r="A1170" s="12">
        <f t="shared" si="60"/>
        <v>1169</v>
      </c>
      <c r="B1170" s="12"/>
      <c r="C1170" s="20"/>
      <c r="D1170" s="18"/>
      <c r="H1170" s="12" t="str">
        <f t="shared" si="61"/>
        <v>0 г. 0 мес. 0 дн.</v>
      </c>
      <c r="V1170" s="12" t="str">
        <f t="shared" si="59"/>
        <v>0 г. 0 мес. 0 дн.</v>
      </c>
      <c r="W1170" s="22"/>
      <c r="X1170" s="72"/>
    </row>
    <row r="1171" spans="1:24" ht="35.1" customHeight="1" x14ac:dyDescent="0.25">
      <c r="A1171" s="12">
        <f t="shared" si="60"/>
        <v>1170</v>
      </c>
      <c r="B1171" s="12"/>
      <c r="C1171" s="20"/>
      <c r="D1171" s="18"/>
      <c r="H1171" s="12" t="str">
        <f t="shared" si="61"/>
        <v>0 г. 0 мес. 0 дн.</v>
      </c>
      <c r="V1171" s="12" t="str">
        <f t="shared" si="59"/>
        <v>0 г. 0 мес. 0 дн.</v>
      </c>
      <c r="W1171" s="22"/>
      <c r="X1171" s="72"/>
    </row>
    <row r="1172" spans="1:24" ht="35.1" customHeight="1" x14ac:dyDescent="0.25">
      <c r="A1172" s="12">
        <f t="shared" si="60"/>
        <v>1171</v>
      </c>
      <c r="B1172" s="12"/>
      <c r="C1172" s="20"/>
      <c r="D1172" s="18"/>
      <c r="H1172" s="12" t="str">
        <f t="shared" si="61"/>
        <v>0 г. 0 мес. 0 дн.</v>
      </c>
      <c r="V1172" s="12" t="str">
        <f t="shared" si="59"/>
        <v>0 г. 0 мес. 0 дн.</v>
      </c>
      <c r="W1172" s="22"/>
      <c r="X1172" s="72"/>
    </row>
    <row r="1173" spans="1:24" ht="35.1" customHeight="1" x14ac:dyDescent="0.25">
      <c r="A1173" s="12">
        <f t="shared" si="60"/>
        <v>1172</v>
      </c>
      <c r="B1173" s="12"/>
      <c r="C1173" s="20"/>
      <c r="D1173" s="18"/>
      <c r="H1173" s="12" t="str">
        <f t="shared" si="61"/>
        <v>0 г. 0 мес. 0 дн.</v>
      </c>
      <c r="V1173" s="12" t="str">
        <f t="shared" si="59"/>
        <v>0 г. 0 мес. 0 дн.</v>
      </c>
      <c r="W1173" s="22"/>
      <c r="X1173" s="72"/>
    </row>
    <row r="1174" spans="1:24" ht="35.1" customHeight="1" x14ac:dyDescent="0.25">
      <c r="A1174" s="12">
        <f t="shared" si="60"/>
        <v>1173</v>
      </c>
      <c r="B1174" s="12"/>
      <c r="C1174" s="20"/>
      <c r="D1174" s="18"/>
      <c r="H1174" s="12" t="str">
        <f t="shared" si="61"/>
        <v>0 г. 0 мес. 0 дн.</v>
      </c>
      <c r="V1174" s="12" t="str">
        <f t="shared" si="59"/>
        <v>0 г. 0 мес. 0 дн.</v>
      </c>
      <c r="W1174" s="22"/>
      <c r="X1174" s="72"/>
    </row>
    <row r="1175" spans="1:24" ht="35.1" customHeight="1" x14ac:dyDescent="0.25">
      <c r="A1175" s="12">
        <f t="shared" si="60"/>
        <v>1174</v>
      </c>
      <c r="B1175" s="12"/>
      <c r="C1175" s="20"/>
      <c r="D1175" s="18"/>
      <c r="H1175" s="12" t="str">
        <f t="shared" si="61"/>
        <v>0 г. 0 мес. 0 дн.</v>
      </c>
      <c r="V1175" s="12" t="str">
        <f t="shared" si="59"/>
        <v>0 г. 0 мес. 0 дн.</v>
      </c>
      <c r="W1175" s="22"/>
      <c r="X1175" s="72"/>
    </row>
    <row r="1176" spans="1:24" ht="35.1" customHeight="1" x14ac:dyDescent="0.25">
      <c r="A1176" s="12">
        <f t="shared" si="60"/>
        <v>1175</v>
      </c>
      <c r="B1176" s="12"/>
      <c r="C1176" s="20"/>
      <c r="D1176" s="18"/>
      <c r="H1176" s="12" t="str">
        <f t="shared" si="61"/>
        <v>0 г. 0 мес. 0 дн.</v>
      </c>
      <c r="V1176" s="12" t="str">
        <f t="shared" ref="V1176:V1239" si="62">DATEDIF(D1176,T1176,"y") &amp; " г. " &amp; DATEDIF(D1176,T1176,"ym") &amp; " мес. " &amp; DATEDIF(D1176,T1176,"md") &amp; " дн."</f>
        <v>0 г. 0 мес. 0 дн.</v>
      </c>
      <c r="W1176" s="22"/>
      <c r="X1176" s="72"/>
    </row>
    <row r="1177" spans="1:24" ht="35.1" customHeight="1" x14ac:dyDescent="0.25">
      <c r="A1177" s="12">
        <f t="shared" si="60"/>
        <v>1176</v>
      </c>
      <c r="B1177" s="12"/>
      <c r="C1177" s="20"/>
      <c r="D1177" s="18"/>
      <c r="H1177" s="12" t="str">
        <f t="shared" si="61"/>
        <v>0 г. 0 мес. 0 дн.</v>
      </c>
      <c r="V1177" s="12" t="str">
        <f t="shared" si="62"/>
        <v>0 г. 0 мес. 0 дн.</v>
      </c>
      <c r="W1177" s="22"/>
      <c r="X1177" s="72"/>
    </row>
    <row r="1178" spans="1:24" ht="35.1" customHeight="1" x14ac:dyDescent="0.25">
      <c r="A1178" s="12">
        <f t="shared" si="60"/>
        <v>1177</v>
      </c>
      <c r="B1178" s="12"/>
      <c r="C1178" s="20"/>
      <c r="D1178" s="18"/>
      <c r="H1178" s="12" t="str">
        <f t="shared" si="61"/>
        <v>0 г. 0 мес. 0 дн.</v>
      </c>
      <c r="V1178" s="12" t="str">
        <f t="shared" si="62"/>
        <v>0 г. 0 мес. 0 дн.</v>
      </c>
      <c r="W1178" s="22"/>
      <c r="X1178" s="72"/>
    </row>
    <row r="1179" spans="1:24" ht="35.1" customHeight="1" x14ac:dyDescent="0.25">
      <c r="A1179" s="12">
        <f t="shared" si="60"/>
        <v>1178</v>
      </c>
      <c r="B1179" s="12"/>
      <c r="C1179" s="20"/>
      <c r="D1179" s="18"/>
      <c r="H1179" s="12" t="str">
        <f t="shared" si="61"/>
        <v>0 г. 0 мес. 0 дн.</v>
      </c>
      <c r="V1179" s="12" t="str">
        <f t="shared" si="62"/>
        <v>0 г. 0 мес. 0 дн.</v>
      </c>
      <c r="W1179" s="22"/>
      <c r="X1179" s="72"/>
    </row>
    <row r="1180" spans="1:24" ht="35.1" customHeight="1" x14ac:dyDescent="0.25">
      <c r="A1180" s="12">
        <f t="shared" si="60"/>
        <v>1179</v>
      </c>
      <c r="B1180" s="12"/>
      <c r="C1180" s="20"/>
      <c r="D1180" s="18"/>
      <c r="H1180" s="12" t="str">
        <f t="shared" si="61"/>
        <v>0 г. 0 мес. 0 дн.</v>
      </c>
      <c r="V1180" s="12" t="str">
        <f t="shared" si="62"/>
        <v>0 г. 0 мес. 0 дн.</v>
      </c>
      <c r="W1180" s="22"/>
      <c r="X1180" s="72"/>
    </row>
    <row r="1181" spans="1:24" ht="35.1" customHeight="1" x14ac:dyDescent="0.25">
      <c r="A1181" s="12">
        <f t="shared" si="60"/>
        <v>1180</v>
      </c>
      <c r="B1181" s="12"/>
      <c r="C1181" s="20"/>
      <c r="D1181" s="18"/>
      <c r="H1181" s="12" t="str">
        <f t="shared" si="61"/>
        <v>0 г. 0 мес. 0 дн.</v>
      </c>
      <c r="V1181" s="12" t="str">
        <f t="shared" si="62"/>
        <v>0 г. 0 мес. 0 дн.</v>
      </c>
      <c r="W1181" s="22"/>
      <c r="X1181" s="72"/>
    </row>
    <row r="1182" spans="1:24" ht="35.1" customHeight="1" x14ac:dyDescent="0.25">
      <c r="A1182" s="12">
        <f t="shared" si="60"/>
        <v>1181</v>
      </c>
      <c r="B1182" s="12"/>
      <c r="C1182" s="20"/>
      <c r="D1182" s="18"/>
      <c r="H1182" s="12" t="str">
        <f t="shared" si="61"/>
        <v>0 г. 0 мес. 0 дн.</v>
      </c>
      <c r="V1182" s="12" t="str">
        <f t="shared" si="62"/>
        <v>0 г. 0 мес. 0 дн.</v>
      </c>
      <c r="W1182" s="22"/>
      <c r="X1182" s="72"/>
    </row>
    <row r="1183" spans="1:24" ht="35.1" customHeight="1" x14ac:dyDescent="0.25">
      <c r="A1183" s="12">
        <f t="shared" si="60"/>
        <v>1182</v>
      </c>
      <c r="B1183" s="12"/>
      <c r="C1183" s="20"/>
      <c r="D1183" s="18"/>
      <c r="H1183" s="12" t="str">
        <f t="shared" si="61"/>
        <v>0 г. 0 мес. 0 дн.</v>
      </c>
      <c r="V1183" s="12" t="str">
        <f t="shared" si="62"/>
        <v>0 г. 0 мес. 0 дн.</v>
      </c>
      <c r="W1183" s="22"/>
      <c r="X1183" s="72"/>
    </row>
    <row r="1184" spans="1:24" ht="35.1" customHeight="1" x14ac:dyDescent="0.25">
      <c r="A1184" s="12">
        <f t="shared" si="60"/>
        <v>1183</v>
      </c>
      <c r="B1184" s="12"/>
      <c r="C1184" s="20"/>
      <c r="D1184" s="18"/>
      <c r="H1184" s="12" t="str">
        <f t="shared" si="61"/>
        <v>0 г. 0 мес. 0 дн.</v>
      </c>
      <c r="V1184" s="12" t="str">
        <f t="shared" si="62"/>
        <v>0 г. 0 мес. 0 дн.</v>
      </c>
      <c r="W1184" s="22"/>
      <c r="X1184" s="72"/>
    </row>
    <row r="1185" spans="1:24" ht="35.1" customHeight="1" x14ac:dyDescent="0.25">
      <c r="A1185" s="12">
        <f t="shared" si="60"/>
        <v>1184</v>
      </c>
      <c r="B1185" s="12"/>
      <c r="C1185" s="20"/>
      <c r="D1185" s="18"/>
      <c r="H1185" s="12" t="str">
        <f t="shared" si="61"/>
        <v>0 г. 0 мес. 0 дн.</v>
      </c>
      <c r="V1185" s="12" t="str">
        <f t="shared" si="62"/>
        <v>0 г. 0 мес. 0 дн.</v>
      </c>
      <c r="W1185" s="22"/>
      <c r="X1185" s="72"/>
    </row>
    <row r="1186" spans="1:24" ht="35.1" customHeight="1" x14ac:dyDescent="0.25">
      <c r="A1186" s="12">
        <f t="shared" si="60"/>
        <v>1185</v>
      </c>
      <c r="B1186" s="12"/>
      <c r="C1186" s="20"/>
      <c r="D1186" s="18"/>
      <c r="H1186" s="12" t="str">
        <f t="shared" si="61"/>
        <v>0 г. 0 мес. 0 дн.</v>
      </c>
      <c r="V1186" s="12" t="str">
        <f t="shared" si="62"/>
        <v>0 г. 0 мес. 0 дн.</v>
      </c>
      <c r="W1186" s="22"/>
      <c r="X1186" s="72"/>
    </row>
    <row r="1187" spans="1:24" ht="35.1" customHeight="1" x14ac:dyDescent="0.25">
      <c r="A1187" s="12">
        <f t="shared" si="60"/>
        <v>1186</v>
      </c>
      <c r="B1187" s="12"/>
      <c r="C1187" s="20"/>
      <c r="D1187" s="18"/>
      <c r="H1187" s="12" t="str">
        <f t="shared" si="61"/>
        <v>0 г. 0 мес. 0 дн.</v>
      </c>
      <c r="V1187" s="12" t="str">
        <f t="shared" si="62"/>
        <v>0 г. 0 мес. 0 дн.</v>
      </c>
      <c r="W1187" s="22"/>
      <c r="X1187" s="72"/>
    </row>
    <row r="1188" spans="1:24" ht="35.1" customHeight="1" x14ac:dyDescent="0.25">
      <c r="A1188" s="12">
        <f t="shared" si="60"/>
        <v>1187</v>
      </c>
      <c r="B1188" s="12"/>
      <c r="C1188" s="20"/>
      <c r="D1188" s="18"/>
      <c r="H1188" s="12" t="str">
        <f t="shared" si="61"/>
        <v>0 г. 0 мес. 0 дн.</v>
      </c>
      <c r="V1188" s="12" t="str">
        <f t="shared" si="62"/>
        <v>0 г. 0 мес. 0 дн.</v>
      </c>
      <c r="W1188" s="22"/>
      <c r="X1188" s="72"/>
    </row>
    <row r="1189" spans="1:24" ht="35.1" customHeight="1" x14ac:dyDescent="0.25">
      <c r="A1189" s="12">
        <f t="shared" si="60"/>
        <v>1188</v>
      </c>
      <c r="B1189" s="12"/>
      <c r="C1189" s="20"/>
      <c r="D1189" s="18"/>
      <c r="H1189" s="12" t="str">
        <f t="shared" si="61"/>
        <v>0 г. 0 мес. 0 дн.</v>
      </c>
      <c r="V1189" s="12" t="str">
        <f t="shared" si="62"/>
        <v>0 г. 0 мес. 0 дн.</v>
      </c>
      <c r="W1189" s="22"/>
      <c r="X1189" s="72"/>
    </row>
    <row r="1190" spans="1:24" ht="35.1" customHeight="1" x14ac:dyDescent="0.25">
      <c r="A1190" s="12">
        <f t="shared" si="60"/>
        <v>1189</v>
      </c>
      <c r="B1190" s="12"/>
      <c r="C1190" s="20"/>
      <c r="D1190" s="18"/>
      <c r="H1190" s="12" t="str">
        <f t="shared" si="61"/>
        <v>0 г. 0 мес. 0 дн.</v>
      </c>
      <c r="V1190" s="12" t="str">
        <f t="shared" si="62"/>
        <v>0 г. 0 мес. 0 дн.</v>
      </c>
      <c r="W1190" s="22"/>
      <c r="X1190" s="72"/>
    </row>
    <row r="1191" spans="1:24" ht="35.1" customHeight="1" x14ac:dyDescent="0.25">
      <c r="A1191" s="12">
        <f t="shared" si="60"/>
        <v>1190</v>
      </c>
      <c r="B1191" s="12"/>
      <c r="C1191" s="20"/>
      <c r="D1191" s="18"/>
      <c r="H1191" s="12" t="str">
        <f t="shared" si="61"/>
        <v>0 г. 0 мес. 0 дн.</v>
      </c>
      <c r="V1191" s="12" t="str">
        <f t="shared" si="62"/>
        <v>0 г. 0 мес. 0 дн.</v>
      </c>
      <c r="W1191" s="22"/>
      <c r="X1191" s="72"/>
    </row>
    <row r="1192" spans="1:24" ht="35.1" customHeight="1" x14ac:dyDescent="0.25">
      <c r="A1192" s="12">
        <f t="shared" si="60"/>
        <v>1191</v>
      </c>
      <c r="B1192" s="12"/>
      <c r="C1192" s="20"/>
      <c r="D1192" s="18"/>
      <c r="H1192" s="12" t="str">
        <f t="shared" si="61"/>
        <v>0 г. 0 мес. 0 дн.</v>
      </c>
      <c r="V1192" s="12" t="str">
        <f t="shared" si="62"/>
        <v>0 г. 0 мес. 0 дн.</v>
      </c>
      <c r="W1192" s="22"/>
      <c r="X1192" s="72"/>
    </row>
    <row r="1193" spans="1:24" ht="35.1" customHeight="1" x14ac:dyDescent="0.25">
      <c r="A1193" s="12">
        <f t="shared" si="60"/>
        <v>1192</v>
      </c>
      <c r="B1193" s="12"/>
      <c r="C1193" s="20"/>
      <c r="D1193" s="18"/>
      <c r="H1193" s="12" t="str">
        <f t="shared" si="61"/>
        <v>0 г. 0 мес. 0 дн.</v>
      </c>
      <c r="V1193" s="12" t="str">
        <f t="shared" si="62"/>
        <v>0 г. 0 мес. 0 дн.</v>
      </c>
      <c r="W1193" s="22"/>
      <c r="X1193" s="72"/>
    </row>
    <row r="1194" spans="1:24" ht="35.1" customHeight="1" x14ac:dyDescent="0.25">
      <c r="A1194" s="12">
        <f t="shared" si="60"/>
        <v>1193</v>
      </c>
      <c r="B1194" s="12"/>
      <c r="C1194" s="20"/>
      <c r="D1194" s="18"/>
      <c r="H1194" s="12" t="str">
        <f t="shared" si="61"/>
        <v>0 г. 0 мес. 0 дн.</v>
      </c>
      <c r="V1194" s="12" t="str">
        <f t="shared" si="62"/>
        <v>0 г. 0 мес. 0 дн.</v>
      </c>
      <c r="W1194" s="22"/>
      <c r="X1194" s="72"/>
    </row>
    <row r="1195" spans="1:24" ht="35.1" customHeight="1" x14ac:dyDescent="0.25">
      <c r="A1195" s="12">
        <f t="shared" si="60"/>
        <v>1194</v>
      </c>
      <c r="B1195" s="12"/>
      <c r="C1195" s="20"/>
      <c r="D1195" s="18"/>
      <c r="H1195" s="12" t="str">
        <f t="shared" si="61"/>
        <v>0 г. 0 мес. 0 дн.</v>
      </c>
      <c r="V1195" s="12" t="str">
        <f t="shared" si="62"/>
        <v>0 г. 0 мес. 0 дн.</v>
      </c>
      <c r="W1195" s="22"/>
      <c r="X1195" s="72"/>
    </row>
    <row r="1196" spans="1:24" ht="35.1" customHeight="1" x14ac:dyDescent="0.25">
      <c r="A1196" s="12">
        <f t="shared" si="60"/>
        <v>1195</v>
      </c>
      <c r="B1196" s="12"/>
      <c r="C1196" s="20"/>
      <c r="D1196" s="18"/>
      <c r="H1196" s="12" t="str">
        <f t="shared" si="61"/>
        <v>0 г. 0 мес. 0 дн.</v>
      </c>
      <c r="V1196" s="12" t="str">
        <f t="shared" si="62"/>
        <v>0 г. 0 мес. 0 дн.</v>
      </c>
      <c r="W1196" s="22"/>
      <c r="X1196" s="72"/>
    </row>
    <row r="1197" spans="1:24" ht="35.1" customHeight="1" x14ac:dyDescent="0.25">
      <c r="A1197" s="12">
        <f t="shared" si="60"/>
        <v>1196</v>
      </c>
      <c r="B1197" s="12"/>
      <c r="C1197" s="20"/>
      <c r="D1197" s="18"/>
      <c r="H1197" s="12" t="str">
        <f t="shared" si="61"/>
        <v>0 г. 0 мес. 0 дн.</v>
      </c>
      <c r="V1197" s="12" t="str">
        <f t="shared" si="62"/>
        <v>0 г. 0 мес. 0 дн.</v>
      </c>
      <c r="W1197" s="22"/>
      <c r="X1197" s="72"/>
    </row>
    <row r="1198" spans="1:24" ht="35.1" customHeight="1" x14ac:dyDescent="0.25">
      <c r="A1198" s="12">
        <f t="shared" si="60"/>
        <v>1197</v>
      </c>
      <c r="B1198" s="12"/>
      <c r="C1198" s="20"/>
      <c r="D1198" s="18"/>
      <c r="H1198" s="12" t="str">
        <f t="shared" si="61"/>
        <v>0 г. 0 мес. 0 дн.</v>
      </c>
      <c r="V1198" s="12" t="str">
        <f t="shared" si="62"/>
        <v>0 г. 0 мес. 0 дн.</v>
      </c>
      <c r="W1198" s="22"/>
      <c r="X1198" s="72"/>
    </row>
    <row r="1199" spans="1:24" ht="35.1" customHeight="1" x14ac:dyDescent="0.25">
      <c r="A1199" s="12">
        <f t="shared" si="60"/>
        <v>1198</v>
      </c>
      <c r="B1199" s="12"/>
      <c r="C1199" s="20"/>
      <c r="D1199" s="18"/>
      <c r="H1199" s="12" t="str">
        <f t="shared" si="61"/>
        <v>0 г. 0 мес. 0 дн.</v>
      </c>
      <c r="V1199" s="12" t="str">
        <f t="shared" si="62"/>
        <v>0 г. 0 мес. 0 дн.</v>
      </c>
      <c r="W1199" s="22"/>
      <c r="X1199" s="72"/>
    </row>
    <row r="1200" spans="1:24" ht="35.1" customHeight="1" x14ac:dyDescent="0.25">
      <c r="A1200" s="12">
        <f t="shared" si="60"/>
        <v>1199</v>
      </c>
      <c r="B1200" s="12"/>
      <c r="C1200" s="20"/>
      <c r="D1200" s="18"/>
      <c r="H1200" s="12" t="str">
        <f t="shared" si="61"/>
        <v>0 г. 0 мес. 0 дн.</v>
      </c>
      <c r="V1200" s="12" t="str">
        <f t="shared" si="62"/>
        <v>0 г. 0 мес. 0 дн.</v>
      </c>
      <c r="W1200" s="22"/>
      <c r="X1200" s="72"/>
    </row>
    <row r="1201" spans="1:24" ht="35.1" customHeight="1" x14ac:dyDescent="0.25">
      <c r="A1201" s="12">
        <f t="shared" si="60"/>
        <v>1200</v>
      </c>
      <c r="B1201" s="12"/>
      <c r="C1201" s="20"/>
      <c r="D1201" s="18"/>
      <c r="H1201" s="12" t="str">
        <f t="shared" si="61"/>
        <v>0 г. 0 мес. 0 дн.</v>
      </c>
      <c r="V1201" s="12" t="str">
        <f t="shared" si="62"/>
        <v>0 г. 0 мес. 0 дн.</v>
      </c>
      <c r="W1201" s="22"/>
      <c r="X1201" s="72"/>
    </row>
    <row r="1202" spans="1:24" ht="35.1" customHeight="1" x14ac:dyDescent="0.25">
      <c r="A1202" s="12">
        <f t="shared" si="60"/>
        <v>1201</v>
      </c>
      <c r="B1202" s="12"/>
      <c r="C1202" s="20"/>
      <c r="D1202" s="18"/>
      <c r="H1202" s="12" t="str">
        <f t="shared" si="61"/>
        <v>0 г. 0 мес. 0 дн.</v>
      </c>
      <c r="V1202" s="12" t="str">
        <f t="shared" si="62"/>
        <v>0 г. 0 мес. 0 дн.</v>
      </c>
      <c r="W1202" s="22"/>
      <c r="X1202" s="72"/>
    </row>
    <row r="1203" spans="1:24" ht="35.1" customHeight="1" x14ac:dyDescent="0.25">
      <c r="A1203" s="12">
        <f t="shared" si="60"/>
        <v>1202</v>
      </c>
      <c r="B1203" s="12"/>
      <c r="C1203" s="20"/>
      <c r="D1203" s="18"/>
      <c r="H1203" s="12" t="str">
        <f t="shared" si="61"/>
        <v>0 г. 0 мес. 0 дн.</v>
      </c>
      <c r="V1203" s="12" t="str">
        <f t="shared" si="62"/>
        <v>0 г. 0 мес. 0 дн.</v>
      </c>
      <c r="W1203" s="22"/>
      <c r="X1203" s="72"/>
    </row>
    <row r="1204" spans="1:24" ht="35.1" customHeight="1" x14ac:dyDescent="0.25">
      <c r="A1204" s="12">
        <f t="shared" si="60"/>
        <v>1203</v>
      </c>
      <c r="B1204" s="12"/>
      <c r="C1204" s="20"/>
      <c r="D1204" s="18"/>
      <c r="H1204" s="12" t="str">
        <f t="shared" si="61"/>
        <v>0 г. 0 мес. 0 дн.</v>
      </c>
      <c r="V1204" s="12" t="str">
        <f t="shared" si="62"/>
        <v>0 г. 0 мес. 0 дн.</v>
      </c>
      <c r="W1204" s="22"/>
      <c r="X1204" s="72"/>
    </row>
    <row r="1205" spans="1:24" ht="35.1" customHeight="1" x14ac:dyDescent="0.25">
      <c r="A1205" s="12">
        <f t="shared" si="60"/>
        <v>1204</v>
      </c>
      <c r="B1205" s="12"/>
      <c r="C1205" s="20"/>
      <c r="D1205" s="18"/>
      <c r="H1205" s="12" t="str">
        <f t="shared" si="61"/>
        <v>0 г. 0 мес. 0 дн.</v>
      </c>
      <c r="V1205" s="12" t="str">
        <f t="shared" si="62"/>
        <v>0 г. 0 мес. 0 дн.</v>
      </c>
      <c r="W1205" s="22"/>
      <c r="X1205" s="72"/>
    </row>
    <row r="1206" spans="1:24" ht="35.1" customHeight="1" x14ac:dyDescent="0.25">
      <c r="A1206" s="12">
        <f t="shared" si="60"/>
        <v>1205</v>
      </c>
      <c r="B1206" s="12"/>
      <c r="C1206" s="20"/>
      <c r="D1206" s="18"/>
      <c r="H1206" s="12" t="str">
        <f t="shared" si="61"/>
        <v>0 г. 0 мес. 0 дн.</v>
      </c>
      <c r="V1206" s="12" t="str">
        <f t="shared" si="62"/>
        <v>0 г. 0 мес. 0 дн.</v>
      </c>
      <c r="W1206" s="22"/>
      <c r="X1206" s="72"/>
    </row>
    <row r="1207" spans="1:24" ht="35.1" customHeight="1" x14ac:dyDescent="0.25">
      <c r="A1207" s="12">
        <f t="shared" si="60"/>
        <v>1206</v>
      </c>
      <c r="B1207" s="12"/>
      <c r="C1207" s="20"/>
      <c r="D1207" s="18"/>
      <c r="H1207" s="12" t="str">
        <f t="shared" si="61"/>
        <v>0 г. 0 мес. 0 дн.</v>
      </c>
      <c r="V1207" s="12" t="str">
        <f t="shared" si="62"/>
        <v>0 г. 0 мес. 0 дн.</v>
      </c>
      <c r="W1207" s="22"/>
      <c r="X1207" s="72"/>
    </row>
    <row r="1208" spans="1:24" ht="35.1" customHeight="1" x14ac:dyDescent="0.25">
      <c r="A1208" s="12">
        <f t="shared" si="60"/>
        <v>1207</v>
      </c>
      <c r="B1208" s="12"/>
      <c r="C1208" s="20"/>
      <c r="D1208" s="18"/>
      <c r="H1208" s="12" t="str">
        <f t="shared" si="61"/>
        <v>0 г. 0 мес. 0 дн.</v>
      </c>
      <c r="V1208" s="12" t="str">
        <f t="shared" si="62"/>
        <v>0 г. 0 мес. 0 дн.</v>
      </c>
      <c r="W1208" s="22"/>
      <c r="X1208" s="72"/>
    </row>
    <row r="1209" spans="1:24" ht="35.1" customHeight="1" x14ac:dyDescent="0.25">
      <c r="A1209" s="12">
        <f t="shared" si="60"/>
        <v>1208</v>
      </c>
      <c r="B1209" s="12"/>
      <c r="C1209" s="20"/>
      <c r="D1209" s="18"/>
      <c r="H1209" s="12" t="str">
        <f t="shared" si="61"/>
        <v>0 г. 0 мес. 0 дн.</v>
      </c>
      <c r="V1209" s="12" t="str">
        <f t="shared" si="62"/>
        <v>0 г. 0 мес. 0 дн.</v>
      </c>
      <c r="W1209" s="22"/>
      <c r="X1209" s="72"/>
    </row>
    <row r="1210" spans="1:24" ht="35.1" customHeight="1" x14ac:dyDescent="0.25">
      <c r="A1210" s="12">
        <f t="shared" si="60"/>
        <v>1209</v>
      </c>
      <c r="B1210" s="12"/>
      <c r="C1210" s="20"/>
      <c r="D1210" s="18"/>
      <c r="H1210" s="12" t="str">
        <f t="shared" si="61"/>
        <v>0 г. 0 мес. 0 дн.</v>
      </c>
      <c r="V1210" s="12" t="str">
        <f t="shared" si="62"/>
        <v>0 г. 0 мес. 0 дн.</v>
      </c>
      <c r="W1210" s="22"/>
      <c r="X1210" s="72"/>
    </row>
    <row r="1211" spans="1:24" ht="35.1" customHeight="1" x14ac:dyDescent="0.25">
      <c r="A1211" s="12">
        <f t="shared" si="60"/>
        <v>1210</v>
      </c>
      <c r="B1211" s="12"/>
      <c r="C1211" s="20"/>
      <c r="D1211" s="18"/>
      <c r="H1211" s="12" t="str">
        <f t="shared" si="61"/>
        <v>0 г. 0 мес. 0 дн.</v>
      </c>
      <c r="V1211" s="12" t="str">
        <f t="shared" si="62"/>
        <v>0 г. 0 мес. 0 дн.</v>
      </c>
      <c r="W1211" s="22"/>
      <c r="X1211" s="72"/>
    </row>
    <row r="1212" spans="1:24" ht="35.1" customHeight="1" x14ac:dyDescent="0.25">
      <c r="A1212" s="12">
        <f t="shared" si="60"/>
        <v>1211</v>
      </c>
      <c r="B1212" s="12"/>
      <c r="C1212" s="20"/>
      <c r="D1212" s="18"/>
      <c r="H1212" s="12" t="str">
        <f t="shared" si="61"/>
        <v>0 г. 0 мес. 0 дн.</v>
      </c>
      <c r="V1212" s="12" t="str">
        <f t="shared" si="62"/>
        <v>0 г. 0 мес. 0 дн.</v>
      </c>
      <c r="W1212" s="22"/>
      <c r="X1212" s="72"/>
    </row>
    <row r="1213" spans="1:24" ht="35.1" customHeight="1" x14ac:dyDescent="0.25">
      <c r="A1213" s="12">
        <f t="shared" si="60"/>
        <v>1212</v>
      </c>
      <c r="B1213" s="12"/>
      <c r="C1213" s="20"/>
      <c r="D1213" s="18"/>
      <c r="H1213" s="12" t="str">
        <f t="shared" si="61"/>
        <v>0 г. 0 мес. 0 дн.</v>
      </c>
      <c r="V1213" s="12" t="str">
        <f t="shared" si="62"/>
        <v>0 г. 0 мес. 0 дн.</v>
      </c>
      <c r="W1213" s="22"/>
      <c r="X1213" s="72"/>
    </row>
    <row r="1214" spans="1:24" ht="35.1" customHeight="1" x14ac:dyDescent="0.25">
      <c r="A1214" s="12">
        <f t="shared" si="60"/>
        <v>1213</v>
      </c>
      <c r="B1214" s="12"/>
      <c r="C1214" s="20"/>
      <c r="D1214" s="18"/>
      <c r="H1214" s="12" t="str">
        <f t="shared" si="61"/>
        <v>0 г. 0 мес. 0 дн.</v>
      </c>
      <c r="V1214" s="12" t="str">
        <f t="shared" si="62"/>
        <v>0 г. 0 мес. 0 дн.</v>
      </c>
      <c r="W1214" s="22"/>
      <c r="X1214" s="72"/>
    </row>
    <row r="1215" spans="1:24" ht="35.1" customHeight="1" x14ac:dyDescent="0.25">
      <c r="A1215" s="12">
        <f t="shared" si="60"/>
        <v>1214</v>
      </c>
      <c r="B1215" s="12"/>
      <c r="C1215" s="20"/>
      <c r="D1215" s="18"/>
      <c r="H1215" s="12" t="str">
        <f t="shared" si="61"/>
        <v>0 г. 0 мес. 0 дн.</v>
      </c>
      <c r="V1215" s="12" t="str">
        <f t="shared" si="62"/>
        <v>0 г. 0 мес. 0 дн.</v>
      </c>
      <c r="W1215" s="22"/>
      <c r="X1215" s="72"/>
    </row>
    <row r="1216" spans="1:24" ht="35.1" customHeight="1" x14ac:dyDescent="0.25">
      <c r="A1216" s="12">
        <f t="shared" si="60"/>
        <v>1215</v>
      </c>
      <c r="B1216" s="12"/>
      <c r="C1216" s="20"/>
      <c r="D1216" s="18"/>
      <c r="H1216" s="12" t="str">
        <f t="shared" si="61"/>
        <v>0 г. 0 мес. 0 дн.</v>
      </c>
      <c r="V1216" s="12" t="str">
        <f t="shared" si="62"/>
        <v>0 г. 0 мес. 0 дн.</v>
      </c>
      <c r="W1216" s="22"/>
      <c r="X1216" s="72"/>
    </row>
    <row r="1217" spans="1:24" ht="35.1" customHeight="1" x14ac:dyDescent="0.25">
      <c r="A1217" s="12">
        <f t="shared" ref="A1217:A1280" si="63">ROW(A1216)</f>
        <v>1216</v>
      </c>
      <c r="B1217" s="12"/>
      <c r="C1217" s="20"/>
      <c r="D1217" s="18"/>
      <c r="H1217" s="12" t="str">
        <f t="shared" si="61"/>
        <v>0 г. 0 мес. 0 дн.</v>
      </c>
      <c r="V1217" s="12" t="str">
        <f t="shared" si="62"/>
        <v>0 г. 0 мес. 0 дн.</v>
      </c>
      <c r="W1217" s="22"/>
      <c r="X1217" s="72"/>
    </row>
    <row r="1218" spans="1:24" ht="35.1" customHeight="1" x14ac:dyDescent="0.25">
      <c r="A1218" s="12">
        <f t="shared" si="63"/>
        <v>1217</v>
      </c>
      <c r="B1218" s="12"/>
      <c r="C1218" s="20"/>
      <c r="D1218" s="18"/>
      <c r="H1218" s="12" t="str">
        <f t="shared" si="61"/>
        <v>0 г. 0 мес. 0 дн.</v>
      </c>
      <c r="V1218" s="12" t="str">
        <f t="shared" si="62"/>
        <v>0 г. 0 мес. 0 дн.</v>
      </c>
      <c r="W1218" s="22"/>
      <c r="X1218" s="72"/>
    </row>
    <row r="1219" spans="1:24" ht="35.1" customHeight="1" x14ac:dyDescent="0.25">
      <c r="A1219" s="12">
        <f t="shared" si="63"/>
        <v>1218</v>
      </c>
      <c r="B1219" s="12"/>
      <c r="C1219" s="20"/>
      <c r="D1219" s="18"/>
      <c r="H1219" s="12" t="str">
        <f t="shared" si="61"/>
        <v>0 г. 0 мес. 0 дн.</v>
      </c>
      <c r="V1219" s="12" t="str">
        <f t="shared" si="62"/>
        <v>0 г. 0 мес. 0 дн.</v>
      </c>
      <c r="W1219" s="22"/>
      <c r="X1219" s="72"/>
    </row>
    <row r="1220" spans="1:24" ht="35.1" customHeight="1" x14ac:dyDescent="0.25">
      <c r="A1220" s="12">
        <f t="shared" si="63"/>
        <v>1219</v>
      </c>
      <c r="B1220" s="12"/>
      <c r="C1220" s="20"/>
      <c r="D1220" s="18"/>
      <c r="H1220" s="12" t="str">
        <f t="shared" si="61"/>
        <v>0 г. 0 мес. 0 дн.</v>
      </c>
      <c r="V1220" s="12" t="str">
        <f t="shared" si="62"/>
        <v>0 г. 0 мес. 0 дн.</v>
      </c>
      <c r="W1220" s="22"/>
      <c r="X1220" s="72"/>
    </row>
    <row r="1221" spans="1:24" ht="35.1" customHeight="1" x14ac:dyDescent="0.25">
      <c r="A1221" s="12">
        <f t="shared" si="63"/>
        <v>1220</v>
      </c>
      <c r="B1221" s="12"/>
      <c r="C1221" s="20"/>
      <c r="D1221" s="18"/>
      <c r="H1221" s="12" t="str">
        <f t="shared" si="61"/>
        <v>0 г. 0 мес. 0 дн.</v>
      </c>
      <c r="V1221" s="12" t="str">
        <f t="shared" si="62"/>
        <v>0 г. 0 мес. 0 дн.</v>
      </c>
      <c r="W1221" s="22"/>
      <c r="X1221" s="72"/>
    </row>
    <row r="1222" spans="1:24" ht="35.1" customHeight="1" x14ac:dyDescent="0.25">
      <c r="A1222" s="12">
        <f t="shared" si="63"/>
        <v>1221</v>
      </c>
      <c r="B1222" s="12"/>
      <c r="C1222" s="20"/>
      <c r="D1222" s="18"/>
      <c r="H1222" s="12" t="str">
        <f t="shared" ref="H1222:H1285" si="64">DATEDIF(G1222,D1222,"y") &amp; " г. " &amp; DATEDIF(G1222,D1222,"ym") &amp; " мес. " &amp; DATEDIF(G1222,D1222,"md") &amp; " дн."</f>
        <v>0 г. 0 мес. 0 дн.</v>
      </c>
      <c r="V1222" s="12" t="str">
        <f t="shared" si="62"/>
        <v>0 г. 0 мес. 0 дн.</v>
      </c>
      <c r="W1222" s="22"/>
      <c r="X1222" s="72"/>
    </row>
    <row r="1223" spans="1:24" ht="35.1" customHeight="1" x14ac:dyDescent="0.25">
      <c r="A1223" s="12">
        <f t="shared" si="63"/>
        <v>1222</v>
      </c>
      <c r="B1223" s="12"/>
      <c r="C1223" s="20"/>
      <c r="D1223" s="18"/>
      <c r="H1223" s="12" t="str">
        <f t="shared" si="64"/>
        <v>0 г. 0 мес. 0 дн.</v>
      </c>
      <c r="V1223" s="12" t="str">
        <f t="shared" si="62"/>
        <v>0 г. 0 мес. 0 дн.</v>
      </c>
      <c r="W1223" s="22"/>
      <c r="X1223" s="72"/>
    </row>
    <row r="1224" spans="1:24" ht="35.1" customHeight="1" x14ac:dyDescent="0.25">
      <c r="A1224" s="12">
        <f t="shared" si="63"/>
        <v>1223</v>
      </c>
      <c r="B1224" s="12"/>
      <c r="C1224" s="20"/>
      <c r="D1224" s="18"/>
      <c r="H1224" s="12" t="str">
        <f t="shared" si="64"/>
        <v>0 г. 0 мес. 0 дн.</v>
      </c>
      <c r="V1224" s="12" t="str">
        <f t="shared" si="62"/>
        <v>0 г. 0 мес. 0 дн.</v>
      </c>
      <c r="W1224" s="22"/>
      <c r="X1224" s="72"/>
    </row>
    <row r="1225" spans="1:24" ht="35.1" customHeight="1" x14ac:dyDescent="0.25">
      <c r="A1225" s="12">
        <f t="shared" si="63"/>
        <v>1224</v>
      </c>
      <c r="B1225" s="12"/>
      <c r="C1225" s="20"/>
      <c r="D1225" s="18"/>
      <c r="H1225" s="12" t="str">
        <f t="shared" si="64"/>
        <v>0 г. 0 мес. 0 дн.</v>
      </c>
      <c r="V1225" s="12" t="str">
        <f t="shared" si="62"/>
        <v>0 г. 0 мес. 0 дн.</v>
      </c>
      <c r="W1225" s="22"/>
      <c r="X1225" s="72"/>
    </row>
    <row r="1226" spans="1:24" ht="35.1" customHeight="1" x14ac:dyDescent="0.25">
      <c r="A1226" s="12">
        <f t="shared" si="63"/>
        <v>1225</v>
      </c>
      <c r="B1226" s="12"/>
      <c r="C1226" s="20"/>
      <c r="D1226" s="18"/>
      <c r="H1226" s="12" t="str">
        <f t="shared" si="64"/>
        <v>0 г. 0 мес. 0 дн.</v>
      </c>
      <c r="V1226" s="12" t="str">
        <f t="shared" si="62"/>
        <v>0 г. 0 мес. 0 дн.</v>
      </c>
      <c r="W1226" s="22"/>
      <c r="X1226" s="72"/>
    </row>
    <row r="1227" spans="1:24" ht="35.1" customHeight="1" x14ac:dyDescent="0.25">
      <c r="A1227" s="12">
        <f t="shared" si="63"/>
        <v>1226</v>
      </c>
      <c r="B1227" s="12"/>
      <c r="C1227" s="20"/>
      <c r="D1227" s="18"/>
      <c r="H1227" s="12" t="str">
        <f t="shared" si="64"/>
        <v>0 г. 0 мес. 0 дн.</v>
      </c>
      <c r="V1227" s="12" t="str">
        <f t="shared" si="62"/>
        <v>0 г. 0 мес. 0 дн.</v>
      </c>
      <c r="W1227" s="22"/>
      <c r="X1227" s="72"/>
    </row>
    <row r="1228" spans="1:24" ht="35.1" customHeight="1" x14ac:dyDescent="0.25">
      <c r="A1228" s="12">
        <f t="shared" si="63"/>
        <v>1227</v>
      </c>
      <c r="B1228" s="12"/>
      <c r="C1228" s="20"/>
      <c r="D1228" s="18"/>
      <c r="H1228" s="12" t="str">
        <f t="shared" si="64"/>
        <v>0 г. 0 мес. 0 дн.</v>
      </c>
      <c r="V1228" s="12" t="str">
        <f t="shared" si="62"/>
        <v>0 г. 0 мес. 0 дн.</v>
      </c>
      <c r="W1228" s="22"/>
      <c r="X1228" s="72"/>
    </row>
    <row r="1229" spans="1:24" ht="35.1" customHeight="1" x14ac:dyDescent="0.25">
      <c r="A1229" s="12">
        <f t="shared" si="63"/>
        <v>1228</v>
      </c>
      <c r="B1229" s="12"/>
      <c r="C1229" s="20"/>
      <c r="D1229" s="18"/>
      <c r="H1229" s="12" t="str">
        <f t="shared" si="64"/>
        <v>0 г. 0 мес. 0 дн.</v>
      </c>
      <c r="V1229" s="12" t="str">
        <f t="shared" si="62"/>
        <v>0 г. 0 мес. 0 дн.</v>
      </c>
      <c r="W1229" s="22"/>
      <c r="X1229" s="72"/>
    </row>
    <row r="1230" spans="1:24" ht="35.1" customHeight="1" x14ac:dyDescent="0.25">
      <c r="A1230" s="12">
        <f t="shared" si="63"/>
        <v>1229</v>
      </c>
      <c r="B1230" s="12"/>
      <c r="C1230" s="20"/>
      <c r="D1230" s="18"/>
      <c r="H1230" s="12" t="str">
        <f t="shared" si="64"/>
        <v>0 г. 0 мес. 0 дн.</v>
      </c>
      <c r="V1230" s="12" t="str">
        <f t="shared" si="62"/>
        <v>0 г. 0 мес. 0 дн.</v>
      </c>
      <c r="W1230" s="22"/>
      <c r="X1230" s="72"/>
    </row>
    <row r="1231" spans="1:24" ht="35.1" customHeight="1" x14ac:dyDescent="0.25">
      <c r="A1231" s="12">
        <f t="shared" si="63"/>
        <v>1230</v>
      </c>
      <c r="B1231" s="12"/>
      <c r="C1231" s="20"/>
      <c r="D1231" s="18"/>
      <c r="H1231" s="12" t="str">
        <f t="shared" si="64"/>
        <v>0 г. 0 мес. 0 дн.</v>
      </c>
      <c r="V1231" s="12" t="str">
        <f t="shared" si="62"/>
        <v>0 г. 0 мес. 0 дн.</v>
      </c>
      <c r="W1231" s="22"/>
      <c r="X1231" s="72"/>
    </row>
    <row r="1232" spans="1:24" ht="35.1" customHeight="1" x14ac:dyDescent="0.25">
      <c r="A1232" s="12">
        <f t="shared" si="63"/>
        <v>1231</v>
      </c>
      <c r="B1232" s="12"/>
      <c r="C1232" s="20"/>
      <c r="D1232" s="18"/>
      <c r="H1232" s="12" t="str">
        <f t="shared" si="64"/>
        <v>0 г. 0 мес. 0 дн.</v>
      </c>
      <c r="V1232" s="12" t="str">
        <f t="shared" si="62"/>
        <v>0 г. 0 мес. 0 дн.</v>
      </c>
      <c r="W1232" s="22"/>
      <c r="X1232" s="72"/>
    </row>
    <row r="1233" spans="1:24" ht="35.1" customHeight="1" x14ac:dyDescent="0.25">
      <c r="A1233" s="12">
        <f t="shared" si="63"/>
        <v>1232</v>
      </c>
      <c r="B1233" s="12"/>
      <c r="C1233" s="20"/>
      <c r="D1233" s="18"/>
      <c r="H1233" s="12" t="str">
        <f t="shared" si="64"/>
        <v>0 г. 0 мес. 0 дн.</v>
      </c>
      <c r="V1233" s="12" t="str">
        <f t="shared" si="62"/>
        <v>0 г. 0 мес. 0 дн.</v>
      </c>
      <c r="W1233" s="22"/>
      <c r="X1233" s="72"/>
    </row>
    <row r="1234" spans="1:24" ht="35.1" customHeight="1" x14ac:dyDescent="0.25">
      <c r="A1234" s="12">
        <f t="shared" si="63"/>
        <v>1233</v>
      </c>
      <c r="B1234" s="12"/>
      <c r="C1234" s="20"/>
      <c r="D1234" s="18"/>
      <c r="H1234" s="12" t="str">
        <f t="shared" si="64"/>
        <v>0 г. 0 мес. 0 дн.</v>
      </c>
      <c r="V1234" s="12" t="str">
        <f t="shared" si="62"/>
        <v>0 г. 0 мес. 0 дн.</v>
      </c>
      <c r="W1234" s="22"/>
      <c r="X1234" s="72"/>
    </row>
    <row r="1235" spans="1:24" ht="35.1" customHeight="1" x14ac:dyDescent="0.25">
      <c r="A1235" s="12">
        <f t="shared" si="63"/>
        <v>1234</v>
      </c>
      <c r="B1235" s="12"/>
      <c r="C1235" s="20"/>
      <c r="D1235" s="18"/>
      <c r="H1235" s="12" t="str">
        <f t="shared" si="64"/>
        <v>0 г. 0 мес. 0 дн.</v>
      </c>
      <c r="V1235" s="12" t="str">
        <f t="shared" si="62"/>
        <v>0 г. 0 мес. 0 дн.</v>
      </c>
      <c r="W1235" s="22"/>
      <c r="X1235" s="72"/>
    </row>
    <row r="1236" spans="1:24" ht="35.1" customHeight="1" x14ac:dyDescent="0.25">
      <c r="A1236" s="12">
        <f t="shared" si="63"/>
        <v>1235</v>
      </c>
      <c r="B1236" s="12"/>
      <c r="C1236" s="20"/>
      <c r="D1236" s="18"/>
      <c r="H1236" s="12" t="str">
        <f t="shared" si="64"/>
        <v>0 г. 0 мес. 0 дн.</v>
      </c>
      <c r="V1236" s="12" t="str">
        <f t="shared" si="62"/>
        <v>0 г. 0 мес. 0 дн.</v>
      </c>
      <c r="W1236" s="22"/>
      <c r="X1236" s="72"/>
    </row>
    <row r="1237" spans="1:24" ht="35.1" customHeight="1" x14ac:dyDescent="0.25">
      <c r="A1237" s="12">
        <f t="shared" si="63"/>
        <v>1236</v>
      </c>
      <c r="B1237" s="12"/>
      <c r="C1237" s="20"/>
      <c r="D1237" s="18"/>
      <c r="H1237" s="12" t="str">
        <f t="shared" si="64"/>
        <v>0 г. 0 мес. 0 дн.</v>
      </c>
      <c r="V1237" s="12" t="str">
        <f t="shared" si="62"/>
        <v>0 г. 0 мес. 0 дн.</v>
      </c>
      <c r="W1237" s="22"/>
      <c r="X1237" s="72"/>
    </row>
    <row r="1238" spans="1:24" ht="35.1" customHeight="1" x14ac:dyDescent="0.25">
      <c r="A1238" s="12">
        <f t="shared" si="63"/>
        <v>1237</v>
      </c>
      <c r="B1238" s="12"/>
      <c r="C1238" s="20"/>
      <c r="D1238" s="18"/>
      <c r="H1238" s="12" t="str">
        <f t="shared" si="64"/>
        <v>0 г. 0 мес. 0 дн.</v>
      </c>
      <c r="V1238" s="12" t="str">
        <f t="shared" si="62"/>
        <v>0 г. 0 мес. 0 дн.</v>
      </c>
      <c r="W1238" s="22"/>
      <c r="X1238" s="72"/>
    </row>
    <row r="1239" spans="1:24" ht="35.1" customHeight="1" x14ac:dyDescent="0.25">
      <c r="A1239" s="12">
        <f t="shared" si="63"/>
        <v>1238</v>
      </c>
      <c r="B1239" s="12"/>
      <c r="C1239" s="20"/>
      <c r="D1239" s="18"/>
      <c r="H1239" s="12" t="str">
        <f t="shared" si="64"/>
        <v>0 г. 0 мес. 0 дн.</v>
      </c>
      <c r="V1239" s="12" t="str">
        <f t="shared" si="62"/>
        <v>0 г. 0 мес. 0 дн.</v>
      </c>
      <c r="W1239" s="22"/>
      <c r="X1239" s="72"/>
    </row>
    <row r="1240" spans="1:24" ht="35.1" customHeight="1" x14ac:dyDescent="0.25">
      <c r="A1240" s="12">
        <f t="shared" si="63"/>
        <v>1239</v>
      </c>
      <c r="B1240" s="12"/>
      <c r="C1240" s="20"/>
      <c r="D1240" s="18"/>
      <c r="H1240" s="12" t="str">
        <f t="shared" si="64"/>
        <v>0 г. 0 мес. 0 дн.</v>
      </c>
      <c r="V1240" s="12" t="str">
        <f t="shared" ref="V1240:V1303" si="65">DATEDIF(D1240,T1240,"y") &amp; " г. " &amp; DATEDIF(D1240,T1240,"ym") &amp; " мес. " &amp; DATEDIF(D1240,T1240,"md") &amp; " дн."</f>
        <v>0 г. 0 мес. 0 дн.</v>
      </c>
      <c r="W1240" s="22"/>
      <c r="X1240" s="72"/>
    </row>
    <row r="1241" spans="1:24" ht="35.1" customHeight="1" x14ac:dyDescent="0.25">
      <c r="A1241" s="12">
        <f t="shared" si="63"/>
        <v>1240</v>
      </c>
      <c r="B1241" s="12"/>
      <c r="C1241" s="20"/>
      <c r="D1241" s="18"/>
      <c r="H1241" s="12" t="str">
        <f t="shared" si="64"/>
        <v>0 г. 0 мес. 0 дн.</v>
      </c>
      <c r="V1241" s="12" t="str">
        <f t="shared" si="65"/>
        <v>0 г. 0 мес. 0 дн.</v>
      </c>
      <c r="W1241" s="22"/>
      <c r="X1241" s="72"/>
    </row>
    <row r="1242" spans="1:24" ht="35.1" customHeight="1" x14ac:dyDescent="0.25">
      <c r="A1242" s="12">
        <f t="shared" si="63"/>
        <v>1241</v>
      </c>
      <c r="B1242" s="12"/>
      <c r="C1242" s="20"/>
      <c r="D1242" s="18"/>
      <c r="H1242" s="12" t="str">
        <f t="shared" si="64"/>
        <v>0 г. 0 мес. 0 дн.</v>
      </c>
      <c r="V1242" s="12" t="str">
        <f t="shared" si="65"/>
        <v>0 г. 0 мес. 0 дн.</v>
      </c>
      <c r="W1242" s="22"/>
      <c r="X1242" s="72"/>
    </row>
    <row r="1243" spans="1:24" ht="35.1" customHeight="1" x14ac:dyDescent="0.25">
      <c r="A1243" s="12">
        <f t="shared" si="63"/>
        <v>1242</v>
      </c>
      <c r="B1243" s="12"/>
      <c r="C1243" s="20"/>
      <c r="D1243" s="18"/>
      <c r="H1243" s="12" t="str">
        <f t="shared" si="64"/>
        <v>0 г. 0 мес. 0 дн.</v>
      </c>
      <c r="V1243" s="12" t="str">
        <f t="shared" si="65"/>
        <v>0 г. 0 мес. 0 дн.</v>
      </c>
      <c r="W1243" s="22"/>
      <c r="X1243" s="72"/>
    </row>
    <row r="1244" spans="1:24" ht="35.1" customHeight="1" x14ac:dyDescent="0.25">
      <c r="A1244" s="12">
        <f t="shared" si="63"/>
        <v>1243</v>
      </c>
      <c r="B1244" s="12"/>
      <c r="C1244" s="20"/>
      <c r="D1244" s="18"/>
      <c r="H1244" s="12" t="str">
        <f t="shared" si="64"/>
        <v>0 г. 0 мес. 0 дн.</v>
      </c>
      <c r="V1244" s="12" t="str">
        <f t="shared" si="65"/>
        <v>0 г. 0 мес. 0 дн.</v>
      </c>
      <c r="W1244" s="22"/>
      <c r="X1244" s="72"/>
    </row>
    <row r="1245" spans="1:24" ht="35.1" customHeight="1" x14ac:dyDescent="0.25">
      <c r="A1245" s="12">
        <f t="shared" si="63"/>
        <v>1244</v>
      </c>
      <c r="B1245" s="12"/>
      <c r="C1245" s="20"/>
      <c r="D1245" s="18"/>
      <c r="H1245" s="12" t="str">
        <f t="shared" si="64"/>
        <v>0 г. 0 мес. 0 дн.</v>
      </c>
      <c r="V1245" s="12" t="str">
        <f t="shared" si="65"/>
        <v>0 г. 0 мес. 0 дн.</v>
      </c>
      <c r="W1245" s="22"/>
      <c r="X1245" s="72"/>
    </row>
    <row r="1246" spans="1:24" ht="35.1" customHeight="1" x14ac:dyDescent="0.25">
      <c r="A1246" s="12">
        <f t="shared" si="63"/>
        <v>1245</v>
      </c>
      <c r="B1246" s="12"/>
      <c r="C1246" s="20"/>
      <c r="D1246" s="18"/>
      <c r="H1246" s="12" t="str">
        <f t="shared" si="64"/>
        <v>0 г. 0 мес. 0 дн.</v>
      </c>
      <c r="V1246" s="12" t="str">
        <f t="shared" si="65"/>
        <v>0 г. 0 мес. 0 дн.</v>
      </c>
      <c r="W1246" s="22"/>
      <c r="X1246" s="72"/>
    </row>
    <row r="1247" spans="1:24" ht="35.1" customHeight="1" x14ac:dyDescent="0.25">
      <c r="A1247" s="12">
        <f t="shared" si="63"/>
        <v>1246</v>
      </c>
      <c r="B1247" s="12"/>
      <c r="C1247" s="20"/>
      <c r="D1247" s="18"/>
      <c r="H1247" s="12" t="str">
        <f t="shared" si="64"/>
        <v>0 г. 0 мес. 0 дн.</v>
      </c>
      <c r="V1247" s="12" t="str">
        <f t="shared" si="65"/>
        <v>0 г. 0 мес. 0 дн.</v>
      </c>
      <c r="W1247" s="22"/>
      <c r="X1247" s="72"/>
    </row>
    <row r="1248" spans="1:24" ht="35.1" customHeight="1" x14ac:dyDescent="0.25">
      <c r="A1248" s="12">
        <f t="shared" si="63"/>
        <v>1247</v>
      </c>
      <c r="B1248" s="12"/>
      <c r="C1248" s="20"/>
      <c r="D1248" s="18"/>
      <c r="H1248" s="12" t="str">
        <f t="shared" si="64"/>
        <v>0 г. 0 мес. 0 дн.</v>
      </c>
      <c r="V1248" s="12" t="str">
        <f t="shared" si="65"/>
        <v>0 г. 0 мес. 0 дн.</v>
      </c>
      <c r="W1248" s="22"/>
      <c r="X1248" s="72"/>
    </row>
    <row r="1249" spans="1:24" ht="35.1" customHeight="1" x14ac:dyDescent="0.25">
      <c r="A1249" s="12">
        <f t="shared" si="63"/>
        <v>1248</v>
      </c>
      <c r="B1249" s="12"/>
      <c r="C1249" s="20"/>
      <c r="D1249" s="18"/>
      <c r="H1249" s="12" t="str">
        <f t="shared" si="64"/>
        <v>0 г. 0 мес. 0 дн.</v>
      </c>
      <c r="V1249" s="12" t="str">
        <f t="shared" si="65"/>
        <v>0 г. 0 мес. 0 дн.</v>
      </c>
      <c r="W1249" s="22"/>
      <c r="X1249" s="72"/>
    </row>
    <row r="1250" spans="1:24" ht="35.1" customHeight="1" x14ac:dyDescent="0.25">
      <c r="A1250" s="12">
        <f t="shared" si="63"/>
        <v>1249</v>
      </c>
      <c r="B1250" s="12"/>
      <c r="C1250" s="20"/>
      <c r="D1250" s="18"/>
      <c r="H1250" s="12" t="str">
        <f t="shared" si="64"/>
        <v>0 г. 0 мес. 0 дн.</v>
      </c>
      <c r="V1250" s="12" t="str">
        <f t="shared" si="65"/>
        <v>0 г. 0 мес. 0 дн.</v>
      </c>
      <c r="W1250" s="22"/>
      <c r="X1250" s="72"/>
    </row>
    <row r="1251" spans="1:24" ht="35.1" customHeight="1" x14ac:dyDescent="0.25">
      <c r="A1251" s="12">
        <f t="shared" si="63"/>
        <v>1250</v>
      </c>
      <c r="B1251" s="12"/>
      <c r="C1251" s="20"/>
      <c r="D1251" s="18"/>
      <c r="H1251" s="12" t="str">
        <f t="shared" si="64"/>
        <v>0 г. 0 мес. 0 дн.</v>
      </c>
      <c r="V1251" s="12" t="str">
        <f t="shared" si="65"/>
        <v>0 г. 0 мес. 0 дн.</v>
      </c>
      <c r="W1251" s="22"/>
      <c r="X1251" s="72"/>
    </row>
    <row r="1252" spans="1:24" ht="35.1" customHeight="1" x14ac:dyDescent="0.25">
      <c r="A1252" s="12">
        <f t="shared" si="63"/>
        <v>1251</v>
      </c>
      <c r="B1252" s="12"/>
      <c r="C1252" s="20"/>
      <c r="D1252" s="18"/>
      <c r="H1252" s="12" t="str">
        <f t="shared" si="64"/>
        <v>0 г. 0 мес. 0 дн.</v>
      </c>
      <c r="V1252" s="12" t="str">
        <f t="shared" si="65"/>
        <v>0 г. 0 мес. 0 дн.</v>
      </c>
      <c r="W1252" s="22"/>
      <c r="X1252" s="72"/>
    </row>
    <row r="1253" spans="1:24" ht="35.1" customHeight="1" x14ac:dyDescent="0.25">
      <c r="A1253" s="12">
        <f t="shared" si="63"/>
        <v>1252</v>
      </c>
      <c r="B1253" s="12"/>
      <c r="C1253" s="20"/>
      <c r="D1253" s="18"/>
      <c r="H1253" s="12" t="str">
        <f t="shared" si="64"/>
        <v>0 г. 0 мес. 0 дн.</v>
      </c>
      <c r="V1253" s="12" t="str">
        <f t="shared" si="65"/>
        <v>0 г. 0 мес. 0 дн.</v>
      </c>
      <c r="W1253" s="22"/>
      <c r="X1253" s="72"/>
    </row>
    <row r="1254" spans="1:24" ht="35.1" customHeight="1" x14ac:dyDescent="0.25">
      <c r="A1254" s="12">
        <f t="shared" si="63"/>
        <v>1253</v>
      </c>
      <c r="B1254" s="12"/>
      <c r="C1254" s="20"/>
      <c r="D1254" s="18"/>
      <c r="H1254" s="12" t="str">
        <f t="shared" si="64"/>
        <v>0 г. 0 мес. 0 дн.</v>
      </c>
      <c r="V1254" s="12" t="str">
        <f t="shared" si="65"/>
        <v>0 г. 0 мес. 0 дн.</v>
      </c>
      <c r="W1254" s="22"/>
      <c r="X1254" s="72"/>
    </row>
    <row r="1255" spans="1:24" ht="35.1" customHeight="1" x14ac:dyDescent="0.25">
      <c r="A1255" s="12">
        <f t="shared" si="63"/>
        <v>1254</v>
      </c>
      <c r="B1255" s="12"/>
      <c r="C1255" s="20"/>
      <c r="D1255" s="18"/>
      <c r="H1255" s="12" t="str">
        <f t="shared" si="64"/>
        <v>0 г. 0 мес. 0 дн.</v>
      </c>
      <c r="V1255" s="12" t="str">
        <f t="shared" si="65"/>
        <v>0 г. 0 мес. 0 дн.</v>
      </c>
      <c r="W1255" s="22"/>
      <c r="X1255" s="72"/>
    </row>
    <row r="1256" spans="1:24" ht="35.1" customHeight="1" x14ac:dyDescent="0.25">
      <c r="A1256" s="12">
        <f t="shared" si="63"/>
        <v>1255</v>
      </c>
      <c r="B1256" s="12"/>
      <c r="C1256" s="20"/>
      <c r="D1256" s="18"/>
      <c r="H1256" s="12" t="str">
        <f t="shared" si="64"/>
        <v>0 г. 0 мес. 0 дн.</v>
      </c>
      <c r="V1256" s="12" t="str">
        <f t="shared" si="65"/>
        <v>0 г. 0 мес. 0 дн.</v>
      </c>
      <c r="W1256" s="22"/>
      <c r="X1256" s="72"/>
    </row>
    <row r="1257" spans="1:24" ht="35.1" customHeight="1" x14ac:dyDescent="0.25">
      <c r="A1257" s="12">
        <f t="shared" si="63"/>
        <v>1256</v>
      </c>
      <c r="B1257" s="12"/>
      <c r="C1257" s="20"/>
      <c r="D1257" s="18"/>
      <c r="H1257" s="12" t="str">
        <f t="shared" si="64"/>
        <v>0 г. 0 мес. 0 дн.</v>
      </c>
      <c r="V1257" s="12" t="str">
        <f t="shared" si="65"/>
        <v>0 г. 0 мес. 0 дн.</v>
      </c>
      <c r="W1257" s="22"/>
      <c r="X1257" s="72"/>
    </row>
    <row r="1258" spans="1:24" ht="35.1" customHeight="1" x14ac:dyDescent="0.25">
      <c r="A1258" s="12">
        <f t="shared" si="63"/>
        <v>1257</v>
      </c>
      <c r="B1258" s="12"/>
      <c r="C1258" s="20"/>
      <c r="D1258" s="18"/>
      <c r="H1258" s="12" t="str">
        <f t="shared" si="64"/>
        <v>0 г. 0 мес. 0 дн.</v>
      </c>
      <c r="V1258" s="12" t="str">
        <f t="shared" si="65"/>
        <v>0 г. 0 мес. 0 дн.</v>
      </c>
      <c r="W1258" s="22"/>
      <c r="X1258" s="72"/>
    </row>
    <row r="1259" spans="1:24" ht="35.1" customHeight="1" x14ac:dyDescent="0.25">
      <c r="A1259" s="12">
        <f t="shared" si="63"/>
        <v>1258</v>
      </c>
      <c r="B1259" s="12"/>
      <c r="C1259" s="20"/>
      <c r="D1259" s="18"/>
      <c r="H1259" s="12" t="str">
        <f t="shared" si="64"/>
        <v>0 г. 0 мес. 0 дн.</v>
      </c>
      <c r="V1259" s="12" t="str">
        <f t="shared" si="65"/>
        <v>0 г. 0 мес. 0 дн.</v>
      </c>
      <c r="W1259" s="22"/>
      <c r="X1259" s="72"/>
    </row>
    <row r="1260" spans="1:24" ht="35.1" customHeight="1" x14ac:dyDescent="0.25">
      <c r="A1260" s="12">
        <f t="shared" si="63"/>
        <v>1259</v>
      </c>
      <c r="B1260" s="12"/>
      <c r="C1260" s="20"/>
      <c r="D1260" s="18"/>
      <c r="H1260" s="12" t="str">
        <f t="shared" si="64"/>
        <v>0 г. 0 мес. 0 дн.</v>
      </c>
      <c r="V1260" s="12" t="str">
        <f t="shared" si="65"/>
        <v>0 г. 0 мес. 0 дн.</v>
      </c>
      <c r="W1260" s="22"/>
      <c r="X1260" s="72"/>
    </row>
    <row r="1261" spans="1:24" ht="35.1" customHeight="1" x14ac:dyDescent="0.25">
      <c r="A1261" s="12">
        <f t="shared" si="63"/>
        <v>1260</v>
      </c>
      <c r="B1261" s="12"/>
      <c r="C1261" s="20"/>
      <c r="D1261" s="18"/>
      <c r="H1261" s="12" t="str">
        <f t="shared" si="64"/>
        <v>0 г. 0 мес. 0 дн.</v>
      </c>
      <c r="V1261" s="12" t="str">
        <f t="shared" si="65"/>
        <v>0 г. 0 мес. 0 дн.</v>
      </c>
      <c r="W1261" s="22"/>
      <c r="X1261" s="72"/>
    </row>
    <row r="1262" spans="1:24" ht="35.1" customHeight="1" x14ac:dyDescent="0.25">
      <c r="A1262" s="12">
        <f t="shared" si="63"/>
        <v>1261</v>
      </c>
      <c r="B1262" s="12"/>
      <c r="C1262" s="20"/>
      <c r="D1262" s="18"/>
      <c r="H1262" s="12" t="str">
        <f t="shared" si="64"/>
        <v>0 г. 0 мес. 0 дн.</v>
      </c>
      <c r="V1262" s="12" t="str">
        <f t="shared" si="65"/>
        <v>0 г. 0 мес. 0 дн.</v>
      </c>
      <c r="W1262" s="22"/>
      <c r="X1262" s="72"/>
    </row>
    <row r="1263" spans="1:24" ht="35.1" customHeight="1" x14ac:dyDescent="0.25">
      <c r="A1263" s="12">
        <f t="shared" si="63"/>
        <v>1262</v>
      </c>
      <c r="B1263" s="12"/>
      <c r="C1263" s="20"/>
      <c r="D1263" s="18"/>
      <c r="H1263" s="12" t="str">
        <f t="shared" si="64"/>
        <v>0 г. 0 мес. 0 дн.</v>
      </c>
      <c r="V1263" s="12" t="str">
        <f t="shared" si="65"/>
        <v>0 г. 0 мес. 0 дн.</v>
      </c>
      <c r="W1263" s="22"/>
      <c r="X1263" s="72"/>
    </row>
    <row r="1264" spans="1:24" ht="35.1" customHeight="1" x14ac:dyDescent="0.25">
      <c r="A1264" s="12">
        <f t="shared" si="63"/>
        <v>1263</v>
      </c>
      <c r="B1264" s="12"/>
      <c r="C1264" s="20"/>
      <c r="D1264" s="18"/>
      <c r="H1264" s="12" t="str">
        <f t="shared" si="64"/>
        <v>0 г. 0 мес. 0 дн.</v>
      </c>
      <c r="V1264" s="12" t="str">
        <f t="shared" si="65"/>
        <v>0 г. 0 мес. 0 дн.</v>
      </c>
      <c r="W1264" s="22"/>
      <c r="X1264" s="72"/>
    </row>
    <row r="1265" spans="1:24" ht="35.1" customHeight="1" x14ac:dyDescent="0.25">
      <c r="A1265" s="12">
        <f t="shared" si="63"/>
        <v>1264</v>
      </c>
      <c r="B1265" s="12"/>
      <c r="C1265" s="20"/>
      <c r="D1265" s="18"/>
      <c r="H1265" s="12" t="str">
        <f t="shared" si="64"/>
        <v>0 г. 0 мес. 0 дн.</v>
      </c>
      <c r="V1265" s="12" t="str">
        <f t="shared" si="65"/>
        <v>0 г. 0 мес. 0 дн.</v>
      </c>
      <c r="W1265" s="22"/>
      <c r="X1265" s="72"/>
    </row>
    <row r="1266" spans="1:24" ht="35.1" customHeight="1" x14ac:dyDescent="0.25">
      <c r="A1266" s="12">
        <f t="shared" si="63"/>
        <v>1265</v>
      </c>
      <c r="B1266" s="12"/>
      <c r="C1266" s="20"/>
      <c r="D1266" s="18"/>
      <c r="H1266" s="12" t="str">
        <f t="shared" si="64"/>
        <v>0 г. 0 мес. 0 дн.</v>
      </c>
      <c r="V1266" s="12" t="str">
        <f t="shared" si="65"/>
        <v>0 г. 0 мес. 0 дн.</v>
      </c>
      <c r="W1266" s="22"/>
      <c r="X1266" s="72"/>
    </row>
    <row r="1267" spans="1:24" ht="35.1" customHeight="1" x14ac:dyDescent="0.25">
      <c r="A1267" s="12">
        <f t="shared" si="63"/>
        <v>1266</v>
      </c>
      <c r="B1267" s="12"/>
      <c r="C1267" s="20"/>
      <c r="D1267" s="18"/>
      <c r="H1267" s="12" t="str">
        <f t="shared" si="64"/>
        <v>0 г. 0 мес. 0 дн.</v>
      </c>
      <c r="V1267" s="12" t="str">
        <f t="shared" si="65"/>
        <v>0 г. 0 мес. 0 дн.</v>
      </c>
      <c r="W1267" s="22"/>
      <c r="X1267" s="72"/>
    </row>
    <row r="1268" spans="1:24" ht="35.1" customHeight="1" x14ac:dyDescent="0.25">
      <c r="A1268" s="12">
        <f t="shared" si="63"/>
        <v>1267</v>
      </c>
      <c r="B1268" s="12"/>
      <c r="C1268" s="20"/>
      <c r="D1268" s="18"/>
      <c r="H1268" s="12" t="str">
        <f t="shared" si="64"/>
        <v>0 г. 0 мес. 0 дн.</v>
      </c>
      <c r="V1268" s="12" t="str">
        <f t="shared" si="65"/>
        <v>0 г. 0 мес. 0 дн.</v>
      </c>
      <c r="W1268" s="22"/>
      <c r="X1268" s="72"/>
    </row>
    <row r="1269" spans="1:24" ht="35.1" customHeight="1" x14ac:dyDescent="0.25">
      <c r="A1269" s="12">
        <f t="shared" si="63"/>
        <v>1268</v>
      </c>
      <c r="B1269" s="12"/>
      <c r="C1269" s="20"/>
      <c r="D1269" s="18"/>
      <c r="H1269" s="12" t="str">
        <f t="shared" si="64"/>
        <v>0 г. 0 мес. 0 дн.</v>
      </c>
      <c r="V1269" s="12" t="str">
        <f t="shared" si="65"/>
        <v>0 г. 0 мес. 0 дн.</v>
      </c>
      <c r="W1269" s="22"/>
      <c r="X1269" s="72"/>
    </row>
    <row r="1270" spans="1:24" ht="35.1" customHeight="1" x14ac:dyDescent="0.25">
      <c r="A1270" s="12">
        <f t="shared" si="63"/>
        <v>1269</v>
      </c>
      <c r="B1270" s="12"/>
      <c r="C1270" s="20"/>
      <c r="D1270" s="18"/>
      <c r="H1270" s="12" t="str">
        <f t="shared" si="64"/>
        <v>0 г. 0 мес. 0 дн.</v>
      </c>
      <c r="V1270" s="12" t="str">
        <f t="shared" si="65"/>
        <v>0 г. 0 мес. 0 дн.</v>
      </c>
      <c r="W1270" s="22"/>
      <c r="X1270" s="72"/>
    </row>
    <row r="1271" spans="1:24" ht="35.1" customHeight="1" x14ac:dyDescent="0.25">
      <c r="A1271" s="12">
        <f t="shared" si="63"/>
        <v>1270</v>
      </c>
      <c r="B1271" s="12"/>
      <c r="C1271" s="20"/>
      <c r="D1271" s="18"/>
      <c r="H1271" s="12" t="str">
        <f t="shared" si="64"/>
        <v>0 г. 0 мес. 0 дн.</v>
      </c>
      <c r="V1271" s="12" t="str">
        <f t="shared" si="65"/>
        <v>0 г. 0 мес. 0 дн.</v>
      </c>
      <c r="W1271" s="22"/>
      <c r="X1271" s="72"/>
    </row>
    <row r="1272" spans="1:24" ht="35.1" customHeight="1" x14ac:dyDescent="0.25">
      <c r="A1272" s="12">
        <f t="shared" si="63"/>
        <v>1271</v>
      </c>
      <c r="B1272" s="12"/>
      <c r="C1272" s="20"/>
      <c r="D1272" s="18"/>
      <c r="H1272" s="12" t="str">
        <f t="shared" si="64"/>
        <v>0 г. 0 мес. 0 дн.</v>
      </c>
      <c r="V1272" s="12" t="str">
        <f t="shared" si="65"/>
        <v>0 г. 0 мес. 0 дн.</v>
      </c>
      <c r="W1272" s="22"/>
      <c r="X1272" s="72"/>
    </row>
    <row r="1273" spans="1:24" ht="35.1" customHeight="1" x14ac:dyDescent="0.25">
      <c r="A1273" s="12">
        <f t="shared" si="63"/>
        <v>1272</v>
      </c>
      <c r="B1273" s="12"/>
      <c r="C1273" s="20"/>
      <c r="D1273" s="18"/>
      <c r="H1273" s="12" t="str">
        <f t="shared" si="64"/>
        <v>0 г. 0 мес. 0 дн.</v>
      </c>
      <c r="V1273" s="12" t="str">
        <f t="shared" si="65"/>
        <v>0 г. 0 мес. 0 дн.</v>
      </c>
      <c r="W1273" s="22"/>
      <c r="X1273" s="72"/>
    </row>
    <row r="1274" spans="1:24" ht="35.1" customHeight="1" x14ac:dyDescent="0.25">
      <c r="A1274" s="12">
        <f t="shared" si="63"/>
        <v>1273</v>
      </c>
      <c r="B1274" s="12"/>
      <c r="C1274" s="20"/>
      <c r="D1274" s="18"/>
      <c r="H1274" s="12" t="str">
        <f t="shared" si="64"/>
        <v>0 г. 0 мес. 0 дн.</v>
      </c>
      <c r="V1274" s="12" t="str">
        <f t="shared" si="65"/>
        <v>0 г. 0 мес. 0 дн.</v>
      </c>
      <c r="W1274" s="22"/>
      <c r="X1274" s="72"/>
    </row>
    <row r="1275" spans="1:24" ht="35.1" customHeight="1" x14ac:dyDescent="0.25">
      <c r="A1275" s="12">
        <f t="shared" si="63"/>
        <v>1274</v>
      </c>
      <c r="B1275" s="12"/>
      <c r="C1275" s="20"/>
      <c r="D1275" s="18"/>
      <c r="H1275" s="12" t="str">
        <f t="shared" si="64"/>
        <v>0 г. 0 мес. 0 дн.</v>
      </c>
      <c r="V1275" s="12" t="str">
        <f t="shared" si="65"/>
        <v>0 г. 0 мес. 0 дн.</v>
      </c>
      <c r="W1275" s="22"/>
      <c r="X1275" s="72"/>
    </row>
    <row r="1276" spans="1:24" ht="35.1" customHeight="1" x14ac:dyDescent="0.25">
      <c r="A1276" s="12">
        <f t="shared" si="63"/>
        <v>1275</v>
      </c>
      <c r="B1276" s="12"/>
      <c r="C1276" s="20"/>
      <c r="D1276" s="18"/>
      <c r="H1276" s="12" t="str">
        <f t="shared" si="64"/>
        <v>0 г. 0 мес. 0 дн.</v>
      </c>
      <c r="V1276" s="12" t="str">
        <f t="shared" si="65"/>
        <v>0 г. 0 мес. 0 дн.</v>
      </c>
      <c r="W1276" s="22"/>
      <c r="X1276" s="72"/>
    </row>
    <row r="1277" spans="1:24" ht="35.1" customHeight="1" x14ac:dyDescent="0.25">
      <c r="A1277" s="12">
        <f t="shared" si="63"/>
        <v>1276</v>
      </c>
      <c r="B1277" s="12"/>
      <c r="C1277" s="20"/>
      <c r="D1277" s="18"/>
      <c r="H1277" s="12" t="str">
        <f t="shared" si="64"/>
        <v>0 г. 0 мес. 0 дн.</v>
      </c>
      <c r="V1277" s="12" t="str">
        <f t="shared" si="65"/>
        <v>0 г. 0 мес. 0 дн.</v>
      </c>
      <c r="W1277" s="22"/>
      <c r="X1277" s="72"/>
    </row>
    <row r="1278" spans="1:24" ht="35.1" customHeight="1" x14ac:dyDescent="0.25">
      <c r="A1278" s="12">
        <f t="shared" si="63"/>
        <v>1277</v>
      </c>
      <c r="B1278" s="12"/>
      <c r="C1278" s="20"/>
      <c r="D1278" s="18"/>
      <c r="H1278" s="12" t="str">
        <f t="shared" si="64"/>
        <v>0 г. 0 мес. 0 дн.</v>
      </c>
      <c r="V1278" s="12" t="str">
        <f t="shared" si="65"/>
        <v>0 г. 0 мес. 0 дн.</v>
      </c>
      <c r="W1278" s="22"/>
      <c r="X1278" s="72"/>
    </row>
    <row r="1279" spans="1:24" ht="35.1" customHeight="1" x14ac:dyDescent="0.25">
      <c r="A1279" s="12">
        <f t="shared" si="63"/>
        <v>1278</v>
      </c>
      <c r="B1279" s="12"/>
      <c r="C1279" s="20"/>
      <c r="D1279" s="18"/>
      <c r="H1279" s="12" t="str">
        <f t="shared" si="64"/>
        <v>0 г. 0 мес. 0 дн.</v>
      </c>
      <c r="V1279" s="12" t="str">
        <f t="shared" si="65"/>
        <v>0 г. 0 мес. 0 дн.</v>
      </c>
      <c r="W1279" s="22"/>
      <c r="X1279" s="72"/>
    </row>
    <row r="1280" spans="1:24" ht="35.1" customHeight="1" x14ac:dyDescent="0.25">
      <c r="A1280" s="12">
        <f t="shared" si="63"/>
        <v>1279</v>
      </c>
      <c r="B1280" s="12"/>
      <c r="C1280" s="20"/>
      <c r="D1280" s="18"/>
      <c r="H1280" s="12" t="str">
        <f t="shared" si="64"/>
        <v>0 г. 0 мес. 0 дн.</v>
      </c>
      <c r="V1280" s="12" t="str">
        <f t="shared" si="65"/>
        <v>0 г. 0 мес. 0 дн.</v>
      </c>
      <c r="W1280" s="22"/>
      <c r="X1280" s="72"/>
    </row>
    <row r="1281" spans="1:24" ht="35.1" customHeight="1" x14ac:dyDescent="0.25">
      <c r="A1281" s="12">
        <f t="shared" ref="A1281:A1344" si="66">ROW(A1280)</f>
        <v>1280</v>
      </c>
      <c r="B1281" s="12"/>
      <c r="C1281" s="20"/>
      <c r="D1281" s="18"/>
      <c r="H1281" s="12" t="str">
        <f t="shared" si="64"/>
        <v>0 г. 0 мес. 0 дн.</v>
      </c>
      <c r="V1281" s="12" t="str">
        <f t="shared" si="65"/>
        <v>0 г. 0 мес. 0 дн.</v>
      </c>
      <c r="W1281" s="22"/>
      <c r="X1281" s="72"/>
    </row>
    <row r="1282" spans="1:24" ht="35.1" customHeight="1" x14ac:dyDescent="0.25">
      <c r="A1282" s="12">
        <f t="shared" si="66"/>
        <v>1281</v>
      </c>
      <c r="B1282" s="12"/>
      <c r="C1282" s="20"/>
      <c r="D1282" s="18"/>
      <c r="H1282" s="12" t="str">
        <f t="shared" si="64"/>
        <v>0 г. 0 мес. 0 дн.</v>
      </c>
      <c r="V1282" s="12" t="str">
        <f t="shared" si="65"/>
        <v>0 г. 0 мес. 0 дн.</v>
      </c>
      <c r="W1282" s="22"/>
      <c r="X1282" s="72"/>
    </row>
    <row r="1283" spans="1:24" ht="35.1" customHeight="1" x14ac:dyDescent="0.25">
      <c r="A1283" s="12">
        <f t="shared" si="66"/>
        <v>1282</v>
      </c>
      <c r="B1283" s="12"/>
      <c r="C1283" s="20"/>
      <c r="D1283" s="18"/>
      <c r="H1283" s="12" t="str">
        <f t="shared" si="64"/>
        <v>0 г. 0 мес. 0 дн.</v>
      </c>
      <c r="V1283" s="12" t="str">
        <f t="shared" si="65"/>
        <v>0 г. 0 мес. 0 дн.</v>
      </c>
      <c r="W1283" s="22"/>
      <c r="X1283" s="72"/>
    </row>
    <row r="1284" spans="1:24" ht="35.1" customHeight="1" x14ac:dyDescent="0.25">
      <c r="A1284" s="12">
        <f t="shared" si="66"/>
        <v>1283</v>
      </c>
      <c r="B1284" s="12"/>
      <c r="C1284" s="20"/>
      <c r="D1284" s="18"/>
      <c r="H1284" s="12" t="str">
        <f t="shared" si="64"/>
        <v>0 г. 0 мес. 0 дн.</v>
      </c>
      <c r="V1284" s="12" t="str">
        <f t="shared" si="65"/>
        <v>0 г. 0 мес. 0 дн.</v>
      </c>
      <c r="W1284" s="22"/>
      <c r="X1284" s="72"/>
    </row>
    <row r="1285" spans="1:24" ht="35.1" customHeight="1" x14ac:dyDescent="0.25">
      <c r="A1285" s="12">
        <f t="shared" si="66"/>
        <v>1284</v>
      </c>
      <c r="B1285" s="12"/>
      <c r="C1285" s="20"/>
      <c r="D1285" s="18"/>
      <c r="H1285" s="12" t="str">
        <f t="shared" si="64"/>
        <v>0 г. 0 мес. 0 дн.</v>
      </c>
      <c r="V1285" s="12" t="str">
        <f t="shared" si="65"/>
        <v>0 г. 0 мес. 0 дн.</v>
      </c>
      <c r="W1285" s="22"/>
      <c r="X1285" s="72"/>
    </row>
    <row r="1286" spans="1:24" ht="35.1" customHeight="1" x14ac:dyDescent="0.25">
      <c r="A1286" s="12">
        <f t="shared" si="66"/>
        <v>1285</v>
      </c>
      <c r="B1286" s="12"/>
      <c r="C1286" s="20"/>
      <c r="D1286" s="18"/>
      <c r="H1286" s="12" t="str">
        <f t="shared" ref="H1286:H1349" si="67">DATEDIF(G1286,D1286,"y") &amp; " г. " &amp; DATEDIF(G1286,D1286,"ym") &amp; " мес. " &amp; DATEDIF(G1286,D1286,"md") &amp; " дн."</f>
        <v>0 г. 0 мес. 0 дн.</v>
      </c>
      <c r="V1286" s="12" t="str">
        <f t="shared" si="65"/>
        <v>0 г. 0 мес. 0 дн.</v>
      </c>
      <c r="W1286" s="22"/>
      <c r="X1286" s="72"/>
    </row>
    <row r="1287" spans="1:24" ht="35.1" customHeight="1" x14ac:dyDescent="0.25">
      <c r="A1287" s="12">
        <f t="shared" si="66"/>
        <v>1286</v>
      </c>
      <c r="B1287" s="12"/>
      <c r="C1287" s="20"/>
      <c r="D1287" s="18"/>
      <c r="H1287" s="12" t="str">
        <f t="shared" si="67"/>
        <v>0 г. 0 мес. 0 дн.</v>
      </c>
      <c r="V1287" s="12" t="str">
        <f t="shared" si="65"/>
        <v>0 г. 0 мес. 0 дн.</v>
      </c>
      <c r="W1287" s="22"/>
      <c r="X1287" s="72"/>
    </row>
    <row r="1288" spans="1:24" ht="35.1" customHeight="1" x14ac:dyDescent="0.25">
      <c r="A1288" s="12">
        <f t="shared" si="66"/>
        <v>1287</v>
      </c>
      <c r="B1288" s="12"/>
      <c r="C1288" s="20"/>
      <c r="D1288" s="18"/>
      <c r="H1288" s="12" t="str">
        <f t="shared" si="67"/>
        <v>0 г. 0 мес. 0 дн.</v>
      </c>
      <c r="V1288" s="12" t="str">
        <f t="shared" si="65"/>
        <v>0 г. 0 мес. 0 дн.</v>
      </c>
      <c r="W1288" s="22"/>
      <c r="X1288" s="72"/>
    </row>
    <row r="1289" spans="1:24" ht="35.1" customHeight="1" x14ac:dyDescent="0.25">
      <c r="A1289" s="12">
        <f t="shared" si="66"/>
        <v>1288</v>
      </c>
      <c r="B1289" s="12"/>
      <c r="C1289" s="20"/>
      <c r="D1289" s="18"/>
      <c r="H1289" s="12" t="str">
        <f t="shared" si="67"/>
        <v>0 г. 0 мес. 0 дн.</v>
      </c>
      <c r="V1289" s="12" t="str">
        <f t="shared" si="65"/>
        <v>0 г. 0 мес. 0 дн.</v>
      </c>
      <c r="W1289" s="22"/>
      <c r="X1289" s="72"/>
    </row>
    <row r="1290" spans="1:24" ht="35.1" customHeight="1" x14ac:dyDescent="0.25">
      <c r="A1290" s="12">
        <f t="shared" si="66"/>
        <v>1289</v>
      </c>
      <c r="B1290" s="12"/>
      <c r="C1290" s="20"/>
      <c r="D1290" s="18"/>
      <c r="H1290" s="12" t="str">
        <f t="shared" si="67"/>
        <v>0 г. 0 мес. 0 дн.</v>
      </c>
      <c r="V1290" s="12" t="str">
        <f t="shared" si="65"/>
        <v>0 г. 0 мес. 0 дн.</v>
      </c>
      <c r="W1290" s="22"/>
      <c r="X1290" s="72"/>
    </row>
    <row r="1291" spans="1:24" ht="35.1" customHeight="1" x14ac:dyDescent="0.25">
      <c r="A1291" s="12">
        <f t="shared" si="66"/>
        <v>1290</v>
      </c>
      <c r="B1291" s="12"/>
      <c r="C1291" s="20"/>
      <c r="D1291" s="18"/>
      <c r="H1291" s="12" t="str">
        <f t="shared" si="67"/>
        <v>0 г. 0 мес. 0 дн.</v>
      </c>
      <c r="V1291" s="12" t="str">
        <f t="shared" si="65"/>
        <v>0 г. 0 мес. 0 дн.</v>
      </c>
      <c r="W1291" s="22"/>
      <c r="X1291" s="72"/>
    </row>
    <row r="1292" spans="1:24" ht="35.1" customHeight="1" x14ac:dyDescent="0.25">
      <c r="A1292" s="12">
        <f t="shared" si="66"/>
        <v>1291</v>
      </c>
      <c r="B1292" s="12"/>
      <c r="C1292" s="20"/>
      <c r="D1292" s="18"/>
      <c r="H1292" s="12" t="str">
        <f t="shared" si="67"/>
        <v>0 г. 0 мес. 0 дн.</v>
      </c>
      <c r="V1292" s="12" t="str">
        <f t="shared" si="65"/>
        <v>0 г. 0 мес. 0 дн.</v>
      </c>
      <c r="W1292" s="22"/>
      <c r="X1292" s="72"/>
    </row>
    <row r="1293" spans="1:24" ht="35.1" customHeight="1" x14ac:dyDescent="0.25">
      <c r="A1293" s="12">
        <f t="shared" si="66"/>
        <v>1292</v>
      </c>
      <c r="B1293" s="12"/>
      <c r="C1293" s="20"/>
      <c r="D1293" s="18"/>
      <c r="H1293" s="12" t="str">
        <f t="shared" si="67"/>
        <v>0 г. 0 мес. 0 дн.</v>
      </c>
      <c r="V1293" s="12" t="str">
        <f t="shared" si="65"/>
        <v>0 г. 0 мес. 0 дн.</v>
      </c>
      <c r="W1293" s="22"/>
      <c r="X1293" s="72"/>
    </row>
    <row r="1294" spans="1:24" ht="35.1" customHeight="1" x14ac:dyDescent="0.25">
      <c r="A1294" s="12">
        <f t="shared" si="66"/>
        <v>1293</v>
      </c>
      <c r="B1294" s="12"/>
      <c r="C1294" s="20"/>
      <c r="D1294" s="18"/>
      <c r="H1294" s="12" t="str">
        <f t="shared" si="67"/>
        <v>0 г. 0 мес. 0 дн.</v>
      </c>
      <c r="V1294" s="12" t="str">
        <f t="shared" si="65"/>
        <v>0 г. 0 мес. 0 дн.</v>
      </c>
      <c r="W1294" s="22"/>
      <c r="X1294" s="72"/>
    </row>
    <row r="1295" spans="1:24" ht="35.1" customHeight="1" x14ac:dyDescent="0.25">
      <c r="A1295" s="12">
        <f t="shared" si="66"/>
        <v>1294</v>
      </c>
      <c r="B1295" s="12"/>
      <c r="C1295" s="20"/>
      <c r="D1295" s="18"/>
      <c r="H1295" s="12" t="str">
        <f t="shared" si="67"/>
        <v>0 г. 0 мес. 0 дн.</v>
      </c>
      <c r="V1295" s="12" t="str">
        <f t="shared" si="65"/>
        <v>0 г. 0 мес. 0 дн.</v>
      </c>
      <c r="W1295" s="22"/>
      <c r="X1295" s="72"/>
    </row>
    <row r="1296" spans="1:24" ht="35.1" customHeight="1" x14ac:dyDescent="0.25">
      <c r="A1296" s="12">
        <f t="shared" si="66"/>
        <v>1295</v>
      </c>
      <c r="B1296" s="12"/>
      <c r="C1296" s="20"/>
      <c r="D1296" s="18"/>
      <c r="H1296" s="12" t="str">
        <f t="shared" si="67"/>
        <v>0 г. 0 мес. 0 дн.</v>
      </c>
      <c r="V1296" s="12" t="str">
        <f t="shared" si="65"/>
        <v>0 г. 0 мес. 0 дн.</v>
      </c>
      <c r="W1296" s="22"/>
      <c r="X1296" s="72"/>
    </row>
    <row r="1297" spans="1:24" ht="35.1" customHeight="1" x14ac:dyDescent="0.25">
      <c r="A1297" s="12">
        <f t="shared" si="66"/>
        <v>1296</v>
      </c>
      <c r="B1297" s="12"/>
      <c r="C1297" s="20"/>
      <c r="D1297" s="18"/>
      <c r="H1297" s="12" t="str">
        <f t="shared" si="67"/>
        <v>0 г. 0 мес. 0 дн.</v>
      </c>
      <c r="V1297" s="12" t="str">
        <f t="shared" si="65"/>
        <v>0 г. 0 мес. 0 дн.</v>
      </c>
      <c r="W1297" s="22"/>
      <c r="X1297" s="72"/>
    </row>
    <row r="1298" spans="1:24" ht="35.1" customHeight="1" x14ac:dyDescent="0.25">
      <c r="A1298" s="12">
        <f t="shared" si="66"/>
        <v>1297</v>
      </c>
      <c r="B1298" s="12"/>
      <c r="C1298" s="20"/>
      <c r="D1298" s="18"/>
      <c r="H1298" s="12" t="str">
        <f t="shared" si="67"/>
        <v>0 г. 0 мес. 0 дн.</v>
      </c>
      <c r="V1298" s="12" t="str">
        <f t="shared" si="65"/>
        <v>0 г. 0 мес. 0 дн.</v>
      </c>
      <c r="W1298" s="22"/>
      <c r="X1298" s="72"/>
    </row>
    <row r="1299" spans="1:24" ht="35.1" customHeight="1" x14ac:dyDescent="0.25">
      <c r="A1299" s="12">
        <f t="shared" si="66"/>
        <v>1298</v>
      </c>
      <c r="B1299" s="12"/>
      <c r="C1299" s="20"/>
      <c r="D1299" s="18"/>
      <c r="H1299" s="12" t="str">
        <f t="shared" si="67"/>
        <v>0 г. 0 мес. 0 дн.</v>
      </c>
      <c r="V1299" s="12" t="str">
        <f t="shared" si="65"/>
        <v>0 г. 0 мес. 0 дн.</v>
      </c>
      <c r="W1299" s="22"/>
      <c r="X1299" s="72"/>
    </row>
    <row r="1300" spans="1:24" ht="35.1" customHeight="1" x14ac:dyDescent="0.25">
      <c r="A1300" s="12">
        <f t="shared" si="66"/>
        <v>1299</v>
      </c>
      <c r="B1300" s="12"/>
      <c r="C1300" s="20"/>
      <c r="D1300" s="18"/>
      <c r="H1300" s="12" t="str">
        <f t="shared" si="67"/>
        <v>0 г. 0 мес. 0 дн.</v>
      </c>
      <c r="V1300" s="12" t="str">
        <f t="shared" si="65"/>
        <v>0 г. 0 мес. 0 дн.</v>
      </c>
      <c r="W1300" s="22"/>
      <c r="X1300" s="72"/>
    </row>
    <row r="1301" spans="1:24" ht="35.1" customHeight="1" x14ac:dyDescent="0.25">
      <c r="A1301" s="12">
        <f t="shared" si="66"/>
        <v>1300</v>
      </c>
      <c r="B1301" s="12"/>
      <c r="C1301" s="20"/>
      <c r="D1301" s="18"/>
      <c r="H1301" s="12" t="str">
        <f t="shared" si="67"/>
        <v>0 г. 0 мес. 0 дн.</v>
      </c>
      <c r="V1301" s="12" t="str">
        <f t="shared" si="65"/>
        <v>0 г. 0 мес. 0 дн.</v>
      </c>
      <c r="W1301" s="22"/>
      <c r="X1301" s="72"/>
    </row>
    <row r="1302" spans="1:24" ht="35.1" customHeight="1" x14ac:dyDescent="0.25">
      <c r="A1302" s="12">
        <f t="shared" si="66"/>
        <v>1301</v>
      </c>
      <c r="B1302" s="12"/>
      <c r="C1302" s="20"/>
      <c r="D1302" s="18"/>
      <c r="H1302" s="12" t="str">
        <f t="shared" si="67"/>
        <v>0 г. 0 мес. 0 дн.</v>
      </c>
      <c r="V1302" s="12" t="str">
        <f t="shared" si="65"/>
        <v>0 г. 0 мес. 0 дн.</v>
      </c>
      <c r="W1302" s="22"/>
      <c r="X1302" s="72"/>
    </row>
    <row r="1303" spans="1:24" ht="35.1" customHeight="1" x14ac:dyDescent="0.25">
      <c r="A1303" s="12">
        <f t="shared" si="66"/>
        <v>1302</v>
      </c>
      <c r="B1303" s="12"/>
      <c r="C1303" s="20"/>
      <c r="D1303" s="18"/>
      <c r="H1303" s="12" t="str">
        <f t="shared" si="67"/>
        <v>0 г. 0 мес. 0 дн.</v>
      </c>
      <c r="V1303" s="12" t="str">
        <f t="shared" si="65"/>
        <v>0 г. 0 мес. 0 дн.</v>
      </c>
      <c r="W1303" s="22"/>
      <c r="X1303" s="72"/>
    </row>
    <row r="1304" spans="1:24" ht="35.1" customHeight="1" x14ac:dyDescent="0.25">
      <c r="A1304" s="12">
        <f t="shared" si="66"/>
        <v>1303</v>
      </c>
      <c r="B1304" s="12"/>
      <c r="C1304" s="20"/>
      <c r="D1304" s="18"/>
      <c r="H1304" s="12" t="str">
        <f t="shared" si="67"/>
        <v>0 г. 0 мес. 0 дн.</v>
      </c>
      <c r="V1304" s="12" t="str">
        <f t="shared" ref="V1304:V1367" si="68">DATEDIF(D1304,T1304,"y") &amp; " г. " &amp; DATEDIF(D1304,T1304,"ym") &amp; " мес. " &amp; DATEDIF(D1304,T1304,"md") &amp; " дн."</f>
        <v>0 г. 0 мес. 0 дн.</v>
      </c>
      <c r="W1304" s="22"/>
      <c r="X1304" s="72"/>
    </row>
    <row r="1305" spans="1:24" ht="35.1" customHeight="1" x14ac:dyDescent="0.25">
      <c r="A1305" s="12">
        <f t="shared" si="66"/>
        <v>1304</v>
      </c>
      <c r="B1305" s="12"/>
      <c r="C1305" s="20"/>
      <c r="D1305" s="18"/>
      <c r="H1305" s="12" t="str">
        <f t="shared" si="67"/>
        <v>0 г. 0 мес. 0 дн.</v>
      </c>
      <c r="V1305" s="12" t="str">
        <f t="shared" si="68"/>
        <v>0 г. 0 мес. 0 дн.</v>
      </c>
      <c r="W1305" s="22"/>
      <c r="X1305" s="72"/>
    </row>
    <row r="1306" spans="1:24" ht="35.1" customHeight="1" x14ac:dyDescent="0.25">
      <c r="A1306" s="12">
        <f t="shared" si="66"/>
        <v>1305</v>
      </c>
      <c r="B1306" s="12"/>
      <c r="C1306" s="20"/>
      <c r="D1306" s="18"/>
      <c r="H1306" s="12" t="str">
        <f t="shared" si="67"/>
        <v>0 г. 0 мес. 0 дн.</v>
      </c>
      <c r="V1306" s="12" t="str">
        <f t="shared" si="68"/>
        <v>0 г. 0 мес. 0 дн.</v>
      </c>
      <c r="W1306" s="22"/>
      <c r="X1306" s="72"/>
    </row>
    <row r="1307" spans="1:24" ht="35.1" customHeight="1" x14ac:dyDescent="0.25">
      <c r="A1307" s="12">
        <f t="shared" si="66"/>
        <v>1306</v>
      </c>
      <c r="B1307" s="12"/>
      <c r="C1307" s="20"/>
      <c r="D1307" s="18"/>
      <c r="H1307" s="12" t="str">
        <f t="shared" si="67"/>
        <v>0 г. 0 мес. 0 дн.</v>
      </c>
      <c r="V1307" s="12" t="str">
        <f t="shared" si="68"/>
        <v>0 г. 0 мес. 0 дн.</v>
      </c>
      <c r="W1307" s="22"/>
      <c r="X1307" s="72"/>
    </row>
    <row r="1308" spans="1:24" ht="35.1" customHeight="1" x14ac:dyDescent="0.25">
      <c r="A1308" s="12">
        <f t="shared" si="66"/>
        <v>1307</v>
      </c>
      <c r="B1308" s="12"/>
      <c r="C1308" s="20"/>
      <c r="D1308" s="18"/>
      <c r="H1308" s="12" t="str">
        <f t="shared" si="67"/>
        <v>0 г. 0 мес. 0 дн.</v>
      </c>
      <c r="V1308" s="12" t="str">
        <f t="shared" si="68"/>
        <v>0 г. 0 мес. 0 дн.</v>
      </c>
      <c r="W1308" s="22"/>
      <c r="X1308" s="72"/>
    </row>
    <row r="1309" spans="1:24" ht="35.1" customHeight="1" x14ac:dyDescent="0.25">
      <c r="A1309" s="12">
        <f t="shared" si="66"/>
        <v>1308</v>
      </c>
      <c r="B1309" s="12"/>
      <c r="C1309" s="20"/>
      <c r="D1309" s="18"/>
      <c r="H1309" s="12" t="str">
        <f t="shared" si="67"/>
        <v>0 г. 0 мес. 0 дн.</v>
      </c>
      <c r="V1309" s="12" t="str">
        <f t="shared" si="68"/>
        <v>0 г. 0 мес. 0 дн.</v>
      </c>
      <c r="W1309" s="22"/>
      <c r="X1309" s="72"/>
    </row>
    <row r="1310" spans="1:24" ht="35.1" customHeight="1" x14ac:dyDescent="0.25">
      <c r="A1310" s="12">
        <f t="shared" si="66"/>
        <v>1309</v>
      </c>
      <c r="B1310" s="12"/>
      <c r="C1310" s="20"/>
      <c r="D1310" s="18"/>
      <c r="H1310" s="12" t="str">
        <f t="shared" si="67"/>
        <v>0 г. 0 мес. 0 дн.</v>
      </c>
      <c r="V1310" s="12" t="str">
        <f t="shared" si="68"/>
        <v>0 г. 0 мес. 0 дн.</v>
      </c>
      <c r="W1310" s="22"/>
      <c r="X1310" s="72"/>
    </row>
    <row r="1311" spans="1:24" ht="35.1" customHeight="1" x14ac:dyDescent="0.25">
      <c r="A1311" s="12">
        <f t="shared" si="66"/>
        <v>1310</v>
      </c>
      <c r="B1311" s="12"/>
      <c r="C1311" s="20"/>
      <c r="D1311" s="18"/>
      <c r="H1311" s="12" t="str">
        <f t="shared" si="67"/>
        <v>0 г. 0 мес. 0 дн.</v>
      </c>
      <c r="V1311" s="12" t="str">
        <f t="shared" si="68"/>
        <v>0 г. 0 мес. 0 дн.</v>
      </c>
      <c r="W1311" s="22"/>
      <c r="X1311" s="72"/>
    </row>
    <row r="1312" spans="1:24" ht="35.1" customHeight="1" x14ac:dyDescent="0.25">
      <c r="A1312" s="12">
        <f t="shared" si="66"/>
        <v>1311</v>
      </c>
      <c r="B1312" s="12"/>
      <c r="C1312" s="20"/>
      <c r="D1312" s="18"/>
      <c r="H1312" s="12" t="str">
        <f t="shared" si="67"/>
        <v>0 г. 0 мес. 0 дн.</v>
      </c>
      <c r="V1312" s="12" t="str">
        <f t="shared" si="68"/>
        <v>0 г. 0 мес. 0 дн.</v>
      </c>
      <c r="W1312" s="22"/>
      <c r="X1312" s="72"/>
    </row>
    <row r="1313" spans="1:24" ht="35.1" customHeight="1" x14ac:dyDescent="0.25">
      <c r="A1313" s="12">
        <f t="shared" si="66"/>
        <v>1312</v>
      </c>
      <c r="B1313" s="12"/>
      <c r="C1313" s="20"/>
      <c r="D1313" s="18"/>
      <c r="H1313" s="12" t="str">
        <f t="shared" si="67"/>
        <v>0 г. 0 мес. 0 дн.</v>
      </c>
      <c r="V1313" s="12" t="str">
        <f t="shared" si="68"/>
        <v>0 г. 0 мес. 0 дн.</v>
      </c>
      <c r="W1313" s="22"/>
      <c r="X1313" s="72"/>
    </row>
    <row r="1314" spans="1:24" ht="35.1" customHeight="1" x14ac:dyDescent="0.25">
      <c r="A1314" s="12">
        <f t="shared" si="66"/>
        <v>1313</v>
      </c>
      <c r="B1314" s="12"/>
      <c r="C1314" s="20"/>
      <c r="D1314" s="18"/>
      <c r="H1314" s="12" t="str">
        <f t="shared" si="67"/>
        <v>0 г. 0 мес. 0 дн.</v>
      </c>
      <c r="V1314" s="12" t="str">
        <f t="shared" si="68"/>
        <v>0 г. 0 мес. 0 дн.</v>
      </c>
      <c r="W1314" s="22"/>
      <c r="X1314" s="72"/>
    </row>
    <row r="1315" spans="1:24" ht="35.1" customHeight="1" x14ac:dyDescent="0.25">
      <c r="A1315" s="12">
        <f t="shared" si="66"/>
        <v>1314</v>
      </c>
      <c r="B1315" s="12"/>
      <c r="C1315" s="20"/>
      <c r="D1315" s="18"/>
      <c r="H1315" s="12" t="str">
        <f t="shared" si="67"/>
        <v>0 г. 0 мес. 0 дн.</v>
      </c>
      <c r="V1315" s="12" t="str">
        <f t="shared" si="68"/>
        <v>0 г. 0 мес. 0 дн.</v>
      </c>
      <c r="W1315" s="22"/>
      <c r="X1315" s="72"/>
    </row>
    <row r="1316" spans="1:24" ht="35.1" customHeight="1" x14ac:dyDescent="0.25">
      <c r="A1316" s="12">
        <f t="shared" si="66"/>
        <v>1315</v>
      </c>
      <c r="B1316" s="12"/>
      <c r="C1316" s="20"/>
      <c r="D1316" s="18"/>
      <c r="H1316" s="12" t="str">
        <f t="shared" si="67"/>
        <v>0 г. 0 мес. 0 дн.</v>
      </c>
      <c r="V1316" s="12" t="str">
        <f t="shared" si="68"/>
        <v>0 г. 0 мес. 0 дн.</v>
      </c>
      <c r="W1316" s="22"/>
      <c r="X1316" s="72"/>
    </row>
    <row r="1317" spans="1:24" ht="35.1" customHeight="1" x14ac:dyDescent="0.25">
      <c r="A1317" s="12">
        <f t="shared" si="66"/>
        <v>1316</v>
      </c>
      <c r="B1317" s="12"/>
      <c r="C1317" s="20"/>
      <c r="D1317" s="18"/>
      <c r="H1317" s="12" t="str">
        <f t="shared" si="67"/>
        <v>0 г. 0 мес. 0 дн.</v>
      </c>
      <c r="V1317" s="12" t="str">
        <f t="shared" si="68"/>
        <v>0 г. 0 мес. 0 дн.</v>
      </c>
      <c r="W1317" s="22"/>
      <c r="X1317" s="72"/>
    </row>
    <row r="1318" spans="1:24" ht="35.1" customHeight="1" x14ac:dyDescent="0.25">
      <c r="A1318" s="12">
        <f t="shared" si="66"/>
        <v>1317</v>
      </c>
      <c r="B1318" s="12"/>
      <c r="C1318" s="20"/>
      <c r="D1318" s="18"/>
      <c r="H1318" s="12" t="str">
        <f t="shared" si="67"/>
        <v>0 г. 0 мес. 0 дн.</v>
      </c>
      <c r="V1318" s="12" t="str">
        <f t="shared" si="68"/>
        <v>0 г. 0 мес. 0 дн.</v>
      </c>
      <c r="W1318" s="22"/>
      <c r="X1318" s="72"/>
    </row>
    <row r="1319" spans="1:24" ht="35.1" customHeight="1" x14ac:dyDescent="0.25">
      <c r="A1319" s="12">
        <f t="shared" si="66"/>
        <v>1318</v>
      </c>
      <c r="B1319" s="12"/>
      <c r="C1319" s="20"/>
      <c r="D1319" s="18"/>
      <c r="H1319" s="12" t="str">
        <f t="shared" si="67"/>
        <v>0 г. 0 мес. 0 дн.</v>
      </c>
      <c r="V1319" s="12" t="str">
        <f t="shared" si="68"/>
        <v>0 г. 0 мес. 0 дн.</v>
      </c>
      <c r="W1319" s="22"/>
      <c r="X1319" s="72"/>
    </row>
    <row r="1320" spans="1:24" ht="35.1" customHeight="1" x14ac:dyDescent="0.25">
      <c r="A1320" s="12">
        <f t="shared" si="66"/>
        <v>1319</v>
      </c>
      <c r="B1320" s="12"/>
      <c r="C1320" s="20"/>
      <c r="D1320" s="18"/>
      <c r="H1320" s="12" t="str">
        <f t="shared" si="67"/>
        <v>0 г. 0 мес. 0 дн.</v>
      </c>
      <c r="V1320" s="12" t="str">
        <f t="shared" si="68"/>
        <v>0 г. 0 мес. 0 дн.</v>
      </c>
      <c r="W1320" s="22"/>
      <c r="X1320" s="72"/>
    </row>
    <row r="1321" spans="1:24" ht="35.1" customHeight="1" x14ac:dyDescent="0.25">
      <c r="A1321" s="12">
        <f t="shared" si="66"/>
        <v>1320</v>
      </c>
      <c r="B1321" s="12"/>
      <c r="C1321" s="20"/>
      <c r="D1321" s="18"/>
      <c r="H1321" s="12" t="str">
        <f t="shared" si="67"/>
        <v>0 г. 0 мес. 0 дн.</v>
      </c>
      <c r="V1321" s="12" t="str">
        <f t="shared" si="68"/>
        <v>0 г. 0 мес. 0 дн.</v>
      </c>
      <c r="W1321" s="22"/>
      <c r="X1321" s="72"/>
    </row>
    <row r="1322" spans="1:24" ht="35.1" customHeight="1" x14ac:dyDescent="0.25">
      <c r="A1322" s="12">
        <f t="shared" si="66"/>
        <v>1321</v>
      </c>
      <c r="B1322" s="12"/>
      <c r="C1322" s="20"/>
      <c r="D1322" s="18"/>
      <c r="H1322" s="12" t="str">
        <f t="shared" si="67"/>
        <v>0 г. 0 мес. 0 дн.</v>
      </c>
      <c r="V1322" s="12" t="str">
        <f t="shared" si="68"/>
        <v>0 г. 0 мес. 0 дн.</v>
      </c>
      <c r="W1322" s="22"/>
      <c r="X1322" s="72"/>
    </row>
    <row r="1323" spans="1:24" ht="35.1" customHeight="1" x14ac:dyDescent="0.25">
      <c r="A1323" s="12">
        <f t="shared" si="66"/>
        <v>1322</v>
      </c>
      <c r="B1323" s="12"/>
      <c r="C1323" s="20"/>
      <c r="D1323" s="18"/>
      <c r="H1323" s="12" t="str">
        <f t="shared" si="67"/>
        <v>0 г. 0 мес. 0 дн.</v>
      </c>
      <c r="V1323" s="12" t="str">
        <f t="shared" si="68"/>
        <v>0 г. 0 мес. 0 дн.</v>
      </c>
      <c r="W1323" s="22"/>
      <c r="X1323" s="72"/>
    </row>
    <row r="1324" spans="1:24" ht="35.1" customHeight="1" x14ac:dyDescent="0.25">
      <c r="A1324" s="12">
        <f t="shared" si="66"/>
        <v>1323</v>
      </c>
      <c r="B1324" s="12"/>
      <c r="C1324" s="20"/>
      <c r="D1324" s="18"/>
      <c r="H1324" s="12" t="str">
        <f t="shared" si="67"/>
        <v>0 г. 0 мес. 0 дн.</v>
      </c>
      <c r="V1324" s="12" t="str">
        <f t="shared" si="68"/>
        <v>0 г. 0 мес. 0 дн.</v>
      </c>
      <c r="W1324" s="22"/>
      <c r="X1324" s="72"/>
    </row>
    <row r="1325" spans="1:24" ht="35.1" customHeight="1" x14ac:dyDescent="0.25">
      <c r="A1325" s="12">
        <f t="shared" si="66"/>
        <v>1324</v>
      </c>
      <c r="B1325" s="12"/>
      <c r="C1325" s="20"/>
      <c r="D1325" s="18"/>
      <c r="H1325" s="12" t="str">
        <f t="shared" si="67"/>
        <v>0 г. 0 мес. 0 дн.</v>
      </c>
      <c r="V1325" s="12" t="str">
        <f t="shared" si="68"/>
        <v>0 г. 0 мес. 0 дн.</v>
      </c>
      <c r="W1325" s="22"/>
      <c r="X1325" s="72"/>
    </row>
    <row r="1326" spans="1:24" ht="35.1" customHeight="1" x14ac:dyDescent="0.25">
      <c r="A1326" s="12">
        <f t="shared" si="66"/>
        <v>1325</v>
      </c>
      <c r="B1326" s="12"/>
      <c r="C1326" s="20"/>
      <c r="D1326" s="18"/>
      <c r="H1326" s="12" t="str">
        <f t="shared" si="67"/>
        <v>0 г. 0 мес. 0 дн.</v>
      </c>
      <c r="V1326" s="12" t="str">
        <f t="shared" si="68"/>
        <v>0 г. 0 мес. 0 дн.</v>
      </c>
      <c r="W1326" s="22"/>
      <c r="X1326" s="72"/>
    </row>
    <row r="1327" spans="1:24" ht="35.1" customHeight="1" x14ac:dyDescent="0.25">
      <c r="A1327" s="12">
        <f t="shared" si="66"/>
        <v>1326</v>
      </c>
      <c r="B1327" s="12"/>
      <c r="C1327" s="20"/>
      <c r="D1327" s="18"/>
      <c r="H1327" s="12" t="str">
        <f t="shared" si="67"/>
        <v>0 г. 0 мес. 0 дн.</v>
      </c>
      <c r="V1327" s="12" t="str">
        <f t="shared" si="68"/>
        <v>0 г. 0 мес. 0 дн.</v>
      </c>
      <c r="W1327" s="22"/>
      <c r="X1327" s="72"/>
    </row>
    <row r="1328" spans="1:24" ht="35.1" customHeight="1" x14ac:dyDescent="0.25">
      <c r="A1328" s="12">
        <f t="shared" si="66"/>
        <v>1327</v>
      </c>
      <c r="B1328" s="12"/>
      <c r="C1328" s="20"/>
      <c r="D1328" s="18"/>
      <c r="H1328" s="12" t="str">
        <f t="shared" si="67"/>
        <v>0 г. 0 мес. 0 дн.</v>
      </c>
      <c r="V1328" s="12" t="str">
        <f t="shared" si="68"/>
        <v>0 г. 0 мес. 0 дн.</v>
      </c>
      <c r="W1328" s="22"/>
      <c r="X1328" s="72"/>
    </row>
    <row r="1329" spans="1:24" ht="35.1" customHeight="1" x14ac:dyDescent="0.25">
      <c r="A1329" s="12">
        <f t="shared" si="66"/>
        <v>1328</v>
      </c>
      <c r="B1329" s="12"/>
      <c r="C1329" s="20"/>
      <c r="D1329" s="18"/>
      <c r="H1329" s="12" t="str">
        <f t="shared" si="67"/>
        <v>0 г. 0 мес. 0 дн.</v>
      </c>
      <c r="V1329" s="12" t="str">
        <f t="shared" si="68"/>
        <v>0 г. 0 мес. 0 дн.</v>
      </c>
      <c r="W1329" s="22"/>
      <c r="X1329" s="72"/>
    </row>
    <row r="1330" spans="1:24" ht="35.1" customHeight="1" x14ac:dyDescent="0.25">
      <c r="A1330" s="12">
        <f t="shared" si="66"/>
        <v>1329</v>
      </c>
      <c r="B1330" s="12"/>
      <c r="C1330" s="20"/>
      <c r="D1330" s="18"/>
      <c r="H1330" s="12" t="str">
        <f t="shared" si="67"/>
        <v>0 г. 0 мес. 0 дн.</v>
      </c>
      <c r="V1330" s="12" t="str">
        <f t="shared" si="68"/>
        <v>0 г. 0 мес. 0 дн.</v>
      </c>
      <c r="W1330" s="22"/>
      <c r="X1330" s="72"/>
    </row>
    <row r="1331" spans="1:24" ht="35.1" customHeight="1" x14ac:dyDescent="0.25">
      <c r="A1331" s="12">
        <f t="shared" si="66"/>
        <v>1330</v>
      </c>
      <c r="B1331" s="12"/>
      <c r="C1331" s="20"/>
      <c r="D1331" s="18"/>
      <c r="H1331" s="12" t="str">
        <f t="shared" si="67"/>
        <v>0 г. 0 мес. 0 дн.</v>
      </c>
      <c r="V1331" s="12" t="str">
        <f t="shared" si="68"/>
        <v>0 г. 0 мес. 0 дн.</v>
      </c>
      <c r="W1331" s="22"/>
      <c r="X1331" s="72"/>
    </row>
    <row r="1332" spans="1:24" ht="35.1" customHeight="1" x14ac:dyDescent="0.25">
      <c r="A1332" s="12">
        <f t="shared" si="66"/>
        <v>1331</v>
      </c>
      <c r="B1332" s="12"/>
      <c r="C1332" s="20"/>
      <c r="D1332" s="18"/>
      <c r="H1332" s="12" t="str">
        <f t="shared" si="67"/>
        <v>0 г. 0 мес. 0 дн.</v>
      </c>
      <c r="V1332" s="12" t="str">
        <f t="shared" si="68"/>
        <v>0 г. 0 мес. 0 дн.</v>
      </c>
      <c r="W1332" s="22"/>
      <c r="X1332" s="72"/>
    </row>
    <row r="1333" spans="1:24" ht="35.1" customHeight="1" x14ac:dyDescent="0.25">
      <c r="A1333" s="12">
        <f t="shared" si="66"/>
        <v>1332</v>
      </c>
      <c r="B1333" s="12"/>
      <c r="C1333" s="20"/>
      <c r="D1333" s="18"/>
      <c r="H1333" s="12" t="str">
        <f t="shared" si="67"/>
        <v>0 г. 0 мес. 0 дн.</v>
      </c>
      <c r="V1333" s="12" t="str">
        <f t="shared" si="68"/>
        <v>0 г. 0 мес. 0 дн.</v>
      </c>
      <c r="W1333" s="22"/>
      <c r="X1333" s="72"/>
    </row>
    <row r="1334" spans="1:24" ht="35.1" customHeight="1" x14ac:dyDescent="0.25">
      <c r="A1334" s="12">
        <f t="shared" si="66"/>
        <v>1333</v>
      </c>
      <c r="B1334" s="12"/>
      <c r="C1334" s="20"/>
      <c r="D1334" s="18"/>
      <c r="H1334" s="12" t="str">
        <f t="shared" si="67"/>
        <v>0 г. 0 мес. 0 дн.</v>
      </c>
      <c r="V1334" s="12" t="str">
        <f t="shared" si="68"/>
        <v>0 г. 0 мес. 0 дн.</v>
      </c>
      <c r="W1334" s="22"/>
      <c r="X1334" s="72"/>
    </row>
    <row r="1335" spans="1:24" ht="35.1" customHeight="1" x14ac:dyDescent="0.25">
      <c r="A1335" s="12">
        <f t="shared" si="66"/>
        <v>1334</v>
      </c>
      <c r="B1335" s="12"/>
      <c r="C1335" s="20"/>
      <c r="D1335" s="18"/>
      <c r="H1335" s="12" t="str">
        <f t="shared" si="67"/>
        <v>0 г. 0 мес. 0 дн.</v>
      </c>
      <c r="V1335" s="12" t="str">
        <f t="shared" si="68"/>
        <v>0 г. 0 мес. 0 дн.</v>
      </c>
      <c r="W1335" s="22"/>
      <c r="X1335" s="72"/>
    </row>
    <row r="1336" spans="1:24" ht="35.1" customHeight="1" x14ac:dyDescent="0.25">
      <c r="A1336" s="12">
        <f t="shared" si="66"/>
        <v>1335</v>
      </c>
      <c r="B1336" s="12"/>
      <c r="C1336" s="20"/>
      <c r="D1336" s="18"/>
      <c r="H1336" s="12" t="str">
        <f t="shared" si="67"/>
        <v>0 г. 0 мес. 0 дн.</v>
      </c>
      <c r="V1336" s="12" t="str">
        <f t="shared" si="68"/>
        <v>0 г. 0 мес. 0 дн.</v>
      </c>
      <c r="W1336" s="22"/>
      <c r="X1336" s="72"/>
    </row>
    <row r="1337" spans="1:24" ht="35.1" customHeight="1" x14ac:dyDescent="0.25">
      <c r="A1337" s="12">
        <f t="shared" si="66"/>
        <v>1336</v>
      </c>
      <c r="B1337" s="12"/>
      <c r="C1337" s="20"/>
      <c r="D1337" s="18"/>
      <c r="H1337" s="12" t="str">
        <f t="shared" si="67"/>
        <v>0 г. 0 мес. 0 дн.</v>
      </c>
      <c r="V1337" s="12" t="str">
        <f t="shared" si="68"/>
        <v>0 г. 0 мес. 0 дн.</v>
      </c>
      <c r="W1337" s="22"/>
      <c r="X1337" s="72"/>
    </row>
    <row r="1338" spans="1:24" ht="35.1" customHeight="1" x14ac:dyDescent="0.25">
      <c r="A1338" s="12">
        <f t="shared" si="66"/>
        <v>1337</v>
      </c>
      <c r="B1338" s="12"/>
      <c r="C1338" s="20"/>
      <c r="D1338" s="18"/>
      <c r="H1338" s="12" t="str">
        <f t="shared" si="67"/>
        <v>0 г. 0 мес. 0 дн.</v>
      </c>
      <c r="V1338" s="12" t="str">
        <f t="shared" si="68"/>
        <v>0 г. 0 мес. 0 дн.</v>
      </c>
      <c r="W1338" s="22"/>
      <c r="X1338" s="72"/>
    </row>
    <row r="1339" spans="1:24" ht="35.1" customHeight="1" x14ac:dyDescent="0.25">
      <c r="A1339" s="12">
        <f t="shared" si="66"/>
        <v>1338</v>
      </c>
      <c r="B1339" s="12"/>
      <c r="C1339" s="20"/>
      <c r="D1339" s="18"/>
      <c r="H1339" s="12" t="str">
        <f t="shared" si="67"/>
        <v>0 г. 0 мес. 0 дн.</v>
      </c>
      <c r="V1339" s="12" t="str">
        <f t="shared" si="68"/>
        <v>0 г. 0 мес. 0 дн.</v>
      </c>
      <c r="W1339" s="22"/>
      <c r="X1339" s="72"/>
    </row>
    <row r="1340" spans="1:24" ht="35.1" customHeight="1" x14ac:dyDescent="0.25">
      <c r="A1340" s="12">
        <f t="shared" si="66"/>
        <v>1339</v>
      </c>
      <c r="B1340" s="12"/>
      <c r="C1340" s="20"/>
      <c r="D1340" s="18"/>
      <c r="H1340" s="12" t="str">
        <f t="shared" si="67"/>
        <v>0 г. 0 мес. 0 дн.</v>
      </c>
      <c r="V1340" s="12" t="str">
        <f t="shared" si="68"/>
        <v>0 г. 0 мес. 0 дн.</v>
      </c>
      <c r="W1340" s="22"/>
      <c r="X1340" s="72"/>
    </row>
    <row r="1341" spans="1:24" ht="35.1" customHeight="1" x14ac:dyDescent="0.25">
      <c r="A1341" s="12">
        <f t="shared" si="66"/>
        <v>1340</v>
      </c>
      <c r="B1341" s="12"/>
      <c r="C1341" s="20"/>
      <c r="D1341" s="18"/>
      <c r="H1341" s="12" t="str">
        <f t="shared" si="67"/>
        <v>0 г. 0 мес. 0 дн.</v>
      </c>
      <c r="V1341" s="12" t="str">
        <f t="shared" si="68"/>
        <v>0 г. 0 мес. 0 дн.</v>
      </c>
      <c r="W1341" s="22"/>
      <c r="X1341" s="72"/>
    </row>
    <row r="1342" spans="1:24" ht="35.1" customHeight="1" x14ac:dyDescent="0.25">
      <c r="A1342" s="12">
        <f t="shared" si="66"/>
        <v>1341</v>
      </c>
      <c r="B1342" s="12"/>
      <c r="C1342" s="20"/>
      <c r="D1342" s="18"/>
      <c r="H1342" s="12" t="str">
        <f t="shared" si="67"/>
        <v>0 г. 0 мес. 0 дн.</v>
      </c>
      <c r="V1342" s="12" t="str">
        <f t="shared" si="68"/>
        <v>0 г. 0 мес. 0 дн.</v>
      </c>
      <c r="W1342" s="22"/>
      <c r="X1342" s="72"/>
    </row>
    <row r="1343" spans="1:24" ht="35.1" customHeight="1" x14ac:dyDescent="0.25">
      <c r="A1343" s="12">
        <f t="shared" si="66"/>
        <v>1342</v>
      </c>
      <c r="B1343" s="12"/>
      <c r="C1343" s="20"/>
      <c r="D1343" s="18"/>
      <c r="H1343" s="12" t="str">
        <f t="shared" si="67"/>
        <v>0 г. 0 мес. 0 дн.</v>
      </c>
      <c r="V1343" s="12" t="str">
        <f t="shared" si="68"/>
        <v>0 г. 0 мес. 0 дн.</v>
      </c>
      <c r="W1343" s="22"/>
      <c r="X1343" s="72"/>
    </row>
    <row r="1344" spans="1:24" ht="35.1" customHeight="1" x14ac:dyDescent="0.25">
      <c r="A1344" s="12">
        <f t="shared" si="66"/>
        <v>1343</v>
      </c>
      <c r="B1344" s="12"/>
      <c r="C1344" s="20"/>
      <c r="D1344" s="18"/>
      <c r="H1344" s="12" t="str">
        <f t="shared" si="67"/>
        <v>0 г. 0 мес. 0 дн.</v>
      </c>
      <c r="V1344" s="12" t="str">
        <f t="shared" si="68"/>
        <v>0 г. 0 мес. 0 дн.</v>
      </c>
      <c r="W1344" s="22"/>
      <c r="X1344" s="72"/>
    </row>
    <row r="1345" spans="1:24" ht="35.1" customHeight="1" x14ac:dyDescent="0.25">
      <c r="A1345" s="12">
        <f t="shared" ref="A1345:A1408" si="69">ROW(A1344)</f>
        <v>1344</v>
      </c>
      <c r="B1345" s="12"/>
      <c r="C1345" s="20"/>
      <c r="D1345" s="18"/>
      <c r="H1345" s="12" t="str">
        <f t="shared" si="67"/>
        <v>0 г. 0 мес. 0 дн.</v>
      </c>
      <c r="V1345" s="12" t="str">
        <f t="shared" si="68"/>
        <v>0 г. 0 мес. 0 дн.</v>
      </c>
      <c r="W1345" s="22"/>
      <c r="X1345" s="72"/>
    </row>
    <row r="1346" spans="1:24" ht="35.1" customHeight="1" x14ac:dyDescent="0.25">
      <c r="A1346" s="12">
        <f t="shared" si="69"/>
        <v>1345</v>
      </c>
      <c r="B1346" s="12"/>
      <c r="C1346" s="20"/>
      <c r="D1346" s="18"/>
      <c r="H1346" s="12" t="str">
        <f t="shared" si="67"/>
        <v>0 г. 0 мес. 0 дн.</v>
      </c>
      <c r="V1346" s="12" t="str">
        <f t="shared" si="68"/>
        <v>0 г. 0 мес. 0 дн.</v>
      </c>
      <c r="W1346" s="22"/>
      <c r="X1346" s="72"/>
    </row>
    <row r="1347" spans="1:24" ht="35.1" customHeight="1" x14ac:dyDescent="0.25">
      <c r="A1347" s="12">
        <f t="shared" si="69"/>
        <v>1346</v>
      </c>
      <c r="B1347" s="12"/>
      <c r="C1347" s="20"/>
      <c r="D1347" s="18"/>
      <c r="H1347" s="12" t="str">
        <f t="shared" si="67"/>
        <v>0 г. 0 мес. 0 дн.</v>
      </c>
      <c r="V1347" s="12" t="str">
        <f t="shared" si="68"/>
        <v>0 г. 0 мес. 0 дн.</v>
      </c>
      <c r="W1347" s="22"/>
      <c r="X1347" s="72"/>
    </row>
    <row r="1348" spans="1:24" ht="35.1" customHeight="1" x14ac:dyDescent="0.25">
      <c r="A1348" s="12">
        <f t="shared" si="69"/>
        <v>1347</v>
      </c>
      <c r="B1348" s="12"/>
      <c r="C1348" s="20"/>
      <c r="D1348" s="18"/>
      <c r="H1348" s="12" t="str">
        <f t="shared" si="67"/>
        <v>0 г. 0 мес. 0 дн.</v>
      </c>
      <c r="V1348" s="12" t="str">
        <f t="shared" si="68"/>
        <v>0 г. 0 мес. 0 дн.</v>
      </c>
      <c r="W1348" s="22"/>
      <c r="X1348" s="72"/>
    </row>
    <row r="1349" spans="1:24" ht="35.1" customHeight="1" x14ac:dyDescent="0.25">
      <c r="A1349" s="12">
        <f t="shared" si="69"/>
        <v>1348</v>
      </c>
      <c r="B1349" s="12"/>
      <c r="C1349" s="20"/>
      <c r="D1349" s="18"/>
      <c r="H1349" s="12" t="str">
        <f t="shared" si="67"/>
        <v>0 г. 0 мес. 0 дн.</v>
      </c>
      <c r="V1349" s="12" t="str">
        <f t="shared" si="68"/>
        <v>0 г. 0 мес. 0 дн.</v>
      </c>
      <c r="W1349" s="22"/>
      <c r="X1349" s="72"/>
    </row>
    <row r="1350" spans="1:24" ht="35.1" customHeight="1" x14ac:dyDescent="0.25">
      <c r="A1350" s="12">
        <f t="shared" si="69"/>
        <v>1349</v>
      </c>
      <c r="B1350" s="12"/>
      <c r="C1350" s="20"/>
      <c r="D1350" s="18"/>
      <c r="H1350" s="12" t="str">
        <f t="shared" ref="H1350:H1413" si="70">DATEDIF(G1350,D1350,"y") &amp; " г. " &amp; DATEDIF(G1350,D1350,"ym") &amp; " мес. " &amp; DATEDIF(G1350,D1350,"md") &amp; " дн."</f>
        <v>0 г. 0 мес. 0 дн.</v>
      </c>
      <c r="V1350" s="12" t="str">
        <f t="shared" si="68"/>
        <v>0 г. 0 мес. 0 дн.</v>
      </c>
      <c r="W1350" s="22"/>
      <c r="X1350" s="72"/>
    </row>
    <row r="1351" spans="1:24" ht="35.1" customHeight="1" x14ac:dyDescent="0.25">
      <c r="A1351" s="12">
        <f t="shared" si="69"/>
        <v>1350</v>
      </c>
      <c r="B1351" s="12"/>
      <c r="C1351" s="20"/>
      <c r="D1351" s="18"/>
      <c r="H1351" s="12" t="str">
        <f t="shared" si="70"/>
        <v>0 г. 0 мес. 0 дн.</v>
      </c>
      <c r="V1351" s="12" t="str">
        <f t="shared" si="68"/>
        <v>0 г. 0 мес. 0 дн.</v>
      </c>
      <c r="W1351" s="22"/>
      <c r="X1351" s="72"/>
    </row>
    <row r="1352" spans="1:24" ht="35.1" customHeight="1" x14ac:dyDescent="0.25">
      <c r="A1352" s="12">
        <f t="shared" si="69"/>
        <v>1351</v>
      </c>
      <c r="B1352" s="12"/>
      <c r="C1352" s="20"/>
      <c r="D1352" s="18"/>
      <c r="H1352" s="12" t="str">
        <f t="shared" si="70"/>
        <v>0 г. 0 мес. 0 дн.</v>
      </c>
      <c r="V1352" s="12" t="str">
        <f t="shared" si="68"/>
        <v>0 г. 0 мес. 0 дн.</v>
      </c>
      <c r="W1352" s="22"/>
      <c r="X1352" s="72"/>
    </row>
    <row r="1353" spans="1:24" ht="35.1" customHeight="1" x14ac:dyDescent="0.25">
      <c r="A1353" s="12">
        <f t="shared" si="69"/>
        <v>1352</v>
      </c>
      <c r="B1353" s="12"/>
      <c r="C1353" s="20"/>
      <c r="D1353" s="18"/>
      <c r="H1353" s="12" t="str">
        <f t="shared" si="70"/>
        <v>0 г. 0 мес. 0 дн.</v>
      </c>
      <c r="V1353" s="12" t="str">
        <f t="shared" si="68"/>
        <v>0 г. 0 мес. 0 дн.</v>
      </c>
      <c r="W1353" s="22"/>
      <c r="X1353" s="72"/>
    </row>
    <row r="1354" spans="1:24" ht="35.1" customHeight="1" x14ac:dyDescent="0.25">
      <c r="A1354" s="12">
        <f t="shared" si="69"/>
        <v>1353</v>
      </c>
      <c r="B1354" s="12"/>
      <c r="C1354" s="20"/>
      <c r="D1354" s="18"/>
      <c r="H1354" s="12" t="str">
        <f t="shared" si="70"/>
        <v>0 г. 0 мес. 0 дн.</v>
      </c>
      <c r="V1354" s="12" t="str">
        <f t="shared" si="68"/>
        <v>0 г. 0 мес. 0 дн.</v>
      </c>
      <c r="W1354" s="22"/>
      <c r="X1354" s="72"/>
    </row>
    <row r="1355" spans="1:24" ht="35.1" customHeight="1" x14ac:dyDescent="0.25">
      <c r="A1355" s="12">
        <f t="shared" si="69"/>
        <v>1354</v>
      </c>
      <c r="B1355" s="12"/>
      <c r="C1355" s="20"/>
      <c r="D1355" s="18"/>
      <c r="H1355" s="12" t="str">
        <f t="shared" si="70"/>
        <v>0 г. 0 мес. 0 дн.</v>
      </c>
      <c r="V1355" s="12" t="str">
        <f t="shared" si="68"/>
        <v>0 г. 0 мес. 0 дн.</v>
      </c>
      <c r="W1355" s="22"/>
      <c r="X1355" s="72"/>
    </row>
    <row r="1356" spans="1:24" ht="35.1" customHeight="1" x14ac:dyDescent="0.25">
      <c r="A1356" s="12">
        <f t="shared" si="69"/>
        <v>1355</v>
      </c>
      <c r="B1356" s="12"/>
      <c r="C1356" s="20"/>
      <c r="D1356" s="18"/>
      <c r="H1356" s="12" t="str">
        <f t="shared" si="70"/>
        <v>0 г. 0 мес. 0 дн.</v>
      </c>
      <c r="V1356" s="12" t="str">
        <f t="shared" si="68"/>
        <v>0 г. 0 мес. 0 дн.</v>
      </c>
      <c r="W1356" s="22"/>
      <c r="X1356" s="72"/>
    </row>
    <row r="1357" spans="1:24" ht="35.1" customHeight="1" x14ac:dyDescent="0.25">
      <c r="A1357" s="12">
        <f t="shared" si="69"/>
        <v>1356</v>
      </c>
      <c r="B1357" s="12"/>
      <c r="C1357" s="20"/>
      <c r="D1357" s="18"/>
      <c r="H1357" s="12" t="str">
        <f t="shared" si="70"/>
        <v>0 г. 0 мес. 0 дн.</v>
      </c>
      <c r="V1357" s="12" t="str">
        <f t="shared" si="68"/>
        <v>0 г. 0 мес. 0 дн.</v>
      </c>
      <c r="W1357" s="22"/>
      <c r="X1357" s="72"/>
    </row>
    <row r="1358" spans="1:24" ht="35.1" customHeight="1" x14ac:dyDescent="0.25">
      <c r="A1358" s="12">
        <f t="shared" si="69"/>
        <v>1357</v>
      </c>
      <c r="B1358" s="12"/>
      <c r="C1358" s="20"/>
      <c r="D1358" s="18"/>
      <c r="H1358" s="12" t="str">
        <f t="shared" si="70"/>
        <v>0 г. 0 мес. 0 дн.</v>
      </c>
      <c r="V1358" s="12" t="str">
        <f t="shared" si="68"/>
        <v>0 г. 0 мес. 0 дн.</v>
      </c>
      <c r="W1358" s="22"/>
      <c r="X1358" s="72"/>
    </row>
    <row r="1359" spans="1:24" ht="35.1" customHeight="1" x14ac:dyDescent="0.25">
      <c r="A1359" s="12">
        <f t="shared" si="69"/>
        <v>1358</v>
      </c>
      <c r="B1359" s="12"/>
      <c r="C1359" s="20"/>
      <c r="D1359" s="18"/>
      <c r="H1359" s="12" t="str">
        <f t="shared" si="70"/>
        <v>0 г. 0 мес. 0 дн.</v>
      </c>
      <c r="V1359" s="12" t="str">
        <f t="shared" si="68"/>
        <v>0 г. 0 мес. 0 дн.</v>
      </c>
      <c r="W1359" s="22"/>
      <c r="X1359" s="72"/>
    </row>
    <row r="1360" spans="1:24" ht="35.1" customHeight="1" x14ac:dyDescent="0.25">
      <c r="A1360" s="12">
        <f t="shared" si="69"/>
        <v>1359</v>
      </c>
      <c r="B1360" s="12"/>
      <c r="C1360" s="20"/>
      <c r="D1360" s="18"/>
      <c r="H1360" s="12" t="str">
        <f t="shared" si="70"/>
        <v>0 г. 0 мес. 0 дн.</v>
      </c>
      <c r="V1360" s="12" t="str">
        <f t="shared" si="68"/>
        <v>0 г. 0 мес. 0 дн.</v>
      </c>
      <c r="W1360" s="22"/>
      <c r="X1360" s="72"/>
    </row>
    <row r="1361" spans="1:24" ht="35.1" customHeight="1" x14ac:dyDescent="0.25">
      <c r="A1361" s="12">
        <f t="shared" si="69"/>
        <v>1360</v>
      </c>
      <c r="B1361" s="12"/>
      <c r="C1361" s="20"/>
      <c r="D1361" s="18"/>
      <c r="H1361" s="12" t="str">
        <f t="shared" si="70"/>
        <v>0 г. 0 мес. 0 дн.</v>
      </c>
      <c r="V1361" s="12" t="str">
        <f t="shared" si="68"/>
        <v>0 г. 0 мес. 0 дн.</v>
      </c>
      <c r="W1361" s="22"/>
      <c r="X1361" s="72"/>
    </row>
    <row r="1362" spans="1:24" ht="35.1" customHeight="1" x14ac:dyDescent="0.25">
      <c r="A1362" s="12">
        <f t="shared" si="69"/>
        <v>1361</v>
      </c>
      <c r="B1362" s="12"/>
      <c r="C1362" s="20"/>
      <c r="D1362" s="18"/>
      <c r="H1362" s="12" t="str">
        <f t="shared" si="70"/>
        <v>0 г. 0 мес. 0 дн.</v>
      </c>
      <c r="V1362" s="12" t="str">
        <f t="shared" si="68"/>
        <v>0 г. 0 мес. 0 дн.</v>
      </c>
      <c r="W1362" s="22"/>
      <c r="X1362" s="72"/>
    </row>
    <row r="1363" spans="1:24" ht="35.1" customHeight="1" x14ac:dyDescent="0.25">
      <c r="A1363" s="12">
        <f t="shared" si="69"/>
        <v>1362</v>
      </c>
      <c r="B1363" s="12"/>
      <c r="C1363" s="20"/>
      <c r="D1363" s="18"/>
      <c r="H1363" s="12" t="str">
        <f t="shared" si="70"/>
        <v>0 г. 0 мес. 0 дн.</v>
      </c>
      <c r="V1363" s="12" t="str">
        <f t="shared" si="68"/>
        <v>0 г. 0 мес. 0 дн.</v>
      </c>
      <c r="W1363" s="22"/>
      <c r="X1363" s="72"/>
    </row>
    <row r="1364" spans="1:24" ht="35.1" customHeight="1" x14ac:dyDescent="0.25">
      <c r="A1364" s="12">
        <f t="shared" si="69"/>
        <v>1363</v>
      </c>
      <c r="B1364" s="12"/>
      <c r="C1364" s="20"/>
      <c r="D1364" s="18"/>
      <c r="H1364" s="12" t="str">
        <f t="shared" si="70"/>
        <v>0 г. 0 мес. 0 дн.</v>
      </c>
      <c r="V1364" s="12" t="str">
        <f t="shared" si="68"/>
        <v>0 г. 0 мес. 0 дн.</v>
      </c>
      <c r="W1364" s="22"/>
      <c r="X1364" s="72"/>
    </row>
    <row r="1365" spans="1:24" ht="35.1" customHeight="1" x14ac:dyDescent="0.25">
      <c r="A1365" s="12">
        <f t="shared" si="69"/>
        <v>1364</v>
      </c>
      <c r="B1365" s="12"/>
      <c r="C1365" s="20"/>
      <c r="D1365" s="18"/>
      <c r="H1365" s="12" t="str">
        <f t="shared" si="70"/>
        <v>0 г. 0 мес. 0 дн.</v>
      </c>
      <c r="V1365" s="12" t="str">
        <f t="shared" si="68"/>
        <v>0 г. 0 мес. 0 дн.</v>
      </c>
      <c r="W1365" s="22"/>
      <c r="X1365" s="72"/>
    </row>
    <row r="1366" spans="1:24" ht="35.1" customHeight="1" x14ac:dyDescent="0.25">
      <c r="A1366" s="12">
        <f t="shared" si="69"/>
        <v>1365</v>
      </c>
      <c r="B1366" s="12"/>
      <c r="C1366" s="20"/>
      <c r="D1366" s="18"/>
      <c r="H1366" s="12" t="str">
        <f t="shared" si="70"/>
        <v>0 г. 0 мес. 0 дн.</v>
      </c>
      <c r="V1366" s="12" t="str">
        <f t="shared" si="68"/>
        <v>0 г. 0 мес. 0 дн.</v>
      </c>
      <c r="W1366" s="22"/>
      <c r="X1366" s="72"/>
    </row>
    <row r="1367" spans="1:24" ht="35.1" customHeight="1" x14ac:dyDescent="0.25">
      <c r="A1367" s="12">
        <f t="shared" si="69"/>
        <v>1366</v>
      </c>
      <c r="B1367" s="12"/>
      <c r="C1367" s="20"/>
      <c r="D1367" s="18"/>
      <c r="H1367" s="12" t="str">
        <f t="shared" si="70"/>
        <v>0 г. 0 мес. 0 дн.</v>
      </c>
      <c r="V1367" s="12" t="str">
        <f t="shared" si="68"/>
        <v>0 г. 0 мес. 0 дн.</v>
      </c>
      <c r="W1367" s="22"/>
      <c r="X1367" s="72"/>
    </row>
    <row r="1368" spans="1:24" ht="35.1" customHeight="1" x14ac:dyDescent="0.25">
      <c r="A1368" s="12">
        <f t="shared" si="69"/>
        <v>1367</v>
      </c>
      <c r="B1368" s="12"/>
      <c r="C1368" s="20"/>
      <c r="D1368" s="18"/>
      <c r="H1368" s="12" t="str">
        <f t="shared" si="70"/>
        <v>0 г. 0 мес. 0 дн.</v>
      </c>
      <c r="V1368" s="12" t="str">
        <f t="shared" ref="V1368:V1431" si="71">DATEDIF(D1368,T1368,"y") &amp; " г. " &amp; DATEDIF(D1368,T1368,"ym") &amp; " мес. " &amp; DATEDIF(D1368,T1368,"md") &amp; " дн."</f>
        <v>0 г. 0 мес. 0 дн.</v>
      </c>
      <c r="W1368" s="22"/>
      <c r="X1368" s="72"/>
    </row>
    <row r="1369" spans="1:24" ht="35.1" customHeight="1" x14ac:dyDescent="0.25">
      <c r="A1369" s="12">
        <f t="shared" si="69"/>
        <v>1368</v>
      </c>
      <c r="B1369" s="12"/>
      <c r="C1369" s="20"/>
      <c r="D1369" s="18"/>
      <c r="H1369" s="12" t="str">
        <f t="shared" si="70"/>
        <v>0 г. 0 мес. 0 дн.</v>
      </c>
      <c r="V1369" s="12" t="str">
        <f t="shared" si="71"/>
        <v>0 г. 0 мес. 0 дн.</v>
      </c>
      <c r="W1369" s="22"/>
      <c r="X1369" s="72"/>
    </row>
    <row r="1370" spans="1:24" ht="35.1" customHeight="1" x14ac:dyDescent="0.25">
      <c r="A1370" s="12">
        <f t="shared" si="69"/>
        <v>1369</v>
      </c>
      <c r="B1370" s="12"/>
      <c r="C1370" s="20"/>
      <c r="D1370" s="18"/>
      <c r="H1370" s="12" t="str">
        <f t="shared" si="70"/>
        <v>0 г. 0 мес. 0 дн.</v>
      </c>
      <c r="V1370" s="12" t="str">
        <f t="shared" si="71"/>
        <v>0 г. 0 мес. 0 дн.</v>
      </c>
      <c r="W1370" s="22"/>
      <c r="X1370" s="72"/>
    </row>
    <row r="1371" spans="1:24" ht="35.1" customHeight="1" x14ac:dyDescent="0.25">
      <c r="A1371" s="12">
        <f t="shared" si="69"/>
        <v>1370</v>
      </c>
      <c r="B1371" s="12"/>
      <c r="C1371" s="20"/>
      <c r="D1371" s="18"/>
      <c r="H1371" s="12" t="str">
        <f t="shared" si="70"/>
        <v>0 г. 0 мес. 0 дн.</v>
      </c>
      <c r="V1371" s="12" t="str">
        <f t="shared" si="71"/>
        <v>0 г. 0 мес. 0 дн.</v>
      </c>
      <c r="W1371" s="22"/>
      <c r="X1371" s="72"/>
    </row>
    <row r="1372" spans="1:24" ht="35.1" customHeight="1" x14ac:dyDescent="0.25">
      <c r="A1372" s="12">
        <f t="shared" si="69"/>
        <v>1371</v>
      </c>
      <c r="B1372" s="12"/>
      <c r="C1372" s="20"/>
      <c r="D1372" s="18"/>
      <c r="H1372" s="12" t="str">
        <f t="shared" si="70"/>
        <v>0 г. 0 мес. 0 дн.</v>
      </c>
      <c r="V1372" s="12" t="str">
        <f t="shared" si="71"/>
        <v>0 г. 0 мес. 0 дн.</v>
      </c>
      <c r="W1372" s="22"/>
      <c r="X1372" s="72"/>
    </row>
    <row r="1373" spans="1:24" ht="35.1" customHeight="1" x14ac:dyDescent="0.25">
      <c r="A1373" s="12">
        <f t="shared" si="69"/>
        <v>1372</v>
      </c>
      <c r="B1373" s="12"/>
      <c r="C1373" s="20"/>
      <c r="D1373" s="18"/>
      <c r="H1373" s="12" t="str">
        <f t="shared" si="70"/>
        <v>0 г. 0 мес. 0 дн.</v>
      </c>
      <c r="V1373" s="12" t="str">
        <f t="shared" si="71"/>
        <v>0 г. 0 мес. 0 дн.</v>
      </c>
      <c r="W1373" s="22"/>
      <c r="X1373" s="72"/>
    </row>
    <row r="1374" spans="1:24" ht="35.1" customHeight="1" x14ac:dyDescent="0.25">
      <c r="A1374" s="12">
        <f t="shared" si="69"/>
        <v>1373</v>
      </c>
      <c r="B1374" s="12"/>
      <c r="C1374" s="20"/>
      <c r="D1374" s="18"/>
      <c r="H1374" s="12" t="str">
        <f t="shared" si="70"/>
        <v>0 г. 0 мес. 0 дн.</v>
      </c>
      <c r="V1374" s="12" t="str">
        <f t="shared" si="71"/>
        <v>0 г. 0 мес. 0 дн.</v>
      </c>
      <c r="W1374" s="22"/>
      <c r="X1374" s="72"/>
    </row>
    <row r="1375" spans="1:24" ht="35.1" customHeight="1" x14ac:dyDescent="0.25">
      <c r="A1375" s="12">
        <f t="shared" si="69"/>
        <v>1374</v>
      </c>
      <c r="B1375" s="12"/>
      <c r="C1375" s="20"/>
      <c r="D1375" s="18"/>
      <c r="H1375" s="12" t="str">
        <f t="shared" si="70"/>
        <v>0 г. 0 мес. 0 дн.</v>
      </c>
      <c r="V1375" s="12" t="str">
        <f t="shared" si="71"/>
        <v>0 г. 0 мес. 0 дн.</v>
      </c>
      <c r="W1375" s="22"/>
      <c r="X1375" s="72"/>
    </row>
    <row r="1376" spans="1:24" ht="35.1" customHeight="1" x14ac:dyDescent="0.25">
      <c r="A1376" s="12">
        <f t="shared" si="69"/>
        <v>1375</v>
      </c>
      <c r="B1376" s="12"/>
      <c r="C1376" s="20"/>
      <c r="D1376" s="18"/>
      <c r="H1376" s="12" t="str">
        <f t="shared" si="70"/>
        <v>0 г. 0 мес. 0 дн.</v>
      </c>
      <c r="V1376" s="12" t="str">
        <f t="shared" si="71"/>
        <v>0 г. 0 мес. 0 дн.</v>
      </c>
      <c r="W1376" s="22"/>
      <c r="X1376" s="72"/>
    </row>
    <row r="1377" spans="1:24" ht="35.1" customHeight="1" x14ac:dyDescent="0.25">
      <c r="A1377" s="12">
        <f t="shared" si="69"/>
        <v>1376</v>
      </c>
      <c r="B1377" s="12"/>
      <c r="C1377" s="20"/>
      <c r="D1377" s="18"/>
      <c r="H1377" s="12" t="str">
        <f t="shared" si="70"/>
        <v>0 г. 0 мес. 0 дн.</v>
      </c>
      <c r="V1377" s="12" t="str">
        <f t="shared" si="71"/>
        <v>0 г. 0 мес. 0 дн.</v>
      </c>
      <c r="W1377" s="22"/>
      <c r="X1377" s="72"/>
    </row>
    <row r="1378" spans="1:24" ht="35.1" customHeight="1" x14ac:dyDescent="0.25">
      <c r="A1378" s="12">
        <f t="shared" si="69"/>
        <v>1377</v>
      </c>
      <c r="B1378" s="12"/>
      <c r="C1378" s="20"/>
      <c r="D1378" s="18"/>
      <c r="H1378" s="12" t="str">
        <f t="shared" si="70"/>
        <v>0 г. 0 мес. 0 дн.</v>
      </c>
      <c r="V1378" s="12" t="str">
        <f t="shared" si="71"/>
        <v>0 г. 0 мес. 0 дн.</v>
      </c>
      <c r="W1378" s="22"/>
      <c r="X1378" s="72"/>
    </row>
    <row r="1379" spans="1:24" ht="35.1" customHeight="1" x14ac:dyDescent="0.25">
      <c r="A1379" s="12">
        <f t="shared" si="69"/>
        <v>1378</v>
      </c>
      <c r="B1379" s="12"/>
      <c r="C1379" s="20"/>
      <c r="D1379" s="18"/>
      <c r="H1379" s="12" t="str">
        <f t="shared" si="70"/>
        <v>0 г. 0 мес. 0 дн.</v>
      </c>
      <c r="V1379" s="12" t="str">
        <f t="shared" si="71"/>
        <v>0 г. 0 мес. 0 дн.</v>
      </c>
      <c r="W1379" s="22"/>
      <c r="X1379" s="72"/>
    </row>
    <row r="1380" spans="1:24" ht="35.1" customHeight="1" x14ac:dyDescent="0.25">
      <c r="A1380" s="12">
        <f t="shared" si="69"/>
        <v>1379</v>
      </c>
      <c r="B1380" s="12"/>
      <c r="C1380" s="20"/>
      <c r="D1380" s="18"/>
      <c r="H1380" s="12" t="str">
        <f t="shared" si="70"/>
        <v>0 г. 0 мес. 0 дн.</v>
      </c>
      <c r="V1380" s="12" t="str">
        <f t="shared" si="71"/>
        <v>0 г. 0 мес. 0 дн.</v>
      </c>
      <c r="W1380" s="22"/>
      <c r="X1380" s="72"/>
    </row>
    <row r="1381" spans="1:24" ht="35.1" customHeight="1" x14ac:dyDescent="0.25">
      <c r="A1381" s="12">
        <f t="shared" si="69"/>
        <v>1380</v>
      </c>
      <c r="B1381" s="12"/>
      <c r="C1381" s="20"/>
      <c r="D1381" s="18"/>
      <c r="H1381" s="12" t="str">
        <f t="shared" si="70"/>
        <v>0 г. 0 мес. 0 дн.</v>
      </c>
      <c r="V1381" s="12" t="str">
        <f t="shared" si="71"/>
        <v>0 г. 0 мес. 0 дн.</v>
      </c>
      <c r="W1381" s="22"/>
      <c r="X1381" s="72"/>
    </row>
    <row r="1382" spans="1:24" ht="35.1" customHeight="1" x14ac:dyDescent="0.25">
      <c r="A1382" s="12">
        <f t="shared" si="69"/>
        <v>1381</v>
      </c>
      <c r="B1382" s="12"/>
      <c r="C1382" s="20"/>
      <c r="D1382" s="18"/>
      <c r="H1382" s="12" t="str">
        <f t="shared" si="70"/>
        <v>0 г. 0 мес. 0 дн.</v>
      </c>
      <c r="V1382" s="12" t="str">
        <f t="shared" si="71"/>
        <v>0 г. 0 мес. 0 дн.</v>
      </c>
      <c r="W1382" s="22"/>
      <c r="X1382" s="72"/>
    </row>
    <row r="1383" spans="1:24" ht="35.1" customHeight="1" x14ac:dyDescent="0.25">
      <c r="A1383" s="12">
        <f t="shared" si="69"/>
        <v>1382</v>
      </c>
      <c r="B1383" s="12"/>
      <c r="C1383" s="20"/>
      <c r="D1383" s="18"/>
      <c r="H1383" s="12" t="str">
        <f t="shared" si="70"/>
        <v>0 г. 0 мес. 0 дн.</v>
      </c>
      <c r="V1383" s="12" t="str">
        <f t="shared" si="71"/>
        <v>0 г. 0 мес. 0 дн.</v>
      </c>
      <c r="W1383" s="22"/>
      <c r="X1383" s="72"/>
    </row>
    <row r="1384" spans="1:24" ht="35.1" customHeight="1" x14ac:dyDescent="0.25">
      <c r="A1384" s="12">
        <f t="shared" si="69"/>
        <v>1383</v>
      </c>
      <c r="B1384" s="12"/>
      <c r="C1384" s="20"/>
      <c r="D1384" s="18"/>
      <c r="H1384" s="12" t="str">
        <f t="shared" si="70"/>
        <v>0 г. 0 мес. 0 дн.</v>
      </c>
      <c r="V1384" s="12" t="str">
        <f t="shared" si="71"/>
        <v>0 г. 0 мес. 0 дн.</v>
      </c>
      <c r="W1384" s="22"/>
      <c r="X1384" s="72"/>
    </row>
    <row r="1385" spans="1:24" ht="35.1" customHeight="1" x14ac:dyDescent="0.25">
      <c r="A1385" s="12">
        <f t="shared" si="69"/>
        <v>1384</v>
      </c>
      <c r="B1385" s="12"/>
      <c r="C1385" s="20"/>
      <c r="D1385" s="18"/>
      <c r="H1385" s="12" t="str">
        <f t="shared" si="70"/>
        <v>0 г. 0 мес. 0 дн.</v>
      </c>
      <c r="V1385" s="12" t="str">
        <f t="shared" si="71"/>
        <v>0 г. 0 мес. 0 дн.</v>
      </c>
      <c r="W1385" s="22"/>
      <c r="X1385" s="72"/>
    </row>
    <row r="1386" spans="1:24" ht="35.1" customHeight="1" x14ac:dyDescent="0.25">
      <c r="A1386" s="12">
        <f t="shared" si="69"/>
        <v>1385</v>
      </c>
      <c r="B1386" s="12"/>
      <c r="C1386" s="20"/>
      <c r="D1386" s="18"/>
      <c r="H1386" s="12" t="str">
        <f t="shared" si="70"/>
        <v>0 г. 0 мес. 0 дн.</v>
      </c>
      <c r="V1386" s="12" t="str">
        <f t="shared" si="71"/>
        <v>0 г. 0 мес. 0 дн.</v>
      </c>
      <c r="W1386" s="22"/>
      <c r="X1386" s="72"/>
    </row>
    <row r="1387" spans="1:24" ht="35.1" customHeight="1" x14ac:dyDescent="0.25">
      <c r="A1387" s="12">
        <f t="shared" si="69"/>
        <v>1386</v>
      </c>
      <c r="B1387" s="12"/>
      <c r="C1387" s="20"/>
      <c r="D1387" s="18"/>
      <c r="H1387" s="12" t="str">
        <f t="shared" si="70"/>
        <v>0 г. 0 мес. 0 дн.</v>
      </c>
      <c r="V1387" s="12" t="str">
        <f t="shared" si="71"/>
        <v>0 г. 0 мес. 0 дн.</v>
      </c>
      <c r="W1387" s="22"/>
      <c r="X1387" s="72"/>
    </row>
    <row r="1388" spans="1:24" ht="35.1" customHeight="1" x14ac:dyDescent="0.25">
      <c r="A1388" s="12">
        <f t="shared" si="69"/>
        <v>1387</v>
      </c>
      <c r="B1388" s="12"/>
      <c r="C1388" s="20"/>
      <c r="D1388" s="18"/>
      <c r="H1388" s="12" t="str">
        <f t="shared" si="70"/>
        <v>0 г. 0 мес. 0 дн.</v>
      </c>
      <c r="V1388" s="12" t="str">
        <f t="shared" si="71"/>
        <v>0 г. 0 мес. 0 дн.</v>
      </c>
      <c r="W1388" s="22"/>
      <c r="X1388" s="72"/>
    </row>
    <row r="1389" spans="1:24" ht="35.1" customHeight="1" x14ac:dyDescent="0.25">
      <c r="A1389" s="12">
        <f t="shared" si="69"/>
        <v>1388</v>
      </c>
      <c r="B1389" s="12"/>
      <c r="C1389" s="20"/>
      <c r="D1389" s="18"/>
      <c r="H1389" s="12" t="str">
        <f t="shared" si="70"/>
        <v>0 г. 0 мес. 0 дн.</v>
      </c>
      <c r="V1389" s="12" t="str">
        <f t="shared" si="71"/>
        <v>0 г. 0 мес. 0 дн.</v>
      </c>
      <c r="W1389" s="22"/>
      <c r="X1389" s="72"/>
    </row>
    <row r="1390" spans="1:24" ht="35.1" customHeight="1" x14ac:dyDescent="0.25">
      <c r="A1390" s="12">
        <f t="shared" si="69"/>
        <v>1389</v>
      </c>
      <c r="B1390" s="12"/>
      <c r="C1390" s="20"/>
      <c r="D1390" s="18"/>
      <c r="H1390" s="12" t="str">
        <f t="shared" si="70"/>
        <v>0 г. 0 мес. 0 дн.</v>
      </c>
      <c r="V1390" s="12" t="str">
        <f t="shared" si="71"/>
        <v>0 г. 0 мес. 0 дн.</v>
      </c>
      <c r="W1390" s="22"/>
      <c r="X1390" s="72"/>
    </row>
    <row r="1391" spans="1:24" ht="35.1" customHeight="1" x14ac:dyDescent="0.25">
      <c r="A1391" s="12">
        <f t="shared" si="69"/>
        <v>1390</v>
      </c>
      <c r="B1391" s="12"/>
      <c r="C1391" s="20"/>
      <c r="D1391" s="18"/>
      <c r="H1391" s="12" t="str">
        <f t="shared" si="70"/>
        <v>0 г. 0 мес. 0 дн.</v>
      </c>
      <c r="V1391" s="12" t="str">
        <f t="shared" si="71"/>
        <v>0 г. 0 мес. 0 дн.</v>
      </c>
      <c r="W1391" s="22"/>
      <c r="X1391" s="72"/>
    </row>
    <row r="1392" spans="1:24" ht="35.1" customHeight="1" x14ac:dyDescent="0.25">
      <c r="A1392" s="12">
        <f t="shared" si="69"/>
        <v>1391</v>
      </c>
      <c r="B1392" s="12"/>
      <c r="C1392" s="20"/>
      <c r="D1392" s="18"/>
      <c r="H1392" s="12" t="str">
        <f t="shared" si="70"/>
        <v>0 г. 0 мес. 0 дн.</v>
      </c>
      <c r="V1392" s="12" t="str">
        <f t="shared" si="71"/>
        <v>0 г. 0 мес. 0 дн.</v>
      </c>
      <c r="W1392" s="22"/>
      <c r="X1392" s="72"/>
    </row>
    <row r="1393" spans="1:24" ht="35.1" customHeight="1" x14ac:dyDescent="0.25">
      <c r="A1393" s="12">
        <f t="shared" si="69"/>
        <v>1392</v>
      </c>
      <c r="B1393" s="12"/>
      <c r="C1393" s="20"/>
      <c r="D1393" s="18"/>
      <c r="H1393" s="12" t="str">
        <f t="shared" si="70"/>
        <v>0 г. 0 мес. 0 дн.</v>
      </c>
      <c r="V1393" s="12" t="str">
        <f t="shared" si="71"/>
        <v>0 г. 0 мес. 0 дн.</v>
      </c>
      <c r="W1393" s="22"/>
      <c r="X1393" s="72"/>
    </row>
    <row r="1394" spans="1:24" ht="35.1" customHeight="1" x14ac:dyDescent="0.25">
      <c r="A1394" s="12">
        <f t="shared" si="69"/>
        <v>1393</v>
      </c>
      <c r="B1394" s="12"/>
      <c r="C1394" s="20"/>
      <c r="D1394" s="18"/>
      <c r="H1394" s="12" t="str">
        <f t="shared" si="70"/>
        <v>0 г. 0 мес. 0 дн.</v>
      </c>
      <c r="V1394" s="12" t="str">
        <f t="shared" si="71"/>
        <v>0 г. 0 мес. 0 дн.</v>
      </c>
      <c r="W1394" s="22"/>
      <c r="X1394" s="72"/>
    </row>
    <row r="1395" spans="1:24" ht="35.1" customHeight="1" x14ac:dyDescent="0.25">
      <c r="A1395" s="12">
        <f t="shared" si="69"/>
        <v>1394</v>
      </c>
      <c r="B1395" s="12"/>
      <c r="C1395" s="20"/>
      <c r="D1395" s="18"/>
      <c r="H1395" s="12" t="str">
        <f t="shared" si="70"/>
        <v>0 г. 0 мес. 0 дн.</v>
      </c>
      <c r="V1395" s="12" t="str">
        <f t="shared" si="71"/>
        <v>0 г. 0 мес. 0 дн.</v>
      </c>
      <c r="W1395" s="22"/>
      <c r="X1395" s="72"/>
    </row>
    <row r="1396" spans="1:24" ht="35.1" customHeight="1" x14ac:dyDescent="0.25">
      <c r="A1396" s="12">
        <f t="shared" si="69"/>
        <v>1395</v>
      </c>
      <c r="B1396" s="12"/>
      <c r="C1396" s="20"/>
      <c r="D1396" s="18"/>
      <c r="H1396" s="12" t="str">
        <f t="shared" si="70"/>
        <v>0 г. 0 мес. 0 дн.</v>
      </c>
      <c r="V1396" s="12" t="str">
        <f t="shared" si="71"/>
        <v>0 г. 0 мес. 0 дн.</v>
      </c>
      <c r="W1396" s="22"/>
      <c r="X1396" s="72"/>
    </row>
    <row r="1397" spans="1:24" ht="35.1" customHeight="1" x14ac:dyDescent="0.25">
      <c r="A1397" s="12">
        <f t="shared" si="69"/>
        <v>1396</v>
      </c>
      <c r="B1397" s="12"/>
      <c r="C1397" s="20"/>
      <c r="D1397" s="18"/>
      <c r="H1397" s="12" t="str">
        <f t="shared" si="70"/>
        <v>0 г. 0 мес. 0 дн.</v>
      </c>
      <c r="V1397" s="12" t="str">
        <f t="shared" si="71"/>
        <v>0 г. 0 мес. 0 дн.</v>
      </c>
      <c r="W1397" s="22"/>
      <c r="X1397" s="72"/>
    </row>
    <row r="1398" spans="1:24" ht="35.1" customHeight="1" x14ac:dyDescent="0.25">
      <c r="A1398" s="12">
        <f t="shared" si="69"/>
        <v>1397</v>
      </c>
      <c r="B1398" s="12"/>
      <c r="C1398" s="20"/>
      <c r="D1398" s="18"/>
      <c r="H1398" s="12" t="str">
        <f t="shared" si="70"/>
        <v>0 г. 0 мес. 0 дн.</v>
      </c>
      <c r="V1398" s="12" t="str">
        <f t="shared" si="71"/>
        <v>0 г. 0 мес. 0 дн.</v>
      </c>
      <c r="W1398" s="22"/>
      <c r="X1398" s="72"/>
    </row>
    <row r="1399" spans="1:24" ht="35.1" customHeight="1" x14ac:dyDescent="0.25">
      <c r="A1399" s="12">
        <f t="shared" si="69"/>
        <v>1398</v>
      </c>
      <c r="B1399" s="12"/>
      <c r="C1399" s="20"/>
      <c r="D1399" s="18"/>
      <c r="H1399" s="12" t="str">
        <f t="shared" si="70"/>
        <v>0 г. 0 мес. 0 дн.</v>
      </c>
      <c r="V1399" s="12" t="str">
        <f t="shared" si="71"/>
        <v>0 г. 0 мес. 0 дн.</v>
      </c>
      <c r="W1399" s="22"/>
      <c r="X1399" s="72"/>
    </row>
    <row r="1400" spans="1:24" ht="35.1" customHeight="1" x14ac:dyDescent="0.25">
      <c r="A1400" s="12">
        <f t="shared" si="69"/>
        <v>1399</v>
      </c>
      <c r="B1400" s="12"/>
      <c r="C1400" s="20"/>
      <c r="D1400" s="18"/>
      <c r="H1400" s="12" t="str">
        <f t="shared" si="70"/>
        <v>0 г. 0 мес. 0 дн.</v>
      </c>
      <c r="V1400" s="12" t="str">
        <f t="shared" si="71"/>
        <v>0 г. 0 мес. 0 дн.</v>
      </c>
      <c r="W1400" s="22"/>
      <c r="X1400" s="72"/>
    </row>
    <row r="1401" spans="1:24" ht="35.1" customHeight="1" x14ac:dyDescent="0.25">
      <c r="A1401" s="12">
        <f t="shared" si="69"/>
        <v>1400</v>
      </c>
      <c r="B1401" s="12"/>
      <c r="C1401" s="20"/>
      <c r="D1401" s="18"/>
      <c r="H1401" s="12" t="str">
        <f t="shared" si="70"/>
        <v>0 г. 0 мес. 0 дн.</v>
      </c>
      <c r="V1401" s="12" t="str">
        <f t="shared" si="71"/>
        <v>0 г. 0 мес. 0 дн.</v>
      </c>
      <c r="W1401" s="22"/>
      <c r="X1401" s="72"/>
    </row>
    <row r="1402" spans="1:24" ht="35.1" customHeight="1" x14ac:dyDescent="0.25">
      <c r="A1402" s="12">
        <f t="shared" si="69"/>
        <v>1401</v>
      </c>
      <c r="B1402" s="12"/>
      <c r="C1402" s="20"/>
      <c r="D1402" s="18"/>
      <c r="H1402" s="12" t="str">
        <f t="shared" si="70"/>
        <v>0 г. 0 мес. 0 дн.</v>
      </c>
      <c r="V1402" s="12" t="str">
        <f t="shared" si="71"/>
        <v>0 г. 0 мес. 0 дн.</v>
      </c>
      <c r="W1402" s="22"/>
      <c r="X1402" s="72"/>
    </row>
    <row r="1403" spans="1:24" ht="35.1" customHeight="1" x14ac:dyDescent="0.25">
      <c r="A1403" s="12">
        <f t="shared" si="69"/>
        <v>1402</v>
      </c>
      <c r="B1403" s="12"/>
      <c r="C1403" s="20"/>
      <c r="D1403" s="18"/>
      <c r="H1403" s="12" t="str">
        <f t="shared" si="70"/>
        <v>0 г. 0 мес. 0 дн.</v>
      </c>
      <c r="V1403" s="12" t="str">
        <f t="shared" si="71"/>
        <v>0 г. 0 мес. 0 дн.</v>
      </c>
      <c r="W1403" s="22"/>
      <c r="X1403" s="72"/>
    </row>
    <row r="1404" spans="1:24" ht="35.1" customHeight="1" x14ac:dyDescent="0.25">
      <c r="A1404" s="12">
        <f t="shared" si="69"/>
        <v>1403</v>
      </c>
      <c r="B1404" s="12"/>
      <c r="C1404" s="20"/>
      <c r="D1404" s="18"/>
      <c r="H1404" s="12" t="str">
        <f t="shared" si="70"/>
        <v>0 г. 0 мес. 0 дн.</v>
      </c>
      <c r="V1404" s="12" t="str">
        <f t="shared" si="71"/>
        <v>0 г. 0 мес. 0 дн.</v>
      </c>
      <c r="W1404" s="22"/>
      <c r="X1404" s="72"/>
    </row>
    <row r="1405" spans="1:24" ht="35.1" customHeight="1" x14ac:dyDescent="0.25">
      <c r="A1405" s="12">
        <f t="shared" si="69"/>
        <v>1404</v>
      </c>
      <c r="B1405" s="12"/>
      <c r="C1405" s="20"/>
      <c r="D1405" s="18"/>
      <c r="H1405" s="12" t="str">
        <f t="shared" si="70"/>
        <v>0 г. 0 мес. 0 дн.</v>
      </c>
      <c r="V1405" s="12" t="str">
        <f t="shared" si="71"/>
        <v>0 г. 0 мес. 0 дн.</v>
      </c>
      <c r="W1405" s="22"/>
      <c r="X1405" s="72"/>
    </row>
    <row r="1406" spans="1:24" ht="35.1" customHeight="1" x14ac:dyDescent="0.25">
      <c r="A1406" s="12">
        <f t="shared" si="69"/>
        <v>1405</v>
      </c>
      <c r="B1406" s="12"/>
      <c r="C1406" s="20"/>
      <c r="D1406" s="18"/>
      <c r="H1406" s="12" t="str">
        <f t="shared" si="70"/>
        <v>0 г. 0 мес. 0 дн.</v>
      </c>
      <c r="V1406" s="12" t="str">
        <f t="shared" si="71"/>
        <v>0 г. 0 мес. 0 дн.</v>
      </c>
      <c r="W1406" s="22"/>
      <c r="X1406" s="72"/>
    </row>
    <row r="1407" spans="1:24" ht="35.1" customHeight="1" x14ac:dyDescent="0.25">
      <c r="A1407" s="12">
        <f t="shared" si="69"/>
        <v>1406</v>
      </c>
      <c r="B1407" s="12"/>
      <c r="C1407" s="20"/>
      <c r="D1407" s="18"/>
      <c r="H1407" s="12" t="str">
        <f t="shared" si="70"/>
        <v>0 г. 0 мес. 0 дн.</v>
      </c>
      <c r="V1407" s="12" t="str">
        <f t="shared" si="71"/>
        <v>0 г. 0 мес. 0 дн.</v>
      </c>
      <c r="W1407" s="22"/>
      <c r="X1407" s="72"/>
    </row>
    <row r="1408" spans="1:24" ht="35.1" customHeight="1" x14ac:dyDescent="0.25">
      <c r="A1408" s="12">
        <f t="shared" si="69"/>
        <v>1407</v>
      </c>
      <c r="B1408" s="12"/>
      <c r="C1408" s="20"/>
      <c r="D1408" s="18"/>
      <c r="H1408" s="12" t="str">
        <f t="shared" si="70"/>
        <v>0 г. 0 мес. 0 дн.</v>
      </c>
      <c r="V1408" s="12" t="str">
        <f t="shared" si="71"/>
        <v>0 г. 0 мес. 0 дн.</v>
      </c>
      <c r="W1408" s="22"/>
      <c r="X1408" s="72"/>
    </row>
    <row r="1409" spans="1:24" ht="35.1" customHeight="1" x14ac:dyDescent="0.25">
      <c r="A1409" s="12">
        <f t="shared" ref="A1409:A1472" si="72">ROW(A1408)</f>
        <v>1408</v>
      </c>
      <c r="B1409" s="12"/>
      <c r="C1409" s="20"/>
      <c r="D1409" s="18"/>
      <c r="H1409" s="12" t="str">
        <f t="shared" si="70"/>
        <v>0 г. 0 мес. 0 дн.</v>
      </c>
      <c r="V1409" s="12" t="str">
        <f t="shared" si="71"/>
        <v>0 г. 0 мес. 0 дн.</v>
      </c>
      <c r="W1409" s="22"/>
      <c r="X1409" s="72"/>
    </row>
    <row r="1410" spans="1:24" ht="35.1" customHeight="1" x14ac:dyDescent="0.25">
      <c r="A1410" s="12">
        <f t="shared" si="72"/>
        <v>1409</v>
      </c>
      <c r="B1410" s="12"/>
      <c r="C1410" s="20"/>
      <c r="D1410" s="18"/>
      <c r="H1410" s="12" t="str">
        <f t="shared" si="70"/>
        <v>0 г. 0 мес. 0 дн.</v>
      </c>
      <c r="V1410" s="12" t="str">
        <f t="shared" si="71"/>
        <v>0 г. 0 мес. 0 дн.</v>
      </c>
      <c r="W1410" s="22"/>
      <c r="X1410" s="72"/>
    </row>
    <row r="1411" spans="1:24" ht="35.1" customHeight="1" x14ac:dyDescent="0.25">
      <c r="A1411" s="12">
        <f t="shared" si="72"/>
        <v>1410</v>
      </c>
      <c r="B1411" s="12"/>
      <c r="C1411" s="20"/>
      <c r="D1411" s="18"/>
      <c r="H1411" s="12" t="str">
        <f t="shared" si="70"/>
        <v>0 г. 0 мес. 0 дн.</v>
      </c>
      <c r="V1411" s="12" t="str">
        <f t="shared" si="71"/>
        <v>0 г. 0 мес. 0 дн.</v>
      </c>
      <c r="W1411" s="22"/>
      <c r="X1411" s="72"/>
    </row>
    <row r="1412" spans="1:24" ht="35.1" customHeight="1" x14ac:dyDescent="0.25">
      <c r="A1412" s="12">
        <f t="shared" si="72"/>
        <v>1411</v>
      </c>
      <c r="B1412" s="12"/>
      <c r="C1412" s="20"/>
      <c r="D1412" s="18"/>
      <c r="H1412" s="12" t="str">
        <f t="shared" si="70"/>
        <v>0 г. 0 мес. 0 дн.</v>
      </c>
      <c r="V1412" s="12" t="str">
        <f t="shared" si="71"/>
        <v>0 г. 0 мес. 0 дн.</v>
      </c>
      <c r="W1412" s="22"/>
      <c r="X1412" s="72"/>
    </row>
    <row r="1413" spans="1:24" ht="35.1" customHeight="1" x14ac:dyDescent="0.25">
      <c r="A1413" s="12">
        <f t="shared" si="72"/>
        <v>1412</v>
      </c>
      <c r="B1413" s="12"/>
      <c r="C1413" s="20"/>
      <c r="D1413" s="18"/>
      <c r="H1413" s="12" t="str">
        <f t="shared" si="70"/>
        <v>0 г. 0 мес. 0 дн.</v>
      </c>
      <c r="V1413" s="12" t="str">
        <f t="shared" si="71"/>
        <v>0 г. 0 мес. 0 дн.</v>
      </c>
      <c r="W1413" s="22"/>
      <c r="X1413" s="72"/>
    </row>
    <row r="1414" spans="1:24" ht="35.1" customHeight="1" x14ac:dyDescent="0.25">
      <c r="A1414" s="12">
        <f t="shared" si="72"/>
        <v>1413</v>
      </c>
      <c r="B1414" s="12"/>
      <c r="C1414" s="20"/>
      <c r="D1414" s="18"/>
      <c r="H1414" s="12" t="str">
        <f t="shared" ref="H1414:H1477" si="73">DATEDIF(G1414,D1414,"y") &amp; " г. " &amp; DATEDIF(G1414,D1414,"ym") &amp; " мес. " &amp; DATEDIF(G1414,D1414,"md") &amp; " дн."</f>
        <v>0 г. 0 мес. 0 дн.</v>
      </c>
      <c r="V1414" s="12" t="str">
        <f t="shared" si="71"/>
        <v>0 г. 0 мес. 0 дн.</v>
      </c>
      <c r="W1414" s="22"/>
      <c r="X1414" s="72"/>
    </row>
    <row r="1415" spans="1:24" ht="35.1" customHeight="1" x14ac:dyDescent="0.25">
      <c r="A1415" s="12">
        <f t="shared" si="72"/>
        <v>1414</v>
      </c>
      <c r="B1415" s="12"/>
      <c r="C1415" s="20"/>
      <c r="D1415" s="18"/>
      <c r="H1415" s="12" t="str">
        <f t="shared" si="73"/>
        <v>0 г. 0 мес. 0 дн.</v>
      </c>
      <c r="V1415" s="12" t="str">
        <f t="shared" si="71"/>
        <v>0 г. 0 мес. 0 дн.</v>
      </c>
      <c r="W1415" s="22"/>
      <c r="X1415" s="72"/>
    </row>
    <row r="1416" spans="1:24" ht="35.1" customHeight="1" x14ac:dyDescent="0.25">
      <c r="A1416" s="12">
        <f t="shared" si="72"/>
        <v>1415</v>
      </c>
      <c r="B1416" s="12"/>
      <c r="C1416" s="20"/>
      <c r="D1416" s="18"/>
      <c r="H1416" s="12" t="str">
        <f t="shared" si="73"/>
        <v>0 г. 0 мес. 0 дн.</v>
      </c>
      <c r="V1416" s="12" t="str">
        <f t="shared" si="71"/>
        <v>0 г. 0 мес. 0 дн.</v>
      </c>
      <c r="W1416" s="22"/>
      <c r="X1416" s="72"/>
    </row>
    <row r="1417" spans="1:24" ht="35.1" customHeight="1" x14ac:dyDescent="0.25">
      <c r="A1417" s="12">
        <f t="shared" si="72"/>
        <v>1416</v>
      </c>
      <c r="B1417" s="12"/>
      <c r="C1417" s="20"/>
      <c r="D1417" s="18"/>
      <c r="H1417" s="12" t="str">
        <f t="shared" si="73"/>
        <v>0 г. 0 мес. 0 дн.</v>
      </c>
      <c r="V1417" s="12" t="str">
        <f t="shared" si="71"/>
        <v>0 г. 0 мес. 0 дн.</v>
      </c>
      <c r="W1417" s="22"/>
      <c r="X1417" s="72"/>
    </row>
    <row r="1418" spans="1:24" ht="35.1" customHeight="1" x14ac:dyDescent="0.25">
      <c r="A1418" s="12">
        <f t="shared" si="72"/>
        <v>1417</v>
      </c>
      <c r="B1418" s="12"/>
      <c r="C1418" s="20"/>
      <c r="D1418" s="18"/>
      <c r="H1418" s="12" t="str">
        <f t="shared" si="73"/>
        <v>0 г. 0 мес. 0 дн.</v>
      </c>
      <c r="V1418" s="12" t="str">
        <f t="shared" si="71"/>
        <v>0 г. 0 мес. 0 дн.</v>
      </c>
      <c r="W1418" s="22"/>
      <c r="X1418" s="72"/>
    </row>
    <row r="1419" spans="1:24" ht="35.1" customHeight="1" x14ac:dyDescent="0.25">
      <c r="A1419" s="12">
        <f t="shared" si="72"/>
        <v>1418</v>
      </c>
      <c r="B1419" s="12"/>
      <c r="C1419" s="20"/>
      <c r="D1419" s="18"/>
      <c r="H1419" s="12" t="str">
        <f t="shared" si="73"/>
        <v>0 г. 0 мес. 0 дн.</v>
      </c>
      <c r="V1419" s="12" t="str">
        <f t="shared" si="71"/>
        <v>0 г. 0 мес. 0 дн.</v>
      </c>
      <c r="W1419" s="22"/>
      <c r="X1419" s="72"/>
    </row>
    <row r="1420" spans="1:24" ht="35.1" customHeight="1" x14ac:dyDescent="0.25">
      <c r="A1420" s="12">
        <f t="shared" si="72"/>
        <v>1419</v>
      </c>
      <c r="B1420" s="12"/>
      <c r="C1420" s="20"/>
      <c r="D1420" s="18"/>
      <c r="H1420" s="12" t="str">
        <f t="shared" si="73"/>
        <v>0 г. 0 мес. 0 дн.</v>
      </c>
      <c r="V1420" s="12" t="str">
        <f t="shared" si="71"/>
        <v>0 г. 0 мес. 0 дн.</v>
      </c>
      <c r="W1420" s="22"/>
      <c r="X1420" s="72"/>
    </row>
    <row r="1421" spans="1:24" ht="35.1" customHeight="1" x14ac:dyDescent="0.25">
      <c r="A1421" s="12">
        <f t="shared" si="72"/>
        <v>1420</v>
      </c>
      <c r="B1421" s="12"/>
      <c r="C1421" s="20"/>
      <c r="D1421" s="18"/>
      <c r="H1421" s="12" t="str">
        <f t="shared" si="73"/>
        <v>0 г. 0 мес. 0 дн.</v>
      </c>
      <c r="V1421" s="12" t="str">
        <f t="shared" si="71"/>
        <v>0 г. 0 мес. 0 дн.</v>
      </c>
      <c r="W1421" s="22"/>
      <c r="X1421" s="72"/>
    </row>
    <row r="1422" spans="1:24" ht="35.1" customHeight="1" x14ac:dyDescent="0.25">
      <c r="A1422" s="12">
        <f t="shared" si="72"/>
        <v>1421</v>
      </c>
      <c r="B1422" s="12"/>
      <c r="C1422" s="20"/>
      <c r="D1422" s="18"/>
      <c r="H1422" s="12" t="str">
        <f t="shared" si="73"/>
        <v>0 г. 0 мес. 0 дн.</v>
      </c>
      <c r="V1422" s="12" t="str">
        <f t="shared" si="71"/>
        <v>0 г. 0 мес. 0 дн.</v>
      </c>
      <c r="W1422" s="22"/>
      <c r="X1422" s="72"/>
    </row>
    <row r="1423" spans="1:24" ht="35.1" customHeight="1" x14ac:dyDescent="0.25">
      <c r="A1423" s="12">
        <f t="shared" si="72"/>
        <v>1422</v>
      </c>
      <c r="B1423" s="12"/>
      <c r="C1423" s="20"/>
      <c r="D1423" s="18"/>
      <c r="H1423" s="12" t="str">
        <f t="shared" si="73"/>
        <v>0 г. 0 мес. 0 дн.</v>
      </c>
      <c r="V1423" s="12" t="str">
        <f t="shared" si="71"/>
        <v>0 г. 0 мес. 0 дн.</v>
      </c>
      <c r="W1423" s="22"/>
      <c r="X1423" s="72"/>
    </row>
    <row r="1424" spans="1:24" ht="35.1" customHeight="1" x14ac:dyDescent="0.25">
      <c r="A1424" s="12">
        <f t="shared" si="72"/>
        <v>1423</v>
      </c>
      <c r="B1424" s="12"/>
      <c r="C1424" s="20"/>
      <c r="D1424" s="18"/>
      <c r="H1424" s="12" t="str">
        <f t="shared" si="73"/>
        <v>0 г. 0 мес. 0 дн.</v>
      </c>
      <c r="V1424" s="12" t="str">
        <f t="shared" si="71"/>
        <v>0 г. 0 мес. 0 дн.</v>
      </c>
      <c r="W1424" s="22"/>
      <c r="X1424" s="72"/>
    </row>
    <row r="1425" spans="1:24" ht="35.1" customHeight="1" x14ac:dyDescent="0.25">
      <c r="A1425" s="12">
        <f t="shared" si="72"/>
        <v>1424</v>
      </c>
      <c r="B1425" s="12"/>
      <c r="C1425" s="20"/>
      <c r="D1425" s="18"/>
      <c r="H1425" s="12" t="str">
        <f t="shared" si="73"/>
        <v>0 г. 0 мес. 0 дн.</v>
      </c>
      <c r="V1425" s="12" t="str">
        <f t="shared" si="71"/>
        <v>0 г. 0 мес. 0 дн.</v>
      </c>
      <c r="W1425" s="22"/>
      <c r="X1425" s="72"/>
    </row>
    <row r="1426" spans="1:24" ht="35.1" customHeight="1" x14ac:dyDescent="0.25">
      <c r="A1426" s="12">
        <f t="shared" si="72"/>
        <v>1425</v>
      </c>
      <c r="B1426" s="12"/>
      <c r="C1426" s="20"/>
      <c r="D1426" s="18"/>
      <c r="H1426" s="12" t="str">
        <f t="shared" si="73"/>
        <v>0 г. 0 мес. 0 дн.</v>
      </c>
      <c r="V1426" s="12" t="str">
        <f t="shared" si="71"/>
        <v>0 г. 0 мес. 0 дн.</v>
      </c>
      <c r="W1426" s="22"/>
      <c r="X1426" s="72"/>
    </row>
    <row r="1427" spans="1:24" ht="35.1" customHeight="1" x14ac:dyDescent="0.25">
      <c r="A1427" s="12">
        <f t="shared" si="72"/>
        <v>1426</v>
      </c>
      <c r="B1427" s="12"/>
      <c r="C1427" s="20"/>
      <c r="D1427" s="18"/>
      <c r="H1427" s="12" t="str">
        <f t="shared" si="73"/>
        <v>0 г. 0 мес. 0 дн.</v>
      </c>
      <c r="V1427" s="12" t="str">
        <f t="shared" si="71"/>
        <v>0 г. 0 мес. 0 дн.</v>
      </c>
      <c r="W1427" s="22"/>
      <c r="X1427" s="72"/>
    </row>
    <row r="1428" spans="1:24" ht="35.1" customHeight="1" x14ac:dyDescent="0.25">
      <c r="A1428" s="12">
        <f t="shared" si="72"/>
        <v>1427</v>
      </c>
      <c r="B1428" s="12"/>
      <c r="C1428" s="20"/>
      <c r="D1428" s="18"/>
      <c r="H1428" s="12" t="str">
        <f t="shared" si="73"/>
        <v>0 г. 0 мес. 0 дн.</v>
      </c>
      <c r="V1428" s="12" t="str">
        <f t="shared" si="71"/>
        <v>0 г. 0 мес. 0 дн.</v>
      </c>
      <c r="W1428" s="22"/>
      <c r="X1428" s="72"/>
    </row>
    <row r="1429" spans="1:24" ht="35.1" customHeight="1" x14ac:dyDescent="0.25">
      <c r="A1429" s="12">
        <f t="shared" si="72"/>
        <v>1428</v>
      </c>
      <c r="B1429" s="12"/>
      <c r="C1429" s="20"/>
      <c r="D1429" s="18"/>
      <c r="H1429" s="12" t="str">
        <f t="shared" si="73"/>
        <v>0 г. 0 мес. 0 дн.</v>
      </c>
      <c r="V1429" s="12" t="str">
        <f t="shared" si="71"/>
        <v>0 г. 0 мес. 0 дн.</v>
      </c>
      <c r="W1429" s="22"/>
      <c r="X1429" s="72"/>
    </row>
    <row r="1430" spans="1:24" ht="35.1" customHeight="1" x14ac:dyDescent="0.25">
      <c r="A1430" s="12">
        <f t="shared" si="72"/>
        <v>1429</v>
      </c>
      <c r="B1430" s="12"/>
      <c r="C1430" s="20"/>
      <c r="D1430" s="18"/>
      <c r="H1430" s="12" t="str">
        <f t="shared" si="73"/>
        <v>0 г. 0 мес. 0 дн.</v>
      </c>
      <c r="V1430" s="12" t="str">
        <f t="shared" si="71"/>
        <v>0 г. 0 мес. 0 дн.</v>
      </c>
      <c r="W1430" s="22"/>
      <c r="X1430" s="72"/>
    </row>
    <row r="1431" spans="1:24" ht="35.1" customHeight="1" x14ac:dyDescent="0.25">
      <c r="A1431" s="12">
        <f t="shared" si="72"/>
        <v>1430</v>
      </c>
      <c r="B1431" s="12"/>
      <c r="C1431" s="20"/>
      <c r="D1431" s="18"/>
      <c r="H1431" s="12" t="str">
        <f t="shared" si="73"/>
        <v>0 г. 0 мес. 0 дн.</v>
      </c>
      <c r="V1431" s="12" t="str">
        <f t="shared" si="71"/>
        <v>0 г. 0 мес. 0 дн.</v>
      </c>
      <c r="W1431" s="22"/>
      <c r="X1431" s="72"/>
    </row>
    <row r="1432" spans="1:24" ht="35.1" customHeight="1" x14ac:dyDescent="0.25">
      <c r="A1432" s="12">
        <f t="shared" si="72"/>
        <v>1431</v>
      </c>
      <c r="B1432" s="12"/>
      <c r="C1432" s="20"/>
      <c r="D1432" s="18"/>
      <c r="H1432" s="12" t="str">
        <f t="shared" si="73"/>
        <v>0 г. 0 мес. 0 дн.</v>
      </c>
      <c r="V1432" s="12" t="str">
        <f t="shared" ref="V1432:V1495" si="74">DATEDIF(D1432,T1432,"y") &amp; " г. " &amp; DATEDIF(D1432,T1432,"ym") &amp; " мес. " &amp; DATEDIF(D1432,T1432,"md") &amp; " дн."</f>
        <v>0 г. 0 мес. 0 дн.</v>
      </c>
      <c r="W1432" s="22"/>
      <c r="X1432" s="72"/>
    </row>
    <row r="1433" spans="1:24" ht="35.1" customHeight="1" x14ac:dyDescent="0.25">
      <c r="A1433" s="12">
        <f t="shared" si="72"/>
        <v>1432</v>
      </c>
      <c r="B1433" s="12"/>
      <c r="C1433" s="20"/>
      <c r="D1433" s="18"/>
      <c r="H1433" s="12" t="str">
        <f t="shared" si="73"/>
        <v>0 г. 0 мес. 0 дн.</v>
      </c>
      <c r="V1433" s="12" t="str">
        <f t="shared" si="74"/>
        <v>0 г. 0 мес. 0 дн.</v>
      </c>
      <c r="W1433" s="22"/>
      <c r="X1433" s="72"/>
    </row>
    <row r="1434" spans="1:24" ht="35.1" customHeight="1" x14ac:dyDescent="0.25">
      <c r="A1434" s="12">
        <f t="shared" si="72"/>
        <v>1433</v>
      </c>
      <c r="B1434" s="12"/>
      <c r="C1434" s="20"/>
      <c r="D1434" s="18"/>
      <c r="H1434" s="12" t="str">
        <f t="shared" si="73"/>
        <v>0 г. 0 мес. 0 дн.</v>
      </c>
      <c r="V1434" s="12" t="str">
        <f t="shared" si="74"/>
        <v>0 г. 0 мес. 0 дн.</v>
      </c>
      <c r="W1434" s="22"/>
      <c r="X1434" s="72"/>
    </row>
    <row r="1435" spans="1:24" ht="35.1" customHeight="1" x14ac:dyDescent="0.25">
      <c r="A1435" s="12">
        <f t="shared" si="72"/>
        <v>1434</v>
      </c>
      <c r="B1435" s="12"/>
      <c r="C1435" s="20"/>
      <c r="D1435" s="18"/>
      <c r="H1435" s="12" t="str">
        <f t="shared" si="73"/>
        <v>0 г. 0 мес. 0 дн.</v>
      </c>
      <c r="V1435" s="12" t="str">
        <f t="shared" si="74"/>
        <v>0 г. 0 мес. 0 дн.</v>
      </c>
      <c r="W1435" s="22"/>
      <c r="X1435" s="72"/>
    </row>
    <row r="1436" spans="1:24" ht="35.1" customHeight="1" x14ac:dyDescent="0.25">
      <c r="A1436" s="12">
        <f t="shared" si="72"/>
        <v>1435</v>
      </c>
      <c r="B1436" s="12"/>
      <c r="C1436" s="20"/>
      <c r="D1436" s="18"/>
      <c r="H1436" s="12" t="str">
        <f t="shared" si="73"/>
        <v>0 г. 0 мес. 0 дн.</v>
      </c>
      <c r="V1436" s="12" t="str">
        <f t="shared" si="74"/>
        <v>0 г. 0 мес. 0 дн.</v>
      </c>
      <c r="W1436" s="22"/>
      <c r="X1436" s="72"/>
    </row>
    <row r="1437" spans="1:24" ht="35.1" customHeight="1" x14ac:dyDescent="0.25">
      <c r="A1437" s="12">
        <f t="shared" si="72"/>
        <v>1436</v>
      </c>
      <c r="B1437" s="12"/>
      <c r="C1437" s="20"/>
      <c r="D1437" s="18"/>
      <c r="H1437" s="12" t="str">
        <f t="shared" si="73"/>
        <v>0 г. 0 мес. 0 дн.</v>
      </c>
      <c r="V1437" s="12" t="str">
        <f t="shared" si="74"/>
        <v>0 г. 0 мес. 0 дн.</v>
      </c>
      <c r="W1437" s="22"/>
      <c r="X1437" s="72"/>
    </row>
    <row r="1438" spans="1:24" ht="35.1" customHeight="1" x14ac:dyDescent="0.25">
      <c r="A1438" s="12">
        <f t="shared" si="72"/>
        <v>1437</v>
      </c>
      <c r="B1438" s="12"/>
      <c r="C1438" s="20"/>
      <c r="D1438" s="18"/>
      <c r="H1438" s="12" t="str">
        <f t="shared" si="73"/>
        <v>0 г. 0 мес. 0 дн.</v>
      </c>
      <c r="V1438" s="12" t="str">
        <f t="shared" si="74"/>
        <v>0 г. 0 мес. 0 дн.</v>
      </c>
      <c r="W1438" s="22"/>
      <c r="X1438" s="72"/>
    </row>
    <row r="1439" spans="1:24" ht="35.1" customHeight="1" x14ac:dyDescent="0.25">
      <c r="A1439" s="12">
        <f t="shared" si="72"/>
        <v>1438</v>
      </c>
      <c r="B1439" s="12"/>
      <c r="C1439" s="20"/>
      <c r="D1439" s="18"/>
      <c r="H1439" s="12" t="str">
        <f t="shared" si="73"/>
        <v>0 г. 0 мес. 0 дн.</v>
      </c>
      <c r="V1439" s="12" t="str">
        <f t="shared" si="74"/>
        <v>0 г. 0 мес. 0 дн.</v>
      </c>
      <c r="W1439" s="22"/>
      <c r="X1439" s="72"/>
    </row>
    <row r="1440" spans="1:24" ht="35.1" customHeight="1" x14ac:dyDescent="0.25">
      <c r="A1440" s="12">
        <f t="shared" si="72"/>
        <v>1439</v>
      </c>
      <c r="B1440" s="12"/>
      <c r="C1440" s="20"/>
      <c r="D1440" s="18"/>
      <c r="H1440" s="12" t="str">
        <f t="shared" si="73"/>
        <v>0 г. 0 мес. 0 дн.</v>
      </c>
      <c r="V1440" s="12" t="str">
        <f t="shared" si="74"/>
        <v>0 г. 0 мес. 0 дн.</v>
      </c>
      <c r="W1440" s="22"/>
      <c r="X1440" s="72"/>
    </row>
    <row r="1441" spans="1:24" ht="35.1" customHeight="1" x14ac:dyDescent="0.25">
      <c r="A1441" s="12">
        <f t="shared" si="72"/>
        <v>1440</v>
      </c>
      <c r="B1441" s="12"/>
      <c r="C1441" s="20"/>
      <c r="D1441" s="18"/>
      <c r="H1441" s="12" t="str">
        <f t="shared" si="73"/>
        <v>0 г. 0 мес. 0 дн.</v>
      </c>
      <c r="V1441" s="12" t="str">
        <f t="shared" si="74"/>
        <v>0 г. 0 мес. 0 дн.</v>
      </c>
      <c r="W1441" s="22"/>
      <c r="X1441" s="72"/>
    </row>
    <row r="1442" spans="1:24" ht="35.1" customHeight="1" x14ac:dyDescent="0.25">
      <c r="A1442" s="12">
        <f t="shared" si="72"/>
        <v>1441</v>
      </c>
      <c r="B1442" s="12"/>
      <c r="C1442" s="20"/>
      <c r="D1442" s="18"/>
      <c r="H1442" s="12" t="str">
        <f t="shared" si="73"/>
        <v>0 г. 0 мес. 0 дн.</v>
      </c>
      <c r="V1442" s="12" t="str">
        <f t="shared" si="74"/>
        <v>0 г. 0 мес. 0 дн.</v>
      </c>
      <c r="W1442" s="22"/>
      <c r="X1442" s="72"/>
    </row>
    <row r="1443" spans="1:24" ht="35.1" customHeight="1" x14ac:dyDescent="0.25">
      <c r="A1443" s="12">
        <f t="shared" si="72"/>
        <v>1442</v>
      </c>
      <c r="B1443" s="12"/>
      <c r="C1443" s="20"/>
      <c r="D1443" s="18"/>
      <c r="H1443" s="12" t="str">
        <f t="shared" si="73"/>
        <v>0 г. 0 мес. 0 дн.</v>
      </c>
      <c r="V1443" s="12" t="str">
        <f t="shared" si="74"/>
        <v>0 г. 0 мес. 0 дн.</v>
      </c>
      <c r="W1443" s="22"/>
      <c r="X1443" s="72"/>
    </row>
    <row r="1444" spans="1:24" ht="35.1" customHeight="1" x14ac:dyDescent="0.25">
      <c r="A1444" s="12">
        <f t="shared" si="72"/>
        <v>1443</v>
      </c>
      <c r="B1444" s="12"/>
      <c r="C1444" s="20"/>
      <c r="D1444" s="18"/>
      <c r="H1444" s="12" t="str">
        <f t="shared" si="73"/>
        <v>0 г. 0 мес. 0 дн.</v>
      </c>
      <c r="V1444" s="12" t="str">
        <f t="shared" si="74"/>
        <v>0 г. 0 мес. 0 дн.</v>
      </c>
      <c r="W1444" s="22"/>
      <c r="X1444" s="72"/>
    </row>
    <row r="1445" spans="1:24" ht="35.1" customHeight="1" x14ac:dyDescent="0.25">
      <c r="A1445" s="12">
        <f t="shared" si="72"/>
        <v>1444</v>
      </c>
      <c r="B1445" s="12"/>
      <c r="C1445" s="20"/>
      <c r="D1445" s="18"/>
      <c r="H1445" s="12" t="str">
        <f t="shared" si="73"/>
        <v>0 г. 0 мес. 0 дн.</v>
      </c>
      <c r="V1445" s="12" t="str">
        <f t="shared" si="74"/>
        <v>0 г. 0 мес. 0 дн.</v>
      </c>
      <c r="W1445" s="22"/>
      <c r="X1445" s="72"/>
    </row>
    <row r="1446" spans="1:24" ht="35.1" customHeight="1" x14ac:dyDescent="0.25">
      <c r="A1446" s="12">
        <f t="shared" si="72"/>
        <v>1445</v>
      </c>
      <c r="B1446" s="12"/>
      <c r="C1446" s="20"/>
      <c r="D1446" s="18"/>
      <c r="H1446" s="12" t="str">
        <f t="shared" si="73"/>
        <v>0 г. 0 мес. 0 дн.</v>
      </c>
      <c r="V1446" s="12" t="str">
        <f t="shared" si="74"/>
        <v>0 г. 0 мес. 0 дн.</v>
      </c>
      <c r="W1446" s="22"/>
      <c r="X1446" s="72"/>
    </row>
    <row r="1447" spans="1:24" ht="35.1" customHeight="1" x14ac:dyDescent="0.25">
      <c r="A1447" s="12">
        <f t="shared" si="72"/>
        <v>1446</v>
      </c>
      <c r="B1447" s="12"/>
      <c r="C1447" s="20"/>
      <c r="D1447" s="18"/>
      <c r="H1447" s="12" t="str">
        <f t="shared" si="73"/>
        <v>0 г. 0 мес. 0 дн.</v>
      </c>
      <c r="V1447" s="12" t="str">
        <f t="shared" si="74"/>
        <v>0 г. 0 мес. 0 дн.</v>
      </c>
      <c r="W1447" s="22"/>
      <c r="X1447" s="72"/>
    </row>
    <row r="1448" spans="1:24" ht="35.1" customHeight="1" x14ac:dyDescent="0.25">
      <c r="A1448" s="12">
        <f t="shared" si="72"/>
        <v>1447</v>
      </c>
      <c r="B1448" s="12"/>
      <c r="C1448" s="20"/>
      <c r="D1448" s="18"/>
      <c r="H1448" s="12" t="str">
        <f t="shared" si="73"/>
        <v>0 г. 0 мес. 0 дн.</v>
      </c>
      <c r="V1448" s="12" t="str">
        <f t="shared" si="74"/>
        <v>0 г. 0 мес. 0 дн.</v>
      </c>
      <c r="W1448" s="22"/>
      <c r="X1448" s="72"/>
    </row>
    <row r="1449" spans="1:24" ht="35.1" customHeight="1" x14ac:dyDescent="0.25">
      <c r="A1449" s="12">
        <f t="shared" si="72"/>
        <v>1448</v>
      </c>
      <c r="B1449" s="12"/>
      <c r="C1449" s="20"/>
      <c r="D1449" s="18"/>
      <c r="H1449" s="12" t="str">
        <f t="shared" si="73"/>
        <v>0 г. 0 мес. 0 дн.</v>
      </c>
      <c r="V1449" s="12" t="str">
        <f t="shared" si="74"/>
        <v>0 г. 0 мес. 0 дн.</v>
      </c>
      <c r="W1449" s="22"/>
      <c r="X1449" s="72"/>
    </row>
    <row r="1450" spans="1:24" ht="35.1" customHeight="1" x14ac:dyDescent="0.25">
      <c r="A1450" s="12">
        <f t="shared" si="72"/>
        <v>1449</v>
      </c>
      <c r="B1450" s="12"/>
      <c r="C1450" s="20"/>
      <c r="D1450" s="18"/>
      <c r="H1450" s="12" t="str">
        <f t="shared" si="73"/>
        <v>0 г. 0 мес. 0 дн.</v>
      </c>
      <c r="V1450" s="12" t="str">
        <f t="shared" si="74"/>
        <v>0 г. 0 мес. 0 дн.</v>
      </c>
      <c r="W1450" s="22"/>
      <c r="X1450" s="72"/>
    </row>
    <row r="1451" spans="1:24" ht="35.1" customHeight="1" x14ac:dyDescent="0.25">
      <c r="A1451" s="12">
        <f t="shared" si="72"/>
        <v>1450</v>
      </c>
      <c r="B1451" s="12"/>
      <c r="C1451" s="20"/>
      <c r="D1451" s="18"/>
      <c r="H1451" s="12" t="str">
        <f t="shared" si="73"/>
        <v>0 г. 0 мес. 0 дн.</v>
      </c>
      <c r="V1451" s="12" t="str">
        <f t="shared" si="74"/>
        <v>0 г. 0 мес. 0 дн.</v>
      </c>
      <c r="W1451" s="22"/>
      <c r="X1451" s="72"/>
    </row>
    <row r="1452" spans="1:24" ht="35.1" customHeight="1" x14ac:dyDescent="0.25">
      <c r="A1452" s="12">
        <f t="shared" si="72"/>
        <v>1451</v>
      </c>
      <c r="B1452" s="12"/>
      <c r="C1452" s="20"/>
      <c r="D1452" s="18"/>
      <c r="H1452" s="12" t="str">
        <f t="shared" si="73"/>
        <v>0 г. 0 мес. 0 дн.</v>
      </c>
      <c r="V1452" s="12" t="str">
        <f t="shared" si="74"/>
        <v>0 г. 0 мес. 0 дн.</v>
      </c>
      <c r="W1452" s="22"/>
      <c r="X1452" s="72"/>
    </row>
    <row r="1453" spans="1:24" ht="35.1" customHeight="1" x14ac:dyDescent="0.25">
      <c r="A1453" s="12">
        <f t="shared" si="72"/>
        <v>1452</v>
      </c>
      <c r="B1453" s="12"/>
      <c r="C1453" s="20"/>
      <c r="D1453" s="18"/>
      <c r="H1453" s="12" t="str">
        <f t="shared" si="73"/>
        <v>0 г. 0 мес. 0 дн.</v>
      </c>
      <c r="V1453" s="12" t="str">
        <f t="shared" si="74"/>
        <v>0 г. 0 мес. 0 дн.</v>
      </c>
      <c r="W1453" s="22"/>
      <c r="X1453" s="72"/>
    </row>
    <row r="1454" spans="1:24" ht="35.1" customHeight="1" x14ac:dyDescent="0.25">
      <c r="A1454" s="12">
        <f t="shared" si="72"/>
        <v>1453</v>
      </c>
      <c r="B1454" s="12"/>
      <c r="C1454" s="20"/>
      <c r="D1454" s="18"/>
      <c r="H1454" s="12" t="str">
        <f t="shared" si="73"/>
        <v>0 г. 0 мес. 0 дн.</v>
      </c>
      <c r="V1454" s="12" t="str">
        <f t="shared" si="74"/>
        <v>0 г. 0 мес. 0 дн.</v>
      </c>
      <c r="W1454" s="22"/>
      <c r="X1454" s="72"/>
    </row>
    <row r="1455" spans="1:24" ht="35.1" customHeight="1" x14ac:dyDescent="0.25">
      <c r="A1455" s="12">
        <f t="shared" si="72"/>
        <v>1454</v>
      </c>
      <c r="B1455" s="12"/>
      <c r="C1455" s="20"/>
      <c r="D1455" s="18"/>
      <c r="H1455" s="12" t="str">
        <f t="shared" si="73"/>
        <v>0 г. 0 мес. 0 дн.</v>
      </c>
      <c r="V1455" s="12" t="str">
        <f t="shared" si="74"/>
        <v>0 г. 0 мес. 0 дн.</v>
      </c>
      <c r="W1455" s="22"/>
      <c r="X1455" s="72"/>
    </row>
    <row r="1456" spans="1:24" ht="35.1" customHeight="1" x14ac:dyDescent="0.25">
      <c r="A1456" s="12">
        <f t="shared" si="72"/>
        <v>1455</v>
      </c>
      <c r="B1456" s="12"/>
      <c r="C1456" s="20"/>
      <c r="D1456" s="18"/>
      <c r="H1456" s="12" t="str">
        <f t="shared" si="73"/>
        <v>0 г. 0 мес. 0 дн.</v>
      </c>
      <c r="V1456" s="12" t="str">
        <f t="shared" si="74"/>
        <v>0 г. 0 мес. 0 дн.</v>
      </c>
      <c r="W1456" s="22"/>
      <c r="X1456" s="72"/>
    </row>
    <row r="1457" spans="1:24" ht="35.1" customHeight="1" x14ac:dyDescent="0.25">
      <c r="A1457" s="12">
        <f t="shared" si="72"/>
        <v>1456</v>
      </c>
      <c r="B1457" s="12"/>
      <c r="C1457" s="20"/>
      <c r="D1457" s="18"/>
      <c r="H1457" s="12" t="str">
        <f t="shared" si="73"/>
        <v>0 г. 0 мес. 0 дн.</v>
      </c>
      <c r="V1457" s="12" t="str">
        <f t="shared" si="74"/>
        <v>0 г. 0 мес. 0 дн.</v>
      </c>
      <c r="W1457" s="22"/>
      <c r="X1457" s="72"/>
    </row>
    <row r="1458" spans="1:24" ht="35.1" customHeight="1" x14ac:dyDescent="0.25">
      <c r="A1458" s="12">
        <f t="shared" si="72"/>
        <v>1457</v>
      </c>
      <c r="B1458" s="12"/>
      <c r="C1458" s="20"/>
      <c r="D1458" s="18"/>
      <c r="H1458" s="12" t="str">
        <f t="shared" si="73"/>
        <v>0 г. 0 мес. 0 дн.</v>
      </c>
      <c r="V1458" s="12" t="str">
        <f t="shared" si="74"/>
        <v>0 г. 0 мес. 0 дн.</v>
      </c>
      <c r="W1458" s="22"/>
      <c r="X1458" s="72"/>
    </row>
    <row r="1459" spans="1:24" ht="35.1" customHeight="1" x14ac:dyDescent="0.25">
      <c r="A1459" s="12">
        <f t="shared" si="72"/>
        <v>1458</v>
      </c>
      <c r="B1459" s="12"/>
      <c r="C1459" s="20"/>
      <c r="D1459" s="18"/>
      <c r="H1459" s="12" t="str">
        <f t="shared" si="73"/>
        <v>0 г. 0 мес. 0 дн.</v>
      </c>
      <c r="V1459" s="12" t="str">
        <f t="shared" si="74"/>
        <v>0 г. 0 мес. 0 дн.</v>
      </c>
      <c r="W1459" s="22"/>
      <c r="X1459" s="72"/>
    </row>
    <row r="1460" spans="1:24" ht="35.1" customHeight="1" x14ac:dyDescent="0.25">
      <c r="A1460" s="12">
        <f t="shared" si="72"/>
        <v>1459</v>
      </c>
      <c r="B1460" s="12"/>
      <c r="C1460" s="20"/>
      <c r="D1460" s="18"/>
      <c r="H1460" s="12" t="str">
        <f t="shared" si="73"/>
        <v>0 г. 0 мес. 0 дн.</v>
      </c>
      <c r="V1460" s="12" t="str">
        <f t="shared" si="74"/>
        <v>0 г. 0 мес. 0 дн.</v>
      </c>
      <c r="W1460" s="22"/>
      <c r="X1460" s="72"/>
    </row>
    <row r="1461" spans="1:24" ht="35.1" customHeight="1" x14ac:dyDescent="0.25">
      <c r="A1461" s="12">
        <f t="shared" si="72"/>
        <v>1460</v>
      </c>
      <c r="B1461" s="12"/>
      <c r="C1461" s="20"/>
      <c r="D1461" s="18"/>
      <c r="H1461" s="12" t="str">
        <f t="shared" si="73"/>
        <v>0 г. 0 мес. 0 дн.</v>
      </c>
      <c r="V1461" s="12" t="str">
        <f t="shared" si="74"/>
        <v>0 г. 0 мес. 0 дн.</v>
      </c>
      <c r="W1461" s="22"/>
      <c r="X1461" s="72"/>
    </row>
    <row r="1462" spans="1:24" ht="35.1" customHeight="1" x14ac:dyDescent="0.25">
      <c r="A1462" s="12">
        <f t="shared" si="72"/>
        <v>1461</v>
      </c>
      <c r="B1462" s="12"/>
      <c r="C1462" s="20"/>
      <c r="D1462" s="18"/>
      <c r="H1462" s="12" t="str">
        <f t="shared" si="73"/>
        <v>0 г. 0 мес. 0 дн.</v>
      </c>
      <c r="V1462" s="12" t="str">
        <f t="shared" si="74"/>
        <v>0 г. 0 мес. 0 дн.</v>
      </c>
      <c r="W1462" s="22"/>
      <c r="X1462" s="72"/>
    </row>
    <row r="1463" spans="1:24" ht="35.1" customHeight="1" x14ac:dyDescent="0.25">
      <c r="A1463" s="12">
        <f t="shared" si="72"/>
        <v>1462</v>
      </c>
      <c r="B1463" s="12"/>
      <c r="C1463" s="20"/>
      <c r="D1463" s="18"/>
      <c r="H1463" s="12" t="str">
        <f t="shared" si="73"/>
        <v>0 г. 0 мес. 0 дн.</v>
      </c>
      <c r="V1463" s="12" t="str">
        <f t="shared" si="74"/>
        <v>0 г. 0 мес. 0 дн.</v>
      </c>
      <c r="W1463" s="22"/>
      <c r="X1463" s="72"/>
    </row>
    <row r="1464" spans="1:24" ht="35.1" customHeight="1" x14ac:dyDescent="0.25">
      <c r="A1464" s="12">
        <f t="shared" si="72"/>
        <v>1463</v>
      </c>
      <c r="B1464" s="12"/>
      <c r="C1464" s="20"/>
      <c r="D1464" s="18"/>
      <c r="H1464" s="12" t="str">
        <f t="shared" si="73"/>
        <v>0 г. 0 мес. 0 дн.</v>
      </c>
      <c r="V1464" s="12" t="str">
        <f t="shared" si="74"/>
        <v>0 г. 0 мес. 0 дн.</v>
      </c>
      <c r="W1464" s="22"/>
      <c r="X1464" s="72"/>
    </row>
    <row r="1465" spans="1:24" ht="35.1" customHeight="1" x14ac:dyDescent="0.25">
      <c r="A1465" s="12">
        <f t="shared" si="72"/>
        <v>1464</v>
      </c>
      <c r="B1465" s="12"/>
      <c r="C1465" s="20"/>
      <c r="D1465" s="18"/>
      <c r="H1465" s="12" t="str">
        <f t="shared" si="73"/>
        <v>0 г. 0 мес. 0 дн.</v>
      </c>
      <c r="V1465" s="12" t="str">
        <f t="shared" si="74"/>
        <v>0 г. 0 мес. 0 дн.</v>
      </c>
      <c r="W1465" s="22"/>
      <c r="X1465" s="72"/>
    </row>
    <row r="1466" spans="1:24" ht="35.1" customHeight="1" x14ac:dyDescent="0.25">
      <c r="A1466" s="12">
        <f t="shared" si="72"/>
        <v>1465</v>
      </c>
      <c r="B1466" s="12"/>
      <c r="C1466" s="20"/>
      <c r="D1466" s="18"/>
      <c r="H1466" s="12" t="str">
        <f t="shared" si="73"/>
        <v>0 г. 0 мес. 0 дн.</v>
      </c>
      <c r="V1466" s="12" t="str">
        <f t="shared" si="74"/>
        <v>0 г. 0 мес. 0 дн.</v>
      </c>
      <c r="W1466" s="22"/>
      <c r="X1466" s="72"/>
    </row>
    <row r="1467" spans="1:24" ht="35.1" customHeight="1" x14ac:dyDescent="0.25">
      <c r="A1467" s="12">
        <f t="shared" si="72"/>
        <v>1466</v>
      </c>
      <c r="B1467" s="12"/>
      <c r="C1467" s="20"/>
      <c r="D1467" s="18"/>
      <c r="H1467" s="12" t="str">
        <f t="shared" si="73"/>
        <v>0 г. 0 мес. 0 дн.</v>
      </c>
      <c r="V1467" s="12" t="str">
        <f t="shared" si="74"/>
        <v>0 г. 0 мес. 0 дн.</v>
      </c>
      <c r="W1467" s="22"/>
      <c r="X1467" s="72"/>
    </row>
    <row r="1468" spans="1:24" ht="35.1" customHeight="1" x14ac:dyDescent="0.25">
      <c r="A1468" s="12">
        <f t="shared" si="72"/>
        <v>1467</v>
      </c>
      <c r="B1468" s="12"/>
      <c r="C1468" s="20"/>
      <c r="D1468" s="18"/>
      <c r="H1468" s="12" t="str">
        <f t="shared" si="73"/>
        <v>0 г. 0 мес. 0 дн.</v>
      </c>
      <c r="V1468" s="12" t="str">
        <f t="shared" si="74"/>
        <v>0 г. 0 мес. 0 дн.</v>
      </c>
      <c r="W1468" s="22"/>
      <c r="X1468" s="72"/>
    </row>
    <row r="1469" spans="1:24" ht="35.1" customHeight="1" x14ac:dyDescent="0.25">
      <c r="A1469" s="12">
        <f t="shared" si="72"/>
        <v>1468</v>
      </c>
      <c r="B1469" s="12"/>
      <c r="C1469" s="20"/>
      <c r="D1469" s="18"/>
      <c r="H1469" s="12" t="str">
        <f t="shared" si="73"/>
        <v>0 г. 0 мес. 0 дн.</v>
      </c>
      <c r="V1469" s="12" t="str">
        <f t="shared" si="74"/>
        <v>0 г. 0 мес. 0 дн.</v>
      </c>
      <c r="W1469" s="22"/>
      <c r="X1469" s="72"/>
    </row>
    <row r="1470" spans="1:24" ht="35.1" customHeight="1" x14ac:dyDescent="0.25">
      <c r="A1470" s="12">
        <f t="shared" si="72"/>
        <v>1469</v>
      </c>
      <c r="B1470" s="12"/>
      <c r="C1470" s="20"/>
      <c r="D1470" s="18"/>
      <c r="H1470" s="12" t="str">
        <f t="shared" si="73"/>
        <v>0 г. 0 мес. 0 дн.</v>
      </c>
      <c r="V1470" s="12" t="str">
        <f t="shared" si="74"/>
        <v>0 г. 0 мес. 0 дн.</v>
      </c>
      <c r="W1470" s="22"/>
      <c r="X1470" s="72"/>
    </row>
    <row r="1471" spans="1:24" ht="35.1" customHeight="1" x14ac:dyDescent="0.25">
      <c r="A1471" s="12">
        <f t="shared" si="72"/>
        <v>1470</v>
      </c>
      <c r="B1471" s="12"/>
      <c r="C1471" s="20"/>
      <c r="D1471" s="18"/>
      <c r="H1471" s="12" t="str">
        <f t="shared" si="73"/>
        <v>0 г. 0 мес. 0 дн.</v>
      </c>
      <c r="V1471" s="12" t="str">
        <f t="shared" si="74"/>
        <v>0 г. 0 мес. 0 дн.</v>
      </c>
      <c r="W1471" s="22"/>
      <c r="X1471" s="72"/>
    </row>
    <row r="1472" spans="1:24" ht="35.1" customHeight="1" x14ac:dyDescent="0.25">
      <c r="A1472" s="12">
        <f t="shared" si="72"/>
        <v>1471</v>
      </c>
      <c r="B1472" s="12"/>
      <c r="C1472" s="20"/>
      <c r="D1472" s="18"/>
      <c r="H1472" s="12" t="str">
        <f t="shared" si="73"/>
        <v>0 г. 0 мес. 0 дн.</v>
      </c>
      <c r="V1472" s="12" t="str">
        <f t="shared" si="74"/>
        <v>0 г. 0 мес. 0 дн.</v>
      </c>
      <c r="W1472" s="22"/>
      <c r="X1472" s="72"/>
    </row>
    <row r="1473" spans="1:24" ht="35.1" customHeight="1" x14ac:dyDescent="0.25">
      <c r="A1473" s="12">
        <f t="shared" ref="A1473:A1536" si="75">ROW(A1472)</f>
        <v>1472</v>
      </c>
      <c r="B1473" s="12"/>
      <c r="C1473" s="20"/>
      <c r="D1473" s="18"/>
      <c r="H1473" s="12" t="str">
        <f t="shared" si="73"/>
        <v>0 г. 0 мес. 0 дн.</v>
      </c>
      <c r="V1473" s="12" t="str">
        <f t="shared" si="74"/>
        <v>0 г. 0 мес. 0 дн.</v>
      </c>
      <c r="W1473" s="22"/>
      <c r="X1473" s="72"/>
    </row>
    <row r="1474" spans="1:24" ht="35.1" customHeight="1" x14ac:dyDescent="0.25">
      <c r="A1474" s="12">
        <f t="shared" si="75"/>
        <v>1473</v>
      </c>
      <c r="B1474" s="12"/>
      <c r="C1474" s="20"/>
      <c r="D1474" s="18"/>
      <c r="H1474" s="12" t="str">
        <f t="shared" si="73"/>
        <v>0 г. 0 мес. 0 дн.</v>
      </c>
      <c r="V1474" s="12" t="str">
        <f t="shared" si="74"/>
        <v>0 г. 0 мес. 0 дн.</v>
      </c>
      <c r="W1474" s="22"/>
      <c r="X1474" s="72"/>
    </row>
    <row r="1475" spans="1:24" ht="35.1" customHeight="1" x14ac:dyDescent="0.25">
      <c r="A1475" s="12">
        <f t="shared" si="75"/>
        <v>1474</v>
      </c>
      <c r="B1475" s="12"/>
      <c r="C1475" s="20"/>
      <c r="D1475" s="18"/>
      <c r="H1475" s="12" t="str">
        <f t="shared" si="73"/>
        <v>0 г. 0 мес. 0 дн.</v>
      </c>
      <c r="V1475" s="12" t="str">
        <f t="shared" si="74"/>
        <v>0 г. 0 мес. 0 дн.</v>
      </c>
      <c r="W1475" s="22"/>
      <c r="X1475" s="72"/>
    </row>
    <row r="1476" spans="1:24" ht="35.1" customHeight="1" x14ac:dyDescent="0.25">
      <c r="A1476" s="12">
        <f t="shared" si="75"/>
        <v>1475</v>
      </c>
      <c r="B1476" s="12"/>
      <c r="C1476" s="20"/>
      <c r="D1476" s="18"/>
      <c r="H1476" s="12" t="str">
        <f t="shared" si="73"/>
        <v>0 г. 0 мес. 0 дн.</v>
      </c>
      <c r="V1476" s="12" t="str">
        <f t="shared" si="74"/>
        <v>0 г. 0 мес. 0 дн.</v>
      </c>
      <c r="W1476" s="22"/>
      <c r="X1476" s="72"/>
    </row>
    <row r="1477" spans="1:24" ht="35.1" customHeight="1" x14ac:dyDescent="0.25">
      <c r="A1477" s="12">
        <f t="shared" si="75"/>
        <v>1476</v>
      </c>
      <c r="B1477" s="12"/>
      <c r="C1477" s="20"/>
      <c r="D1477" s="18"/>
      <c r="H1477" s="12" t="str">
        <f t="shared" si="73"/>
        <v>0 г. 0 мес. 0 дн.</v>
      </c>
      <c r="V1477" s="12" t="str">
        <f t="shared" si="74"/>
        <v>0 г. 0 мес. 0 дн.</v>
      </c>
      <c r="W1477" s="22"/>
      <c r="X1477" s="72"/>
    </row>
    <row r="1478" spans="1:24" ht="35.1" customHeight="1" x14ac:dyDescent="0.25">
      <c r="A1478" s="12">
        <f t="shared" si="75"/>
        <v>1477</v>
      </c>
      <c r="B1478" s="12"/>
      <c r="C1478" s="20"/>
      <c r="D1478" s="18"/>
      <c r="H1478" s="12" t="str">
        <f t="shared" ref="H1478:H1541" si="76">DATEDIF(G1478,D1478,"y") &amp; " г. " &amp; DATEDIF(G1478,D1478,"ym") &amp; " мес. " &amp; DATEDIF(G1478,D1478,"md") &amp; " дн."</f>
        <v>0 г. 0 мес. 0 дн.</v>
      </c>
      <c r="V1478" s="12" t="str">
        <f t="shared" si="74"/>
        <v>0 г. 0 мес. 0 дн.</v>
      </c>
      <c r="W1478" s="22"/>
      <c r="X1478" s="72"/>
    </row>
    <row r="1479" spans="1:24" ht="35.1" customHeight="1" x14ac:dyDescent="0.25">
      <c r="A1479" s="12">
        <f t="shared" si="75"/>
        <v>1478</v>
      </c>
      <c r="B1479" s="12"/>
      <c r="C1479" s="20"/>
      <c r="D1479" s="18"/>
      <c r="H1479" s="12" t="str">
        <f t="shared" si="76"/>
        <v>0 г. 0 мес. 0 дн.</v>
      </c>
      <c r="V1479" s="12" t="str">
        <f t="shared" si="74"/>
        <v>0 г. 0 мес. 0 дн.</v>
      </c>
      <c r="W1479" s="22"/>
      <c r="X1479" s="72"/>
    </row>
    <row r="1480" spans="1:24" ht="35.1" customHeight="1" x14ac:dyDescent="0.25">
      <c r="A1480" s="12">
        <f t="shared" si="75"/>
        <v>1479</v>
      </c>
      <c r="B1480" s="12"/>
      <c r="C1480" s="20"/>
      <c r="D1480" s="18"/>
      <c r="H1480" s="12" t="str">
        <f t="shared" si="76"/>
        <v>0 г. 0 мес. 0 дн.</v>
      </c>
      <c r="V1480" s="12" t="str">
        <f t="shared" si="74"/>
        <v>0 г. 0 мес. 0 дн.</v>
      </c>
      <c r="W1480" s="22"/>
      <c r="X1480" s="72"/>
    </row>
    <row r="1481" spans="1:24" ht="35.1" customHeight="1" x14ac:dyDescent="0.25">
      <c r="A1481" s="12">
        <f t="shared" si="75"/>
        <v>1480</v>
      </c>
      <c r="B1481" s="12"/>
      <c r="C1481" s="20"/>
      <c r="D1481" s="18"/>
      <c r="H1481" s="12" t="str">
        <f t="shared" si="76"/>
        <v>0 г. 0 мес. 0 дн.</v>
      </c>
      <c r="V1481" s="12" t="str">
        <f t="shared" si="74"/>
        <v>0 г. 0 мес. 0 дн.</v>
      </c>
      <c r="W1481" s="22"/>
      <c r="X1481" s="72"/>
    </row>
    <row r="1482" spans="1:24" ht="35.1" customHeight="1" x14ac:dyDescent="0.25">
      <c r="A1482" s="12">
        <f t="shared" si="75"/>
        <v>1481</v>
      </c>
      <c r="B1482" s="12"/>
      <c r="C1482" s="20"/>
      <c r="D1482" s="18"/>
      <c r="H1482" s="12" t="str">
        <f t="shared" si="76"/>
        <v>0 г. 0 мес. 0 дн.</v>
      </c>
      <c r="V1482" s="12" t="str">
        <f t="shared" si="74"/>
        <v>0 г. 0 мес. 0 дн.</v>
      </c>
      <c r="W1482" s="22"/>
      <c r="X1482" s="72"/>
    </row>
    <row r="1483" spans="1:24" ht="35.1" customHeight="1" x14ac:dyDescent="0.25">
      <c r="A1483" s="12">
        <f t="shared" si="75"/>
        <v>1482</v>
      </c>
      <c r="B1483" s="12"/>
      <c r="C1483" s="20"/>
      <c r="D1483" s="18"/>
      <c r="H1483" s="12" t="str">
        <f t="shared" si="76"/>
        <v>0 г. 0 мес. 0 дн.</v>
      </c>
      <c r="V1483" s="12" t="str">
        <f t="shared" si="74"/>
        <v>0 г. 0 мес. 0 дн.</v>
      </c>
      <c r="W1483" s="22"/>
      <c r="X1483" s="72"/>
    </row>
    <row r="1484" spans="1:24" ht="35.1" customHeight="1" x14ac:dyDescent="0.25">
      <c r="A1484" s="12">
        <f t="shared" si="75"/>
        <v>1483</v>
      </c>
      <c r="B1484" s="12"/>
      <c r="C1484" s="20"/>
      <c r="D1484" s="18"/>
      <c r="H1484" s="12" t="str">
        <f t="shared" si="76"/>
        <v>0 г. 0 мес. 0 дн.</v>
      </c>
      <c r="V1484" s="12" t="str">
        <f t="shared" si="74"/>
        <v>0 г. 0 мес. 0 дн.</v>
      </c>
      <c r="W1484" s="22"/>
      <c r="X1484" s="72"/>
    </row>
    <row r="1485" spans="1:24" ht="35.1" customHeight="1" x14ac:dyDescent="0.25">
      <c r="A1485" s="12">
        <f t="shared" si="75"/>
        <v>1484</v>
      </c>
      <c r="B1485" s="12"/>
      <c r="C1485" s="20"/>
      <c r="D1485" s="18"/>
      <c r="H1485" s="12" t="str">
        <f t="shared" si="76"/>
        <v>0 г. 0 мес. 0 дн.</v>
      </c>
      <c r="V1485" s="12" t="str">
        <f t="shared" si="74"/>
        <v>0 г. 0 мес. 0 дн.</v>
      </c>
      <c r="W1485" s="22"/>
      <c r="X1485" s="72"/>
    </row>
    <row r="1486" spans="1:24" ht="35.1" customHeight="1" x14ac:dyDescent="0.25">
      <c r="A1486" s="12">
        <f t="shared" si="75"/>
        <v>1485</v>
      </c>
      <c r="B1486" s="12"/>
      <c r="C1486" s="20"/>
      <c r="D1486" s="18"/>
      <c r="H1486" s="12" t="str">
        <f t="shared" si="76"/>
        <v>0 г. 0 мес. 0 дн.</v>
      </c>
      <c r="V1486" s="12" t="str">
        <f t="shared" si="74"/>
        <v>0 г. 0 мес. 0 дн.</v>
      </c>
      <c r="W1486" s="22"/>
      <c r="X1486" s="72"/>
    </row>
    <row r="1487" spans="1:24" ht="35.1" customHeight="1" x14ac:dyDescent="0.25">
      <c r="A1487" s="12">
        <f t="shared" si="75"/>
        <v>1486</v>
      </c>
      <c r="B1487" s="12"/>
      <c r="C1487" s="20"/>
      <c r="D1487" s="18"/>
      <c r="H1487" s="12" t="str">
        <f t="shared" si="76"/>
        <v>0 г. 0 мес. 0 дн.</v>
      </c>
      <c r="V1487" s="12" t="str">
        <f t="shared" si="74"/>
        <v>0 г. 0 мес. 0 дн.</v>
      </c>
      <c r="W1487" s="22"/>
      <c r="X1487" s="72"/>
    </row>
    <row r="1488" spans="1:24" ht="35.1" customHeight="1" x14ac:dyDescent="0.25">
      <c r="A1488" s="12">
        <f t="shared" si="75"/>
        <v>1487</v>
      </c>
      <c r="B1488" s="12"/>
      <c r="C1488" s="20"/>
      <c r="D1488" s="18"/>
      <c r="H1488" s="12" t="str">
        <f t="shared" si="76"/>
        <v>0 г. 0 мес. 0 дн.</v>
      </c>
      <c r="V1488" s="12" t="str">
        <f t="shared" si="74"/>
        <v>0 г. 0 мес. 0 дн.</v>
      </c>
      <c r="W1488" s="22"/>
      <c r="X1488" s="72"/>
    </row>
    <row r="1489" spans="1:24" ht="35.1" customHeight="1" x14ac:dyDescent="0.25">
      <c r="A1489" s="12">
        <f t="shared" si="75"/>
        <v>1488</v>
      </c>
      <c r="B1489" s="12"/>
      <c r="C1489" s="20"/>
      <c r="D1489" s="18"/>
      <c r="H1489" s="12" t="str">
        <f t="shared" si="76"/>
        <v>0 г. 0 мес. 0 дн.</v>
      </c>
      <c r="V1489" s="12" t="str">
        <f t="shared" si="74"/>
        <v>0 г. 0 мес. 0 дн.</v>
      </c>
      <c r="W1489" s="22"/>
      <c r="X1489" s="72"/>
    </row>
    <row r="1490" spans="1:24" ht="35.1" customHeight="1" x14ac:dyDescent="0.25">
      <c r="A1490" s="12">
        <f t="shared" si="75"/>
        <v>1489</v>
      </c>
      <c r="B1490" s="12"/>
      <c r="C1490" s="20"/>
      <c r="D1490" s="18"/>
      <c r="H1490" s="12" t="str">
        <f t="shared" si="76"/>
        <v>0 г. 0 мес. 0 дн.</v>
      </c>
      <c r="V1490" s="12" t="str">
        <f t="shared" si="74"/>
        <v>0 г. 0 мес. 0 дн.</v>
      </c>
      <c r="W1490" s="22"/>
      <c r="X1490" s="72"/>
    </row>
    <row r="1491" spans="1:24" ht="35.1" customHeight="1" x14ac:dyDescent="0.25">
      <c r="A1491" s="12">
        <f t="shared" si="75"/>
        <v>1490</v>
      </c>
      <c r="B1491" s="12"/>
      <c r="C1491" s="20"/>
      <c r="D1491" s="18"/>
      <c r="H1491" s="12" t="str">
        <f t="shared" si="76"/>
        <v>0 г. 0 мес. 0 дн.</v>
      </c>
      <c r="V1491" s="12" t="str">
        <f t="shared" si="74"/>
        <v>0 г. 0 мес. 0 дн.</v>
      </c>
      <c r="W1491" s="22"/>
      <c r="X1491" s="72"/>
    </row>
    <row r="1492" spans="1:24" ht="35.1" customHeight="1" x14ac:dyDescent="0.25">
      <c r="A1492" s="12">
        <f t="shared" si="75"/>
        <v>1491</v>
      </c>
      <c r="B1492" s="12"/>
      <c r="C1492" s="20"/>
      <c r="D1492" s="18"/>
      <c r="H1492" s="12" t="str">
        <f t="shared" si="76"/>
        <v>0 г. 0 мес. 0 дн.</v>
      </c>
      <c r="V1492" s="12" t="str">
        <f t="shared" si="74"/>
        <v>0 г. 0 мес. 0 дн.</v>
      </c>
      <c r="W1492" s="22"/>
      <c r="X1492" s="72"/>
    </row>
    <row r="1493" spans="1:24" ht="35.1" customHeight="1" x14ac:dyDescent="0.25">
      <c r="A1493" s="12">
        <f t="shared" si="75"/>
        <v>1492</v>
      </c>
      <c r="B1493" s="12"/>
      <c r="C1493" s="20"/>
      <c r="D1493" s="18"/>
      <c r="H1493" s="12" t="str">
        <f t="shared" si="76"/>
        <v>0 г. 0 мес. 0 дн.</v>
      </c>
      <c r="V1493" s="12" t="str">
        <f t="shared" si="74"/>
        <v>0 г. 0 мес. 0 дн.</v>
      </c>
      <c r="W1493" s="22"/>
      <c r="X1493" s="72"/>
    </row>
    <row r="1494" spans="1:24" ht="35.1" customHeight="1" x14ac:dyDescent="0.25">
      <c r="A1494" s="12">
        <f t="shared" si="75"/>
        <v>1493</v>
      </c>
      <c r="B1494" s="12"/>
      <c r="C1494" s="20"/>
      <c r="D1494" s="18"/>
      <c r="H1494" s="12" t="str">
        <f t="shared" si="76"/>
        <v>0 г. 0 мес. 0 дн.</v>
      </c>
      <c r="V1494" s="12" t="str">
        <f t="shared" si="74"/>
        <v>0 г. 0 мес. 0 дн.</v>
      </c>
      <c r="W1494" s="22"/>
      <c r="X1494" s="72"/>
    </row>
    <row r="1495" spans="1:24" ht="35.1" customHeight="1" x14ac:dyDescent="0.25">
      <c r="A1495" s="12">
        <f t="shared" si="75"/>
        <v>1494</v>
      </c>
      <c r="B1495" s="12"/>
      <c r="C1495" s="20"/>
      <c r="D1495" s="18"/>
      <c r="H1495" s="12" t="str">
        <f t="shared" si="76"/>
        <v>0 г. 0 мес. 0 дн.</v>
      </c>
      <c r="V1495" s="12" t="str">
        <f t="shared" si="74"/>
        <v>0 г. 0 мес. 0 дн.</v>
      </c>
      <c r="W1495" s="22"/>
      <c r="X1495" s="72"/>
    </row>
    <row r="1496" spans="1:24" ht="35.1" customHeight="1" x14ac:dyDescent="0.25">
      <c r="A1496" s="12">
        <f t="shared" si="75"/>
        <v>1495</v>
      </c>
      <c r="B1496" s="12"/>
      <c r="C1496" s="20"/>
      <c r="D1496" s="18"/>
      <c r="H1496" s="12" t="str">
        <f t="shared" si="76"/>
        <v>0 г. 0 мес. 0 дн.</v>
      </c>
      <c r="V1496" s="12" t="str">
        <f t="shared" ref="V1496:V1559" si="77">DATEDIF(D1496,T1496,"y") &amp; " г. " &amp; DATEDIF(D1496,T1496,"ym") &amp; " мес. " &amp; DATEDIF(D1496,T1496,"md") &amp; " дн."</f>
        <v>0 г. 0 мес. 0 дн.</v>
      </c>
      <c r="W1496" s="22"/>
      <c r="X1496" s="72"/>
    </row>
    <row r="1497" spans="1:24" ht="35.1" customHeight="1" x14ac:dyDescent="0.25">
      <c r="A1497" s="12">
        <f t="shared" si="75"/>
        <v>1496</v>
      </c>
      <c r="B1497" s="12"/>
      <c r="C1497" s="20"/>
      <c r="D1497" s="18"/>
      <c r="H1497" s="12" t="str">
        <f t="shared" si="76"/>
        <v>0 г. 0 мес. 0 дн.</v>
      </c>
      <c r="V1497" s="12" t="str">
        <f t="shared" si="77"/>
        <v>0 г. 0 мес. 0 дн.</v>
      </c>
      <c r="W1497" s="22"/>
      <c r="X1497" s="72"/>
    </row>
    <row r="1498" spans="1:24" ht="35.1" customHeight="1" x14ac:dyDescent="0.25">
      <c r="A1498" s="12">
        <f t="shared" si="75"/>
        <v>1497</v>
      </c>
      <c r="B1498" s="12"/>
      <c r="C1498" s="20"/>
      <c r="D1498" s="18"/>
      <c r="H1498" s="12" t="str">
        <f t="shared" si="76"/>
        <v>0 г. 0 мес. 0 дн.</v>
      </c>
      <c r="V1498" s="12" t="str">
        <f t="shared" si="77"/>
        <v>0 г. 0 мес. 0 дн.</v>
      </c>
      <c r="W1498" s="22"/>
      <c r="X1498" s="72"/>
    </row>
    <row r="1499" spans="1:24" ht="35.1" customHeight="1" x14ac:dyDescent="0.25">
      <c r="A1499" s="12">
        <f t="shared" si="75"/>
        <v>1498</v>
      </c>
      <c r="B1499" s="12"/>
      <c r="C1499" s="20"/>
      <c r="D1499" s="18"/>
      <c r="H1499" s="12" t="str">
        <f t="shared" si="76"/>
        <v>0 г. 0 мес. 0 дн.</v>
      </c>
      <c r="V1499" s="12" t="str">
        <f t="shared" si="77"/>
        <v>0 г. 0 мес. 0 дн.</v>
      </c>
      <c r="W1499" s="22"/>
      <c r="X1499" s="72"/>
    </row>
    <row r="1500" spans="1:24" ht="35.1" customHeight="1" x14ac:dyDescent="0.25">
      <c r="A1500" s="12">
        <f t="shared" si="75"/>
        <v>1499</v>
      </c>
      <c r="B1500" s="12"/>
      <c r="C1500" s="20"/>
      <c r="D1500" s="18"/>
      <c r="H1500" s="12" t="str">
        <f t="shared" si="76"/>
        <v>0 г. 0 мес. 0 дн.</v>
      </c>
      <c r="V1500" s="12" t="str">
        <f t="shared" si="77"/>
        <v>0 г. 0 мес. 0 дн.</v>
      </c>
      <c r="W1500" s="22"/>
      <c r="X1500" s="72"/>
    </row>
    <row r="1501" spans="1:24" ht="35.1" customHeight="1" x14ac:dyDescent="0.25">
      <c r="A1501" s="12">
        <f t="shared" si="75"/>
        <v>1500</v>
      </c>
      <c r="B1501" s="12"/>
      <c r="C1501" s="20"/>
      <c r="D1501" s="18"/>
      <c r="H1501" s="12" t="str">
        <f t="shared" si="76"/>
        <v>0 г. 0 мес. 0 дн.</v>
      </c>
      <c r="V1501" s="12" t="str">
        <f t="shared" si="77"/>
        <v>0 г. 0 мес. 0 дн.</v>
      </c>
      <c r="W1501" s="22"/>
      <c r="X1501" s="72"/>
    </row>
    <row r="1502" spans="1:24" ht="35.1" customHeight="1" x14ac:dyDescent="0.25">
      <c r="A1502" s="12">
        <f t="shared" si="75"/>
        <v>1501</v>
      </c>
      <c r="B1502" s="12"/>
      <c r="C1502" s="20"/>
      <c r="D1502" s="18"/>
      <c r="H1502" s="12" t="str">
        <f t="shared" si="76"/>
        <v>0 г. 0 мес. 0 дн.</v>
      </c>
      <c r="V1502" s="12" t="str">
        <f t="shared" si="77"/>
        <v>0 г. 0 мес. 0 дн.</v>
      </c>
      <c r="W1502" s="22"/>
      <c r="X1502" s="72"/>
    </row>
    <row r="1503" spans="1:24" ht="35.1" customHeight="1" x14ac:dyDescent="0.25">
      <c r="A1503" s="12">
        <f t="shared" si="75"/>
        <v>1502</v>
      </c>
      <c r="B1503" s="12"/>
      <c r="C1503" s="20"/>
      <c r="D1503" s="18"/>
      <c r="H1503" s="12" t="str">
        <f t="shared" si="76"/>
        <v>0 г. 0 мес. 0 дн.</v>
      </c>
      <c r="V1503" s="12" t="str">
        <f t="shared" si="77"/>
        <v>0 г. 0 мес. 0 дн.</v>
      </c>
      <c r="W1503" s="22"/>
      <c r="X1503" s="72"/>
    </row>
    <row r="1504" spans="1:24" ht="35.1" customHeight="1" x14ac:dyDescent="0.25">
      <c r="A1504" s="12">
        <f t="shared" si="75"/>
        <v>1503</v>
      </c>
      <c r="B1504" s="12"/>
      <c r="C1504" s="20"/>
      <c r="D1504" s="18"/>
      <c r="H1504" s="12" t="str">
        <f t="shared" si="76"/>
        <v>0 г. 0 мес. 0 дн.</v>
      </c>
      <c r="V1504" s="12" t="str">
        <f t="shared" si="77"/>
        <v>0 г. 0 мес. 0 дн.</v>
      </c>
      <c r="W1504" s="22"/>
      <c r="X1504" s="72"/>
    </row>
    <row r="1505" spans="1:24" ht="35.1" customHeight="1" x14ac:dyDescent="0.25">
      <c r="A1505" s="12">
        <f t="shared" si="75"/>
        <v>1504</v>
      </c>
      <c r="B1505" s="12"/>
      <c r="C1505" s="20"/>
      <c r="D1505" s="18"/>
      <c r="H1505" s="12" t="str">
        <f t="shared" si="76"/>
        <v>0 г. 0 мес. 0 дн.</v>
      </c>
      <c r="V1505" s="12" t="str">
        <f t="shared" si="77"/>
        <v>0 г. 0 мес. 0 дн.</v>
      </c>
      <c r="W1505" s="22"/>
      <c r="X1505" s="72"/>
    </row>
    <row r="1506" spans="1:24" ht="35.1" customHeight="1" x14ac:dyDescent="0.25">
      <c r="A1506" s="12">
        <f t="shared" si="75"/>
        <v>1505</v>
      </c>
      <c r="B1506" s="12"/>
      <c r="C1506" s="20"/>
      <c r="D1506" s="18"/>
      <c r="H1506" s="12" t="str">
        <f t="shared" si="76"/>
        <v>0 г. 0 мес. 0 дн.</v>
      </c>
      <c r="V1506" s="12" t="str">
        <f t="shared" si="77"/>
        <v>0 г. 0 мес. 0 дн.</v>
      </c>
      <c r="W1506" s="22"/>
      <c r="X1506" s="72"/>
    </row>
    <row r="1507" spans="1:24" ht="35.1" customHeight="1" x14ac:dyDescent="0.25">
      <c r="A1507" s="12">
        <f t="shared" si="75"/>
        <v>1506</v>
      </c>
      <c r="B1507" s="12"/>
      <c r="C1507" s="20"/>
      <c r="D1507" s="18"/>
      <c r="H1507" s="12" t="str">
        <f t="shared" si="76"/>
        <v>0 г. 0 мес. 0 дн.</v>
      </c>
      <c r="V1507" s="12" t="str">
        <f t="shared" si="77"/>
        <v>0 г. 0 мес. 0 дн.</v>
      </c>
      <c r="W1507" s="22"/>
      <c r="X1507" s="72"/>
    </row>
    <row r="1508" spans="1:24" ht="35.1" customHeight="1" x14ac:dyDescent="0.25">
      <c r="A1508" s="12">
        <f t="shared" si="75"/>
        <v>1507</v>
      </c>
      <c r="B1508" s="12"/>
      <c r="C1508" s="20"/>
      <c r="D1508" s="18"/>
      <c r="H1508" s="12" t="str">
        <f t="shared" si="76"/>
        <v>0 г. 0 мес. 0 дн.</v>
      </c>
      <c r="V1508" s="12" t="str">
        <f t="shared" si="77"/>
        <v>0 г. 0 мес. 0 дн.</v>
      </c>
      <c r="W1508" s="22"/>
      <c r="X1508" s="72"/>
    </row>
    <row r="1509" spans="1:24" ht="35.1" customHeight="1" x14ac:dyDescent="0.25">
      <c r="A1509" s="12">
        <f t="shared" si="75"/>
        <v>1508</v>
      </c>
      <c r="B1509" s="12"/>
      <c r="C1509" s="20"/>
      <c r="D1509" s="18"/>
      <c r="H1509" s="12" t="str">
        <f t="shared" si="76"/>
        <v>0 г. 0 мес. 0 дн.</v>
      </c>
      <c r="V1509" s="12" t="str">
        <f t="shared" si="77"/>
        <v>0 г. 0 мес. 0 дн.</v>
      </c>
      <c r="W1509" s="22"/>
      <c r="X1509" s="72"/>
    </row>
    <row r="1510" spans="1:24" ht="35.1" customHeight="1" x14ac:dyDescent="0.25">
      <c r="A1510" s="12">
        <f t="shared" si="75"/>
        <v>1509</v>
      </c>
      <c r="B1510" s="12"/>
      <c r="C1510" s="20"/>
      <c r="D1510" s="18"/>
      <c r="H1510" s="12" t="str">
        <f t="shared" si="76"/>
        <v>0 г. 0 мес. 0 дн.</v>
      </c>
      <c r="V1510" s="12" t="str">
        <f t="shared" si="77"/>
        <v>0 г. 0 мес. 0 дн.</v>
      </c>
      <c r="W1510" s="22"/>
      <c r="X1510" s="72"/>
    </row>
    <row r="1511" spans="1:24" ht="35.1" customHeight="1" x14ac:dyDescent="0.25">
      <c r="A1511" s="12">
        <f t="shared" si="75"/>
        <v>1510</v>
      </c>
      <c r="B1511" s="12"/>
      <c r="C1511" s="20"/>
      <c r="D1511" s="18"/>
      <c r="H1511" s="12" t="str">
        <f t="shared" si="76"/>
        <v>0 г. 0 мес. 0 дн.</v>
      </c>
      <c r="V1511" s="12" t="str">
        <f t="shared" si="77"/>
        <v>0 г. 0 мес. 0 дн.</v>
      </c>
      <c r="W1511" s="22"/>
      <c r="X1511" s="72"/>
    </row>
    <row r="1512" spans="1:24" ht="35.1" customHeight="1" x14ac:dyDescent="0.25">
      <c r="A1512" s="12">
        <f t="shared" si="75"/>
        <v>1511</v>
      </c>
      <c r="B1512" s="12"/>
      <c r="C1512" s="20"/>
      <c r="D1512" s="18"/>
      <c r="H1512" s="12" t="str">
        <f t="shared" si="76"/>
        <v>0 г. 0 мес. 0 дн.</v>
      </c>
      <c r="V1512" s="12" t="str">
        <f t="shared" si="77"/>
        <v>0 г. 0 мес. 0 дн.</v>
      </c>
      <c r="W1512" s="22"/>
      <c r="X1512" s="72"/>
    </row>
    <row r="1513" spans="1:24" ht="35.1" customHeight="1" x14ac:dyDescent="0.25">
      <c r="A1513" s="12">
        <f t="shared" si="75"/>
        <v>1512</v>
      </c>
      <c r="B1513" s="12"/>
      <c r="C1513" s="20"/>
      <c r="D1513" s="18"/>
      <c r="H1513" s="12" t="str">
        <f t="shared" si="76"/>
        <v>0 г. 0 мес. 0 дн.</v>
      </c>
      <c r="V1513" s="12" t="str">
        <f t="shared" si="77"/>
        <v>0 г. 0 мес. 0 дн.</v>
      </c>
      <c r="W1513" s="22"/>
      <c r="X1513" s="72"/>
    </row>
    <row r="1514" spans="1:24" ht="35.1" customHeight="1" x14ac:dyDescent="0.25">
      <c r="A1514" s="12">
        <f t="shared" si="75"/>
        <v>1513</v>
      </c>
      <c r="B1514" s="12"/>
      <c r="C1514" s="20"/>
      <c r="D1514" s="18"/>
      <c r="H1514" s="12" t="str">
        <f t="shared" si="76"/>
        <v>0 г. 0 мес. 0 дн.</v>
      </c>
      <c r="V1514" s="12" t="str">
        <f t="shared" si="77"/>
        <v>0 г. 0 мес. 0 дн.</v>
      </c>
      <c r="W1514" s="22"/>
      <c r="X1514" s="72"/>
    </row>
    <row r="1515" spans="1:24" ht="35.1" customHeight="1" x14ac:dyDescent="0.25">
      <c r="A1515" s="12">
        <f t="shared" si="75"/>
        <v>1514</v>
      </c>
      <c r="B1515" s="12"/>
      <c r="C1515" s="20"/>
      <c r="D1515" s="18"/>
      <c r="H1515" s="12" t="str">
        <f t="shared" si="76"/>
        <v>0 г. 0 мес. 0 дн.</v>
      </c>
      <c r="V1515" s="12" t="str">
        <f t="shared" si="77"/>
        <v>0 г. 0 мес. 0 дн.</v>
      </c>
      <c r="W1515" s="22"/>
      <c r="X1515" s="72"/>
    </row>
    <row r="1516" spans="1:24" ht="35.1" customHeight="1" x14ac:dyDescent="0.25">
      <c r="A1516" s="12">
        <f t="shared" si="75"/>
        <v>1515</v>
      </c>
      <c r="B1516" s="12"/>
      <c r="C1516" s="20"/>
      <c r="D1516" s="18"/>
      <c r="H1516" s="12" t="str">
        <f t="shared" si="76"/>
        <v>0 г. 0 мес. 0 дн.</v>
      </c>
      <c r="V1516" s="12" t="str">
        <f t="shared" si="77"/>
        <v>0 г. 0 мес. 0 дн.</v>
      </c>
      <c r="W1516" s="22"/>
      <c r="X1516" s="72"/>
    </row>
    <row r="1517" spans="1:24" ht="35.1" customHeight="1" x14ac:dyDescent="0.25">
      <c r="A1517" s="12">
        <f t="shared" si="75"/>
        <v>1516</v>
      </c>
      <c r="B1517" s="12"/>
      <c r="C1517" s="20"/>
      <c r="D1517" s="18"/>
      <c r="H1517" s="12" t="str">
        <f t="shared" si="76"/>
        <v>0 г. 0 мес. 0 дн.</v>
      </c>
      <c r="V1517" s="12" t="str">
        <f t="shared" si="77"/>
        <v>0 г. 0 мес. 0 дн.</v>
      </c>
      <c r="W1517" s="22"/>
      <c r="X1517" s="72"/>
    </row>
    <row r="1518" spans="1:24" ht="35.1" customHeight="1" x14ac:dyDescent="0.25">
      <c r="A1518" s="12">
        <f t="shared" si="75"/>
        <v>1517</v>
      </c>
      <c r="B1518" s="12"/>
      <c r="C1518" s="20"/>
      <c r="D1518" s="18"/>
      <c r="H1518" s="12" t="str">
        <f t="shared" si="76"/>
        <v>0 г. 0 мес. 0 дн.</v>
      </c>
      <c r="V1518" s="12" t="str">
        <f t="shared" si="77"/>
        <v>0 г. 0 мес. 0 дн.</v>
      </c>
      <c r="W1518" s="22"/>
      <c r="X1518" s="72"/>
    </row>
    <row r="1519" spans="1:24" ht="35.1" customHeight="1" x14ac:dyDescent="0.25">
      <c r="A1519" s="12">
        <f t="shared" si="75"/>
        <v>1518</v>
      </c>
      <c r="B1519" s="12"/>
      <c r="C1519" s="20"/>
      <c r="D1519" s="18"/>
      <c r="H1519" s="12" t="str">
        <f t="shared" si="76"/>
        <v>0 г. 0 мес. 0 дн.</v>
      </c>
      <c r="V1519" s="12" t="str">
        <f t="shared" si="77"/>
        <v>0 г. 0 мес. 0 дн.</v>
      </c>
      <c r="W1519" s="22"/>
      <c r="X1519" s="72"/>
    </row>
    <row r="1520" spans="1:24" ht="35.1" customHeight="1" x14ac:dyDescent="0.25">
      <c r="A1520" s="12">
        <f t="shared" si="75"/>
        <v>1519</v>
      </c>
      <c r="B1520" s="12"/>
      <c r="C1520" s="20"/>
      <c r="D1520" s="18"/>
      <c r="H1520" s="12" t="str">
        <f t="shared" si="76"/>
        <v>0 г. 0 мес. 0 дн.</v>
      </c>
      <c r="V1520" s="12" t="str">
        <f t="shared" si="77"/>
        <v>0 г. 0 мес. 0 дн.</v>
      </c>
      <c r="W1520" s="22"/>
      <c r="X1520" s="72"/>
    </row>
    <row r="1521" spans="1:24" ht="35.1" customHeight="1" x14ac:dyDescent="0.25">
      <c r="A1521" s="12">
        <f t="shared" si="75"/>
        <v>1520</v>
      </c>
      <c r="B1521" s="12"/>
      <c r="C1521" s="20"/>
      <c r="D1521" s="18"/>
      <c r="H1521" s="12" t="str">
        <f t="shared" si="76"/>
        <v>0 г. 0 мес. 0 дн.</v>
      </c>
      <c r="V1521" s="12" t="str">
        <f t="shared" si="77"/>
        <v>0 г. 0 мес. 0 дн.</v>
      </c>
      <c r="W1521" s="22"/>
      <c r="X1521" s="72"/>
    </row>
    <row r="1522" spans="1:24" ht="35.1" customHeight="1" x14ac:dyDescent="0.25">
      <c r="A1522" s="12">
        <f t="shared" si="75"/>
        <v>1521</v>
      </c>
      <c r="B1522" s="12"/>
      <c r="C1522" s="20"/>
      <c r="D1522" s="18"/>
      <c r="H1522" s="12" t="str">
        <f t="shared" si="76"/>
        <v>0 г. 0 мес. 0 дн.</v>
      </c>
      <c r="V1522" s="12" t="str">
        <f t="shared" si="77"/>
        <v>0 г. 0 мес. 0 дн.</v>
      </c>
      <c r="W1522" s="22"/>
      <c r="X1522" s="72"/>
    </row>
    <row r="1523" spans="1:24" ht="35.1" customHeight="1" x14ac:dyDescent="0.25">
      <c r="A1523" s="12">
        <f t="shared" si="75"/>
        <v>1522</v>
      </c>
      <c r="B1523" s="12"/>
      <c r="C1523" s="20"/>
      <c r="D1523" s="18"/>
      <c r="H1523" s="12" t="str">
        <f t="shared" si="76"/>
        <v>0 г. 0 мес. 0 дн.</v>
      </c>
      <c r="V1523" s="12" t="str">
        <f t="shared" si="77"/>
        <v>0 г. 0 мес. 0 дн.</v>
      </c>
      <c r="W1523" s="22"/>
      <c r="X1523" s="72"/>
    </row>
    <row r="1524" spans="1:24" ht="35.1" customHeight="1" x14ac:dyDescent="0.25">
      <c r="A1524" s="12">
        <f t="shared" si="75"/>
        <v>1523</v>
      </c>
      <c r="B1524" s="12"/>
      <c r="C1524" s="20"/>
      <c r="D1524" s="18"/>
      <c r="H1524" s="12" t="str">
        <f t="shared" si="76"/>
        <v>0 г. 0 мес. 0 дн.</v>
      </c>
      <c r="V1524" s="12" t="str">
        <f t="shared" si="77"/>
        <v>0 г. 0 мес. 0 дн.</v>
      </c>
      <c r="W1524" s="22"/>
      <c r="X1524" s="72"/>
    </row>
    <row r="1525" spans="1:24" ht="35.1" customHeight="1" x14ac:dyDescent="0.25">
      <c r="A1525" s="12">
        <f t="shared" si="75"/>
        <v>1524</v>
      </c>
      <c r="B1525" s="12"/>
      <c r="C1525" s="20"/>
      <c r="D1525" s="18"/>
      <c r="H1525" s="12" t="str">
        <f t="shared" si="76"/>
        <v>0 г. 0 мес. 0 дн.</v>
      </c>
      <c r="V1525" s="12" t="str">
        <f t="shared" si="77"/>
        <v>0 г. 0 мес. 0 дн.</v>
      </c>
      <c r="W1525" s="22"/>
      <c r="X1525" s="72"/>
    </row>
    <row r="1526" spans="1:24" ht="35.1" customHeight="1" x14ac:dyDescent="0.25">
      <c r="A1526" s="12">
        <f t="shared" si="75"/>
        <v>1525</v>
      </c>
      <c r="B1526" s="12"/>
      <c r="C1526" s="20"/>
      <c r="D1526" s="18"/>
      <c r="H1526" s="12" t="str">
        <f t="shared" si="76"/>
        <v>0 г. 0 мес. 0 дн.</v>
      </c>
      <c r="V1526" s="12" t="str">
        <f t="shared" si="77"/>
        <v>0 г. 0 мес. 0 дн.</v>
      </c>
      <c r="W1526" s="22"/>
      <c r="X1526" s="72"/>
    </row>
    <row r="1527" spans="1:24" ht="35.1" customHeight="1" x14ac:dyDescent="0.25">
      <c r="A1527" s="12">
        <f t="shared" si="75"/>
        <v>1526</v>
      </c>
      <c r="B1527" s="12"/>
      <c r="C1527" s="20"/>
      <c r="D1527" s="18"/>
      <c r="H1527" s="12" t="str">
        <f t="shared" si="76"/>
        <v>0 г. 0 мес. 0 дн.</v>
      </c>
      <c r="V1527" s="12" t="str">
        <f t="shared" si="77"/>
        <v>0 г. 0 мес. 0 дн.</v>
      </c>
      <c r="W1527" s="22"/>
      <c r="X1527" s="72"/>
    </row>
    <row r="1528" spans="1:24" ht="35.1" customHeight="1" x14ac:dyDescent="0.25">
      <c r="A1528" s="12">
        <f t="shared" si="75"/>
        <v>1527</v>
      </c>
      <c r="B1528" s="12"/>
      <c r="C1528" s="20"/>
      <c r="D1528" s="18"/>
      <c r="H1528" s="12" t="str">
        <f t="shared" si="76"/>
        <v>0 г. 0 мес. 0 дн.</v>
      </c>
      <c r="V1528" s="12" t="str">
        <f t="shared" si="77"/>
        <v>0 г. 0 мес. 0 дн.</v>
      </c>
      <c r="W1528" s="22"/>
      <c r="X1528" s="72"/>
    </row>
    <row r="1529" spans="1:24" ht="35.1" customHeight="1" x14ac:dyDescent="0.25">
      <c r="A1529" s="12">
        <f t="shared" si="75"/>
        <v>1528</v>
      </c>
      <c r="B1529" s="12"/>
      <c r="C1529" s="20"/>
      <c r="D1529" s="18"/>
      <c r="H1529" s="12" t="str">
        <f t="shared" si="76"/>
        <v>0 г. 0 мес. 0 дн.</v>
      </c>
      <c r="V1529" s="12" t="str">
        <f t="shared" si="77"/>
        <v>0 г. 0 мес. 0 дн.</v>
      </c>
      <c r="W1529" s="22"/>
      <c r="X1529" s="72"/>
    </row>
    <row r="1530" spans="1:24" ht="35.1" customHeight="1" x14ac:dyDescent="0.25">
      <c r="A1530" s="12">
        <f t="shared" si="75"/>
        <v>1529</v>
      </c>
      <c r="B1530" s="12"/>
      <c r="C1530" s="20"/>
      <c r="D1530" s="18"/>
      <c r="H1530" s="12" t="str">
        <f t="shared" si="76"/>
        <v>0 г. 0 мес. 0 дн.</v>
      </c>
      <c r="V1530" s="12" t="str">
        <f t="shared" si="77"/>
        <v>0 г. 0 мес. 0 дн.</v>
      </c>
      <c r="W1530" s="22"/>
      <c r="X1530" s="72"/>
    </row>
    <row r="1531" spans="1:24" ht="35.1" customHeight="1" x14ac:dyDescent="0.25">
      <c r="A1531" s="12">
        <f t="shared" si="75"/>
        <v>1530</v>
      </c>
      <c r="B1531" s="12"/>
      <c r="C1531" s="20"/>
      <c r="D1531" s="18"/>
      <c r="H1531" s="12" t="str">
        <f t="shared" si="76"/>
        <v>0 г. 0 мес. 0 дн.</v>
      </c>
      <c r="V1531" s="12" t="str">
        <f t="shared" si="77"/>
        <v>0 г. 0 мес. 0 дн.</v>
      </c>
      <c r="W1531" s="22"/>
      <c r="X1531" s="72"/>
    </row>
    <row r="1532" spans="1:24" ht="35.1" customHeight="1" x14ac:dyDescent="0.25">
      <c r="A1532" s="12">
        <f t="shared" si="75"/>
        <v>1531</v>
      </c>
      <c r="B1532" s="12"/>
      <c r="C1532" s="20"/>
      <c r="D1532" s="18"/>
      <c r="H1532" s="12" t="str">
        <f t="shared" si="76"/>
        <v>0 г. 0 мес. 0 дн.</v>
      </c>
      <c r="V1532" s="12" t="str">
        <f t="shared" si="77"/>
        <v>0 г. 0 мес. 0 дн.</v>
      </c>
      <c r="W1532" s="22"/>
      <c r="X1532" s="72"/>
    </row>
    <row r="1533" spans="1:24" ht="35.1" customHeight="1" x14ac:dyDescent="0.25">
      <c r="A1533" s="12">
        <f t="shared" si="75"/>
        <v>1532</v>
      </c>
      <c r="B1533" s="12"/>
      <c r="C1533" s="20"/>
      <c r="D1533" s="18"/>
      <c r="H1533" s="12" t="str">
        <f t="shared" si="76"/>
        <v>0 г. 0 мес. 0 дн.</v>
      </c>
      <c r="V1533" s="12" t="str">
        <f t="shared" si="77"/>
        <v>0 г. 0 мес. 0 дн.</v>
      </c>
      <c r="W1533" s="22"/>
      <c r="X1533" s="72"/>
    </row>
    <row r="1534" spans="1:24" ht="35.1" customHeight="1" x14ac:dyDescent="0.25">
      <c r="A1534" s="12">
        <f t="shared" si="75"/>
        <v>1533</v>
      </c>
      <c r="B1534" s="12"/>
      <c r="C1534" s="20"/>
      <c r="D1534" s="18"/>
      <c r="H1534" s="12" t="str">
        <f t="shared" si="76"/>
        <v>0 г. 0 мес. 0 дн.</v>
      </c>
      <c r="V1534" s="12" t="str">
        <f t="shared" si="77"/>
        <v>0 г. 0 мес. 0 дн.</v>
      </c>
      <c r="W1534" s="22"/>
      <c r="X1534" s="72"/>
    </row>
    <row r="1535" spans="1:24" ht="35.1" customHeight="1" x14ac:dyDescent="0.25">
      <c r="A1535" s="12">
        <f t="shared" si="75"/>
        <v>1534</v>
      </c>
      <c r="B1535" s="12"/>
      <c r="C1535" s="20"/>
      <c r="D1535" s="18"/>
      <c r="H1535" s="12" t="str">
        <f t="shared" si="76"/>
        <v>0 г. 0 мес. 0 дн.</v>
      </c>
      <c r="V1535" s="12" t="str">
        <f t="shared" si="77"/>
        <v>0 г. 0 мес. 0 дн.</v>
      </c>
      <c r="W1535" s="22"/>
      <c r="X1535" s="72"/>
    </row>
    <row r="1536" spans="1:24" ht="35.1" customHeight="1" x14ac:dyDescent="0.25">
      <c r="A1536" s="12">
        <f t="shared" si="75"/>
        <v>1535</v>
      </c>
      <c r="B1536" s="12"/>
      <c r="C1536" s="20"/>
      <c r="D1536" s="18"/>
      <c r="H1536" s="12" t="str">
        <f t="shared" si="76"/>
        <v>0 г. 0 мес. 0 дн.</v>
      </c>
      <c r="V1536" s="12" t="str">
        <f t="shared" si="77"/>
        <v>0 г. 0 мес. 0 дн.</v>
      </c>
      <c r="W1536" s="22"/>
      <c r="X1536" s="72"/>
    </row>
    <row r="1537" spans="1:24" ht="35.1" customHeight="1" x14ac:dyDescent="0.25">
      <c r="A1537" s="12">
        <f t="shared" ref="A1537:A1600" si="78">ROW(A1536)</f>
        <v>1536</v>
      </c>
      <c r="B1537" s="12"/>
      <c r="C1537" s="20"/>
      <c r="D1537" s="18"/>
      <c r="H1537" s="12" t="str">
        <f t="shared" si="76"/>
        <v>0 г. 0 мес. 0 дн.</v>
      </c>
      <c r="V1537" s="12" t="str">
        <f t="shared" si="77"/>
        <v>0 г. 0 мес. 0 дн.</v>
      </c>
      <c r="W1537" s="22"/>
      <c r="X1537" s="72"/>
    </row>
    <row r="1538" spans="1:24" ht="35.1" customHeight="1" x14ac:dyDescent="0.25">
      <c r="A1538" s="12">
        <f t="shared" si="78"/>
        <v>1537</v>
      </c>
      <c r="B1538" s="12"/>
      <c r="C1538" s="20"/>
      <c r="D1538" s="18"/>
      <c r="H1538" s="12" t="str">
        <f t="shared" si="76"/>
        <v>0 г. 0 мес. 0 дн.</v>
      </c>
      <c r="V1538" s="12" t="str">
        <f t="shared" si="77"/>
        <v>0 г. 0 мес. 0 дн.</v>
      </c>
      <c r="W1538" s="22"/>
      <c r="X1538" s="72"/>
    </row>
    <row r="1539" spans="1:24" ht="35.1" customHeight="1" x14ac:dyDescent="0.25">
      <c r="A1539" s="12">
        <f t="shared" si="78"/>
        <v>1538</v>
      </c>
      <c r="B1539" s="12"/>
      <c r="C1539" s="20"/>
      <c r="D1539" s="18"/>
      <c r="H1539" s="12" t="str">
        <f t="shared" si="76"/>
        <v>0 г. 0 мес. 0 дн.</v>
      </c>
      <c r="V1539" s="12" t="str">
        <f t="shared" si="77"/>
        <v>0 г. 0 мес. 0 дн.</v>
      </c>
      <c r="W1539" s="22"/>
      <c r="X1539" s="72"/>
    </row>
    <row r="1540" spans="1:24" ht="35.1" customHeight="1" x14ac:dyDescent="0.25">
      <c r="A1540" s="12">
        <f t="shared" si="78"/>
        <v>1539</v>
      </c>
      <c r="B1540" s="12"/>
      <c r="C1540" s="20"/>
      <c r="D1540" s="18"/>
      <c r="H1540" s="12" t="str">
        <f t="shared" si="76"/>
        <v>0 г. 0 мес. 0 дн.</v>
      </c>
      <c r="V1540" s="12" t="str">
        <f t="shared" si="77"/>
        <v>0 г. 0 мес. 0 дн.</v>
      </c>
      <c r="W1540" s="22"/>
      <c r="X1540" s="72"/>
    </row>
    <row r="1541" spans="1:24" ht="35.1" customHeight="1" x14ac:dyDescent="0.25">
      <c r="A1541" s="12">
        <f t="shared" si="78"/>
        <v>1540</v>
      </c>
      <c r="B1541" s="12"/>
      <c r="C1541" s="20"/>
      <c r="D1541" s="18"/>
      <c r="H1541" s="12" t="str">
        <f t="shared" si="76"/>
        <v>0 г. 0 мес. 0 дн.</v>
      </c>
      <c r="V1541" s="12" t="str">
        <f t="shared" si="77"/>
        <v>0 г. 0 мес. 0 дн.</v>
      </c>
      <c r="W1541" s="22"/>
      <c r="X1541" s="72"/>
    </row>
    <row r="1542" spans="1:24" ht="35.1" customHeight="1" x14ac:dyDescent="0.25">
      <c r="A1542" s="12">
        <f t="shared" si="78"/>
        <v>1541</v>
      </c>
      <c r="B1542" s="12"/>
      <c r="C1542" s="20"/>
      <c r="D1542" s="18"/>
      <c r="H1542" s="12" t="str">
        <f t="shared" ref="H1542:H1605" si="79">DATEDIF(G1542,D1542,"y") &amp; " г. " &amp; DATEDIF(G1542,D1542,"ym") &amp; " мес. " &amp; DATEDIF(G1542,D1542,"md") &amp; " дн."</f>
        <v>0 г. 0 мес. 0 дн.</v>
      </c>
      <c r="V1542" s="12" t="str">
        <f t="shared" si="77"/>
        <v>0 г. 0 мес. 0 дн.</v>
      </c>
      <c r="W1542" s="22"/>
      <c r="X1542" s="72"/>
    </row>
    <row r="1543" spans="1:24" ht="35.1" customHeight="1" x14ac:dyDescent="0.25">
      <c r="A1543" s="12">
        <f t="shared" si="78"/>
        <v>1542</v>
      </c>
      <c r="B1543" s="12"/>
      <c r="C1543" s="20"/>
      <c r="D1543" s="18"/>
      <c r="H1543" s="12" t="str">
        <f t="shared" si="79"/>
        <v>0 г. 0 мес. 0 дн.</v>
      </c>
      <c r="V1543" s="12" t="str">
        <f t="shared" si="77"/>
        <v>0 г. 0 мес. 0 дн.</v>
      </c>
      <c r="W1543" s="22"/>
      <c r="X1543" s="72"/>
    </row>
    <row r="1544" spans="1:24" ht="35.1" customHeight="1" x14ac:dyDescent="0.25">
      <c r="A1544" s="12">
        <f t="shared" si="78"/>
        <v>1543</v>
      </c>
      <c r="B1544" s="12"/>
      <c r="C1544" s="20"/>
      <c r="D1544" s="18"/>
      <c r="H1544" s="12" t="str">
        <f t="shared" si="79"/>
        <v>0 г. 0 мес. 0 дн.</v>
      </c>
      <c r="V1544" s="12" t="str">
        <f t="shared" si="77"/>
        <v>0 г. 0 мес. 0 дн.</v>
      </c>
      <c r="W1544" s="22"/>
      <c r="X1544" s="72"/>
    </row>
    <row r="1545" spans="1:24" ht="35.1" customHeight="1" x14ac:dyDescent="0.25">
      <c r="A1545" s="12">
        <f t="shared" si="78"/>
        <v>1544</v>
      </c>
      <c r="B1545" s="12"/>
      <c r="C1545" s="20"/>
      <c r="D1545" s="18"/>
      <c r="H1545" s="12" t="str">
        <f t="shared" si="79"/>
        <v>0 г. 0 мес. 0 дн.</v>
      </c>
      <c r="V1545" s="12" t="str">
        <f t="shared" si="77"/>
        <v>0 г. 0 мес. 0 дн.</v>
      </c>
      <c r="W1545" s="22"/>
      <c r="X1545" s="72"/>
    </row>
    <row r="1546" spans="1:24" ht="35.1" customHeight="1" x14ac:dyDescent="0.25">
      <c r="A1546" s="12">
        <f t="shared" si="78"/>
        <v>1545</v>
      </c>
      <c r="B1546" s="12"/>
      <c r="C1546" s="20"/>
      <c r="D1546" s="18"/>
      <c r="H1546" s="12" t="str">
        <f t="shared" si="79"/>
        <v>0 г. 0 мес. 0 дн.</v>
      </c>
      <c r="V1546" s="12" t="str">
        <f t="shared" si="77"/>
        <v>0 г. 0 мес. 0 дн.</v>
      </c>
      <c r="W1546" s="22"/>
      <c r="X1546" s="72"/>
    </row>
    <row r="1547" spans="1:24" ht="35.1" customHeight="1" x14ac:dyDescent="0.25">
      <c r="A1547" s="12">
        <f t="shared" si="78"/>
        <v>1546</v>
      </c>
      <c r="B1547" s="12"/>
      <c r="C1547" s="20"/>
      <c r="D1547" s="18"/>
      <c r="H1547" s="12" t="str">
        <f t="shared" si="79"/>
        <v>0 г. 0 мес. 0 дн.</v>
      </c>
      <c r="V1547" s="12" t="str">
        <f t="shared" si="77"/>
        <v>0 г. 0 мес. 0 дн.</v>
      </c>
      <c r="W1547" s="22"/>
      <c r="X1547" s="72"/>
    </row>
    <row r="1548" spans="1:24" ht="35.1" customHeight="1" x14ac:dyDescent="0.25">
      <c r="A1548" s="12">
        <f t="shared" si="78"/>
        <v>1547</v>
      </c>
      <c r="B1548" s="12"/>
      <c r="C1548" s="20"/>
      <c r="D1548" s="18"/>
      <c r="H1548" s="12" t="str">
        <f t="shared" si="79"/>
        <v>0 г. 0 мес. 0 дн.</v>
      </c>
      <c r="V1548" s="12" t="str">
        <f t="shared" si="77"/>
        <v>0 г. 0 мес. 0 дн.</v>
      </c>
      <c r="W1548" s="22"/>
      <c r="X1548" s="72"/>
    </row>
    <row r="1549" spans="1:24" ht="35.1" customHeight="1" x14ac:dyDescent="0.25">
      <c r="A1549" s="12">
        <f t="shared" si="78"/>
        <v>1548</v>
      </c>
      <c r="B1549" s="12"/>
      <c r="C1549" s="20"/>
      <c r="D1549" s="18"/>
      <c r="H1549" s="12" t="str">
        <f t="shared" si="79"/>
        <v>0 г. 0 мес. 0 дн.</v>
      </c>
      <c r="V1549" s="12" t="str">
        <f t="shared" si="77"/>
        <v>0 г. 0 мес. 0 дн.</v>
      </c>
      <c r="W1549" s="22"/>
      <c r="X1549" s="72"/>
    </row>
    <row r="1550" spans="1:24" ht="35.1" customHeight="1" x14ac:dyDescent="0.25">
      <c r="A1550" s="12">
        <f t="shared" si="78"/>
        <v>1549</v>
      </c>
      <c r="B1550" s="12"/>
      <c r="C1550" s="20"/>
      <c r="D1550" s="18"/>
      <c r="H1550" s="12" t="str">
        <f t="shared" si="79"/>
        <v>0 г. 0 мес. 0 дн.</v>
      </c>
      <c r="V1550" s="12" t="str">
        <f t="shared" si="77"/>
        <v>0 г. 0 мес. 0 дн.</v>
      </c>
      <c r="W1550" s="22"/>
      <c r="X1550" s="72"/>
    </row>
    <row r="1551" spans="1:24" ht="35.1" customHeight="1" x14ac:dyDescent="0.25">
      <c r="A1551" s="12">
        <f t="shared" si="78"/>
        <v>1550</v>
      </c>
      <c r="B1551" s="12"/>
      <c r="C1551" s="20"/>
      <c r="D1551" s="18"/>
      <c r="H1551" s="12" t="str">
        <f t="shared" si="79"/>
        <v>0 г. 0 мес. 0 дн.</v>
      </c>
      <c r="V1551" s="12" t="str">
        <f t="shared" si="77"/>
        <v>0 г. 0 мес. 0 дн.</v>
      </c>
      <c r="W1551" s="22"/>
      <c r="X1551" s="72"/>
    </row>
    <row r="1552" spans="1:24" ht="35.1" customHeight="1" x14ac:dyDescent="0.25">
      <c r="A1552" s="12">
        <f t="shared" si="78"/>
        <v>1551</v>
      </c>
      <c r="B1552" s="12"/>
      <c r="C1552" s="20"/>
      <c r="D1552" s="18"/>
      <c r="H1552" s="12" t="str">
        <f t="shared" si="79"/>
        <v>0 г. 0 мес. 0 дн.</v>
      </c>
      <c r="V1552" s="12" t="str">
        <f t="shared" si="77"/>
        <v>0 г. 0 мес. 0 дн.</v>
      </c>
      <c r="W1552" s="22"/>
      <c r="X1552" s="72"/>
    </row>
    <row r="1553" spans="1:24" ht="35.1" customHeight="1" x14ac:dyDescent="0.25">
      <c r="A1553" s="12">
        <f t="shared" si="78"/>
        <v>1552</v>
      </c>
      <c r="B1553" s="12"/>
      <c r="C1553" s="20"/>
      <c r="D1553" s="18"/>
      <c r="H1553" s="12" t="str">
        <f t="shared" si="79"/>
        <v>0 г. 0 мес. 0 дн.</v>
      </c>
      <c r="V1553" s="12" t="str">
        <f t="shared" si="77"/>
        <v>0 г. 0 мес. 0 дн.</v>
      </c>
      <c r="W1553" s="22"/>
      <c r="X1553" s="72"/>
    </row>
    <row r="1554" spans="1:24" ht="35.1" customHeight="1" x14ac:dyDescent="0.25">
      <c r="A1554" s="12">
        <f t="shared" si="78"/>
        <v>1553</v>
      </c>
      <c r="B1554" s="12"/>
      <c r="C1554" s="20"/>
      <c r="D1554" s="18"/>
      <c r="H1554" s="12" t="str">
        <f t="shared" si="79"/>
        <v>0 г. 0 мес. 0 дн.</v>
      </c>
      <c r="V1554" s="12" t="str">
        <f t="shared" si="77"/>
        <v>0 г. 0 мес. 0 дн.</v>
      </c>
      <c r="W1554" s="22"/>
      <c r="X1554" s="72"/>
    </row>
    <row r="1555" spans="1:24" ht="35.1" customHeight="1" x14ac:dyDescent="0.25">
      <c r="A1555" s="12">
        <f t="shared" si="78"/>
        <v>1554</v>
      </c>
      <c r="B1555" s="12"/>
      <c r="C1555" s="20"/>
      <c r="D1555" s="18"/>
      <c r="H1555" s="12" t="str">
        <f t="shared" si="79"/>
        <v>0 г. 0 мес. 0 дн.</v>
      </c>
      <c r="V1555" s="12" t="str">
        <f t="shared" si="77"/>
        <v>0 г. 0 мес. 0 дн.</v>
      </c>
      <c r="W1555" s="22"/>
      <c r="X1555" s="72"/>
    </row>
    <row r="1556" spans="1:24" ht="35.1" customHeight="1" x14ac:dyDescent="0.25">
      <c r="A1556" s="12">
        <f t="shared" si="78"/>
        <v>1555</v>
      </c>
      <c r="B1556" s="12"/>
      <c r="C1556" s="20"/>
      <c r="D1556" s="18"/>
      <c r="H1556" s="12" t="str">
        <f t="shared" si="79"/>
        <v>0 г. 0 мес. 0 дн.</v>
      </c>
      <c r="V1556" s="12" t="str">
        <f t="shared" si="77"/>
        <v>0 г. 0 мес. 0 дн.</v>
      </c>
      <c r="W1556" s="22"/>
      <c r="X1556" s="72"/>
    </row>
    <row r="1557" spans="1:24" ht="35.1" customHeight="1" x14ac:dyDescent="0.25">
      <c r="A1557" s="12">
        <f t="shared" si="78"/>
        <v>1556</v>
      </c>
      <c r="B1557" s="12"/>
      <c r="C1557" s="20"/>
      <c r="D1557" s="18"/>
      <c r="H1557" s="12" t="str">
        <f t="shared" si="79"/>
        <v>0 г. 0 мес. 0 дн.</v>
      </c>
      <c r="V1557" s="12" t="str">
        <f t="shared" si="77"/>
        <v>0 г. 0 мес. 0 дн.</v>
      </c>
      <c r="W1557" s="22"/>
      <c r="X1557" s="72"/>
    </row>
    <row r="1558" spans="1:24" ht="35.1" customHeight="1" x14ac:dyDescent="0.25">
      <c r="A1558" s="12">
        <f t="shared" si="78"/>
        <v>1557</v>
      </c>
      <c r="B1558" s="12"/>
      <c r="C1558" s="20"/>
      <c r="D1558" s="18"/>
      <c r="H1558" s="12" t="str">
        <f t="shared" si="79"/>
        <v>0 г. 0 мес. 0 дн.</v>
      </c>
      <c r="V1558" s="12" t="str">
        <f t="shared" si="77"/>
        <v>0 г. 0 мес. 0 дн.</v>
      </c>
      <c r="W1558" s="22"/>
      <c r="X1558" s="72"/>
    </row>
    <row r="1559" spans="1:24" ht="35.1" customHeight="1" x14ac:dyDescent="0.25">
      <c r="A1559" s="12">
        <f t="shared" si="78"/>
        <v>1558</v>
      </c>
      <c r="B1559" s="12"/>
      <c r="C1559" s="20"/>
      <c r="D1559" s="18"/>
      <c r="H1559" s="12" t="str">
        <f t="shared" si="79"/>
        <v>0 г. 0 мес. 0 дн.</v>
      </c>
      <c r="V1559" s="12" t="str">
        <f t="shared" si="77"/>
        <v>0 г. 0 мес. 0 дн.</v>
      </c>
      <c r="W1559" s="22"/>
      <c r="X1559" s="72"/>
    </row>
    <row r="1560" spans="1:24" ht="35.1" customHeight="1" x14ac:dyDescent="0.25">
      <c r="A1560" s="12">
        <f t="shared" si="78"/>
        <v>1559</v>
      </c>
      <c r="B1560" s="12"/>
      <c r="C1560" s="20"/>
      <c r="D1560" s="18"/>
      <c r="H1560" s="12" t="str">
        <f t="shared" si="79"/>
        <v>0 г. 0 мес. 0 дн.</v>
      </c>
      <c r="V1560" s="12" t="str">
        <f t="shared" ref="V1560:V1623" si="80">DATEDIF(D1560,T1560,"y") &amp; " г. " &amp; DATEDIF(D1560,T1560,"ym") &amp; " мес. " &amp; DATEDIF(D1560,T1560,"md") &amp; " дн."</f>
        <v>0 г. 0 мес. 0 дн.</v>
      </c>
      <c r="W1560" s="22"/>
      <c r="X1560" s="72"/>
    </row>
    <row r="1561" spans="1:24" ht="35.1" customHeight="1" x14ac:dyDescent="0.25">
      <c r="A1561" s="12">
        <f t="shared" si="78"/>
        <v>1560</v>
      </c>
      <c r="B1561" s="12"/>
      <c r="C1561" s="20"/>
      <c r="D1561" s="18"/>
      <c r="H1561" s="12" t="str">
        <f t="shared" si="79"/>
        <v>0 г. 0 мес. 0 дн.</v>
      </c>
      <c r="V1561" s="12" t="str">
        <f t="shared" si="80"/>
        <v>0 г. 0 мес. 0 дн.</v>
      </c>
      <c r="W1561" s="22"/>
      <c r="X1561" s="72"/>
    </row>
    <row r="1562" spans="1:24" ht="35.1" customHeight="1" x14ac:dyDescent="0.25">
      <c r="A1562" s="12">
        <f t="shared" si="78"/>
        <v>1561</v>
      </c>
      <c r="B1562" s="12"/>
      <c r="C1562" s="20"/>
      <c r="D1562" s="18"/>
      <c r="H1562" s="12" t="str">
        <f t="shared" si="79"/>
        <v>0 г. 0 мес. 0 дн.</v>
      </c>
      <c r="V1562" s="12" t="str">
        <f t="shared" si="80"/>
        <v>0 г. 0 мес. 0 дн.</v>
      </c>
      <c r="W1562" s="22"/>
      <c r="X1562" s="72"/>
    </row>
    <row r="1563" spans="1:24" ht="35.1" customHeight="1" x14ac:dyDescent="0.25">
      <c r="A1563" s="12">
        <f t="shared" si="78"/>
        <v>1562</v>
      </c>
      <c r="B1563" s="12"/>
      <c r="C1563" s="20"/>
      <c r="D1563" s="18"/>
      <c r="H1563" s="12" t="str">
        <f t="shared" si="79"/>
        <v>0 г. 0 мес. 0 дн.</v>
      </c>
      <c r="V1563" s="12" t="str">
        <f t="shared" si="80"/>
        <v>0 г. 0 мес. 0 дн.</v>
      </c>
      <c r="W1563" s="22"/>
      <c r="X1563" s="72"/>
    </row>
    <row r="1564" spans="1:24" ht="35.1" customHeight="1" x14ac:dyDescent="0.25">
      <c r="A1564" s="12">
        <f t="shared" si="78"/>
        <v>1563</v>
      </c>
      <c r="B1564" s="12"/>
      <c r="C1564" s="20"/>
      <c r="D1564" s="18"/>
      <c r="H1564" s="12" t="str">
        <f t="shared" si="79"/>
        <v>0 г. 0 мес. 0 дн.</v>
      </c>
      <c r="V1564" s="12" t="str">
        <f t="shared" si="80"/>
        <v>0 г. 0 мес. 0 дн.</v>
      </c>
      <c r="W1564" s="22"/>
      <c r="X1564" s="72"/>
    </row>
    <row r="1565" spans="1:24" ht="35.1" customHeight="1" x14ac:dyDescent="0.25">
      <c r="A1565" s="12">
        <f t="shared" si="78"/>
        <v>1564</v>
      </c>
      <c r="B1565" s="12"/>
      <c r="C1565" s="20"/>
      <c r="D1565" s="18"/>
      <c r="H1565" s="12" t="str">
        <f t="shared" si="79"/>
        <v>0 г. 0 мес. 0 дн.</v>
      </c>
      <c r="V1565" s="12" t="str">
        <f t="shared" si="80"/>
        <v>0 г. 0 мес. 0 дн.</v>
      </c>
      <c r="W1565" s="22"/>
      <c r="X1565" s="72"/>
    </row>
    <row r="1566" spans="1:24" ht="35.1" customHeight="1" x14ac:dyDescent="0.25">
      <c r="A1566" s="12">
        <f t="shared" si="78"/>
        <v>1565</v>
      </c>
      <c r="B1566" s="12"/>
      <c r="C1566" s="20"/>
      <c r="D1566" s="18"/>
      <c r="H1566" s="12" t="str">
        <f t="shared" si="79"/>
        <v>0 г. 0 мес. 0 дн.</v>
      </c>
      <c r="V1566" s="12" t="str">
        <f t="shared" si="80"/>
        <v>0 г. 0 мес. 0 дн.</v>
      </c>
      <c r="W1566" s="22"/>
      <c r="X1566" s="72"/>
    </row>
    <row r="1567" spans="1:24" ht="35.1" customHeight="1" x14ac:dyDescent="0.25">
      <c r="A1567" s="12">
        <f t="shared" si="78"/>
        <v>1566</v>
      </c>
      <c r="B1567" s="12"/>
      <c r="C1567" s="20"/>
      <c r="D1567" s="18"/>
      <c r="H1567" s="12" t="str">
        <f t="shared" si="79"/>
        <v>0 г. 0 мес. 0 дн.</v>
      </c>
      <c r="V1567" s="12" t="str">
        <f t="shared" si="80"/>
        <v>0 г. 0 мес. 0 дн.</v>
      </c>
      <c r="W1567" s="22"/>
      <c r="X1567" s="72"/>
    </row>
    <row r="1568" spans="1:24" ht="35.1" customHeight="1" x14ac:dyDescent="0.25">
      <c r="A1568" s="12">
        <f t="shared" si="78"/>
        <v>1567</v>
      </c>
      <c r="B1568" s="12"/>
      <c r="C1568" s="20"/>
      <c r="D1568" s="18"/>
      <c r="H1568" s="12" t="str">
        <f t="shared" si="79"/>
        <v>0 г. 0 мес. 0 дн.</v>
      </c>
      <c r="V1568" s="12" t="str">
        <f t="shared" si="80"/>
        <v>0 г. 0 мес. 0 дн.</v>
      </c>
      <c r="W1568" s="22"/>
      <c r="X1568" s="72"/>
    </row>
    <row r="1569" spans="1:24" ht="35.1" customHeight="1" x14ac:dyDescent="0.25">
      <c r="A1569" s="12">
        <f t="shared" si="78"/>
        <v>1568</v>
      </c>
      <c r="B1569" s="12"/>
      <c r="C1569" s="20"/>
      <c r="D1569" s="18"/>
      <c r="H1569" s="12" t="str">
        <f t="shared" si="79"/>
        <v>0 г. 0 мес. 0 дн.</v>
      </c>
      <c r="V1569" s="12" t="str">
        <f t="shared" si="80"/>
        <v>0 г. 0 мес. 0 дн.</v>
      </c>
      <c r="W1569" s="22"/>
      <c r="X1569" s="72"/>
    </row>
    <row r="1570" spans="1:24" ht="35.1" customHeight="1" x14ac:dyDescent="0.25">
      <c r="A1570" s="12">
        <f t="shared" si="78"/>
        <v>1569</v>
      </c>
      <c r="B1570" s="12"/>
      <c r="C1570" s="20"/>
      <c r="D1570" s="18"/>
      <c r="H1570" s="12" t="str">
        <f t="shared" si="79"/>
        <v>0 г. 0 мес. 0 дн.</v>
      </c>
      <c r="V1570" s="12" t="str">
        <f t="shared" si="80"/>
        <v>0 г. 0 мес. 0 дн.</v>
      </c>
      <c r="W1570" s="22"/>
      <c r="X1570" s="72"/>
    </row>
    <row r="1571" spans="1:24" ht="35.1" customHeight="1" x14ac:dyDescent="0.25">
      <c r="A1571" s="12">
        <f t="shared" si="78"/>
        <v>1570</v>
      </c>
      <c r="B1571" s="12"/>
      <c r="C1571" s="20"/>
      <c r="D1571" s="18"/>
      <c r="H1571" s="12" t="str">
        <f t="shared" si="79"/>
        <v>0 г. 0 мес. 0 дн.</v>
      </c>
      <c r="V1571" s="12" t="str">
        <f t="shared" si="80"/>
        <v>0 г. 0 мес. 0 дн.</v>
      </c>
      <c r="W1571" s="22"/>
      <c r="X1571" s="72"/>
    </row>
    <row r="1572" spans="1:24" ht="35.1" customHeight="1" x14ac:dyDescent="0.25">
      <c r="A1572" s="12">
        <f t="shared" si="78"/>
        <v>1571</v>
      </c>
      <c r="B1572" s="12"/>
      <c r="C1572" s="20"/>
      <c r="D1572" s="18"/>
      <c r="H1572" s="12" t="str">
        <f t="shared" si="79"/>
        <v>0 г. 0 мес. 0 дн.</v>
      </c>
      <c r="V1572" s="12" t="str">
        <f t="shared" si="80"/>
        <v>0 г. 0 мес. 0 дн.</v>
      </c>
      <c r="W1572" s="22"/>
      <c r="X1572" s="72"/>
    </row>
    <row r="1573" spans="1:24" ht="35.1" customHeight="1" x14ac:dyDescent="0.25">
      <c r="A1573" s="12">
        <f t="shared" si="78"/>
        <v>1572</v>
      </c>
      <c r="B1573" s="12"/>
      <c r="C1573" s="20"/>
      <c r="D1573" s="18"/>
      <c r="H1573" s="12" t="str">
        <f t="shared" si="79"/>
        <v>0 г. 0 мес. 0 дн.</v>
      </c>
      <c r="V1573" s="12" t="str">
        <f t="shared" si="80"/>
        <v>0 г. 0 мес. 0 дн.</v>
      </c>
      <c r="W1573" s="22"/>
      <c r="X1573" s="72"/>
    </row>
    <row r="1574" spans="1:24" ht="35.1" customHeight="1" x14ac:dyDescent="0.25">
      <c r="A1574" s="12">
        <f t="shared" si="78"/>
        <v>1573</v>
      </c>
      <c r="B1574" s="12"/>
      <c r="C1574" s="20"/>
      <c r="D1574" s="18"/>
      <c r="H1574" s="12" t="str">
        <f t="shared" si="79"/>
        <v>0 г. 0 мес. 0 дн.</v>
      </c>
      <c r="V1574" s="12" t="str">
        <f t="shared" si="80"/>
        <v>0 г. 0 мес. 0 дн.</v>
      </c>
      <c r="W1574" s="22"/>
      <c r="X1574" s="72"/>
    </row>
    <row r="1575" spans="1:24" ht="35.1" customHeight="1" x14ac:dyDescent="0.25">
      <c r="A1575" s="12">
        <f t="shared" si="78"/>
        <v>1574</v>
      </c>
      <c r="B1575" s="12"/>
      <c r="C1575" s="20"/>
      <c r="D1575" s="18"/>
      <c r="H1575" s="12" t="str">
        <f t="shared" si="79"/>
        <v>0 г. 0 мес. 0 дн.</v>
      </c>
      <c r="V1575" s="12" t="str">
        <f t="shared" si="80"/>
        <v>0 г. 0 мес. 0 дн.</v>
      </c>
      <c r="W1575" s="22"/>
      <c r="X1575" s="72"/>
    </row>
    <row r="1576" spans="1:24" ht="35.1" customHeight="1" x14ac:dyDescent="0.25">
      <c r="A1576" s="12">
        <f t="shared" si="78"/>
        <v>1575</v>
      </c>
      <c r="B1576" s="12"/>
      <c r="C1576" s="20"/>
      <c r="D1576" s="18"/>
      <c r="H1576" s="12" t="str">
        <f t="shared" si="79"/>
        <v>0 г. 0 мес. 0 дн.</v>
      </c>
      <c r="V1576" s="12" t="str">
        <f t="shared" si="80"/>
        <v>0 г. 0 мес. 0 дн.</v>
      </c>
      <c r="W1576" s="22"/>
      <c r="X1576" s="72"/>
    </row>
    <row r="1577" spans="1:24" ht="35.1" customHeight="1" x14ac:dyDescent="0.25">
      <c r="A1577" s="12">
        <f t="shared" si="78"/>
        <v>1576</v>
      </c>
      <c r="B1577" s="12"/>
      <c r="C1577" s="20"/>
      <c r="D1577" s="18"/>
      <c r="H1577" s="12" t="str">
        <f t="shared" si="79"/>
        <v>0 г. 0 мес. 0 дн.</v>
      </c>
      <c r="V1577" s="12" t="str">
        <f t="shared" si="80"/>
        <v>0 г. 0 мес. 0 дн.</v>
      </c>
      <c r="W1577" s="22"/>
      <c r="X1577" s="72"/>
    </row>
    <row r="1578" spans="1:24" ht="35.1" customHeight="1" x14ac:dyDescent="0.25">
      <c r="A1578" s="12">
        <f t="shared" si="78"/>
        <v>1577</v>
      </c>
      <c r="B1578" s="12"/>
      <c r="C1578" s="20"/>
      <c r="D1578" s="18"/>
      <c r="H1578" s="12" t="str">
        <f t="shared" si="79"/>
        <v>0 г. 0 мес. 0 дн.</v>
      </c>
      <c r="V1578" s="12" t="str">
        <f t="shared" si="80"/>
        <v>0 г. 0 мес. 0 дн.</v>
      </c>
      <c r="W1578" s="22"/>
      <c r="X1578" s="72"/>
    </row>
    <row r="1579" spans="1:24" ht="35.1" customHeight="1" x14ac:dyDescent="0.25">
      <c r="A1579" s="12">
        <f t="shared" si="78"/>
        <v>1578</v>
      </c>
      <c r="B1579" s="12"/>
      <c r="C1579" s="20"/>
      <c r="D1579" s="18"/>
      <c r="H1579" s="12" t="str">
        <f t="shared" si="79"/>
        <v>0 г. 0 мес. 0 дн.</v>
      </c>
      <c r="V1579" s="12" t="str">
        <f t="shared" si="80"/>
        <v>0 г. 0 мес. 0 дн.</v>
      </c>
      <c r="W1579" s="22"/>
      <c r="X1579" s="72"/>
    </row>
    <row r="1580" spans="1:24" ht="35.1" customHeight="1" x14ac:dyDescent="0.25">
      <c r="A1580" s="12">
        <f t="shared" si="78"/>
        <v>1579</v>
      </c>
      <c r="B1580" s="12"/>
      <c r="C1580" s="20"/>
      <c r="D1580" s="18"/>
      <c r="H1580" s="12" t="str">
        <f t="shared" si="79"/>
        <v>0 г. 0 мес. 0 дн.</v>
      </c>
      <c r="V1580" s="12" t="str">
        <f t="shared" si="80"/>
        <v>0 г. 0 мес. 0 дн.</v>
      </c>
      <c r="W1580" s="22"/>
      <c r="X1580" s="72"/>
    </row>
    <row r="1581" spans="1:24" ht="35.1" customHeight="1" x14ac:dyDescent="0.25">
      <c r="A1581" s="12">
        <f t="shared" si="78"/>
        <v>1580</v>
      </c>
      <c r="B1581" s="12"/>
      <c r="C1581" s="20"/>
      <c r="D1581" s="18"/>
      <c r="H1581" s="12" t="str">
        <f t="shared" si="79"/>
        <v>0 г. 0 мес. 0 дн.</v>
      </c>
      <c r="V1581" s="12" t="str">
        <f t="shared" si="80"/>
        <v>0 г. 0 мес. 0 дн.</v>
      </c>
      <c r="W1581" s="22"/>
      <c r="X1581" s="72"/>
    </row>
    <row r="1582" spans="1:24" ht="35.1" customHeight="1" x14ac:dyDescent="0.25">
      <c r="A1582" s="12">
        <f t="shared" si="78"/>
        <v>1581</v>
      </c>
      <c r="B1582" s="12"/>
      <c r="C1582" s="20"/>
      <c r="D1582" s="18"/>
      <c r="H1582" s="12" t="str">
        <f t="shared" si="79"/>
        <v>0 г. 0 мес. 0 дн.</v>
      </c>
      <c r="V1582" s="12" t="str">
        <f t="shared" si="80"/>
        <v>0 г. 0 мес. 0 дн.</v>
      </c>
      <c r="W1582" s="22"/>
      <c r="X1582" s="72"/>
    </row>
    <row r="1583" spans="1:24" ht="35.1" customHeight="1" x14ac:dyDescent="0.25">
      <c r="A1583" s="12">
        <f t="shared" si="78"/>
        <v>1582</v>
      </c>
      <c r="B1583" s="12"/>
      <c r="C1583" s="20"/>
      <c r="D1583" s="18"/>
      <c r="H1583" s="12" t="str">
        <f t="shared" si="79"/>
        <v>0 г. 0 мес. 0 дн.</v>
      </c>
      <c r="V1583" s="12" t="str">
        <f t="shared" si="80"/>
        <v>0 г. 0 мес. 0 дн.</v>
      </c>
      <c r="W1583" s="22"/>
      <c r="X1583" s="72"/>
    </row>
    <row r="1584" spans="1:24" ht="35.1" customHeight="1" x14ac:dyDescent="0.25">
      <c r="A1584" s="12">
        <f t="shared" si="78"/>
        <v>1583</v>
      </c>
      <c r="B1584" s="12"/>
      <c r="C1584" s="20"/>
      <c r="D1584" s="18"/>
      <c r="H1584" s="12" t="str">
        <f t="shared" si="79"/>
        <v>0 г. 0 мес. 0 дн.</v>
      </c>
      <c r="V1584" s="12" t="str">
        <f t="shared" si="80"/>
        <v>0 г. 0 мес. 0 дн.</v>
      </c>
      <c r="W1584" s="22"/>
      <c r="X1584" s="72"/>
    </row>
    <row r="1585" spans="1:24" ht="35.1" customHeight="1" x14ac:dyDescent="0.25">
      <c r="A1585" s="12">
        <f t="shared" si="78"/>
        <v>1584</v>
      </c>
      <c r="B1585" s="12"/>
      <c r="C1585" s="20"/>
      <c r="D1585" s="18"/>
      <c r="H1585" s="12" t="str">
        <f t="shared" si="79"/>
        <v>0 г. 0 мес. 0 дн.</v>
      </c>
      <c r="V1585" s="12" t="str">
        <f t="shared" si="80"/>
        <v>0 г. 0 мес. 0 дн.</v>
      </c>
      <c r="W1585" s="22"/>
      <c r="X1585" s="72"/>
    </row>
    <row r="1586" spans="1:24" ht="35.1" customHeight="1" x14ac:dyDescent="0.25">
      <c r="A1586" s="12">
        <f t="shared" si="78"/>
        <v>1585</v>
      </c>
      <c r="B1586" s="12"/>
      <c r="C1586" s="20"/>
      <c r="D1586" s="18"/>
      <c r="H1586" s="12" t="str">
        <f t="shared" si="79"/>
        <v>0 г. 0 мес. 0 дн.</v>
      </c>
      <c r="V1586" s="12" t="str">
        <f t="shared" si="80"/>
        <v>0 г. 0 мес. 0 дн.</v>
      </c>
      <c r="W1586" s="22"/>
      <c r="X1586" s="72"/>
    </row>
    <row r="1587" spans="1:24" ht="35.1" customHeight="1" x14ac:dyDescent="0.25">
      <c r="A1587" s="12">
        <f t="shared" si="78"/>
        <v>1586</v>
      </c>
      <c r="B1587" s="12"/>
      <c r="C1587" s="20"/>
      <c r="D1587" s="18"/>
      <c r="H1587" s="12" t="str">
        <f t="shared" si="79"/>
        <v>0 г. 0 мес. 0 дн.</v>
      </c>
      <c r="V1587" s="12" t="str">
        <f t="shared" si="80"/>
        <v>0 г. 0 мес. 0 дн.</v>
      </c>
      <c r="W1587" s="22"/>
      <c r="X1587" s="72"/>
    </row>
    <row r="1588" spans="1:24" ht="35.1" customHeight="1" x14ac:dyDescent="0.25">
      <c r="A1588" s="12">
        <f t="shared" si="78"/>
        <v>1587</v>
      </c>
      <c r="B1588" s="12"/>
      <c r="C1588" s="20"/>
      <c r="D1588" s="18"/>
      <c r="H1588" s="12" t="str">
        <f t="shared" si="79"/>
        <v>0 г. 0 мес. 0 дн.</v>
      </c>
      <c r="V1588" s="12" t="str">
        <f t="shared" si="80"/>
        <v>0 г. 0 мес. 0 дн.</v>
      </c>
      <c r="W1588" s="22"/>
      <c r="X1588" s="72"/>
    </row>
    <row r="1589" spans="1:24" ht="35.1" customHeight="1" x14ac:dyDescent="0.25">
      <c r="A1589" s="12">
        <f t="shared" si="78"/>
        <v>1588</v>
      </c>
      <c r="B1589" s="12"/>
      <c r="C1589" s="20"/>
      <c r="D1589" s="18"/>
      <c r="H1589" s="12" t="str">
        <f t="shared" si="79"/>
        <v>0 г. 0 мес. 0 дн.</v>
      </c>
      <c r="V1589" s="12" t="str">
        <f t="shared" si="80"/>
        <v>0 г. 0 мес. 0 дн.</v>
      </c>
      <c r="W1589" s="22"/>
      <c r="X1589" s="72"/>
    </row>
    <row r="1590" spans="1:24" ht="35.1" customHeight="1" x14ac:dyDescent="0.25">
      <c r="A1590" s="12">
        <f t="shared" si="78"/>
        <v>1589</v>
      </c>
      <c r="B1590" s="12"/>
      <c r="C1590" s="20"/>
      <c r="D1590" s="18"/>
      <c r="H1590" s="12" t="str">
        <f t="shared" si="79"/>
        <v>0 г. 0 мес. 0 дн.</v>
      </c>
      <c r="V1590" s="12" t="str">
        <f t="shared" si="80"/>
        <v>0 г. 0 мес. 0 дн.</v>
      </c>
      <c r="W1590" s="22"/>
      <c r="X1590" s="72"/>
    </row>
    <row r="1591" spans="1:24" ht="35.1" customHeight="1" x14ac:dyDescent="0.25">
      <c r="A1591" s="12">
        <f t="shared" si="78"/>
        <v>1590</v>
      </c>
      <c r="B1591" s="12"/>
      <c r="C1591" s="20"/>
      <c r="D1591" s="18"/>
      <c r="H1591" s="12" t="str">
        <f t="shared" si="79"/>
        <v>0 г. 0 мес. 0 дн.</v>
      </c>
      <c r="V1591" s="12" t="str">
        <f t="shared" si="80"/>
        <v>0 г. 0 мес. 0 дн.</v>
      </c>
      <c r="W1591" s="22"/>
      <c r="X1591" s="72"/>
    </row>
    <row r="1592" spans="1:24" ht="35.1" customHeight="1" x14ac:dyDescent="0.25">
      <c r="A1592" s="12">
        <f t="shared" si="78"/>
        <v>1591</v>
      </c>
      <c r="B1592" s="12"/>
      <c r="C1592" s="20"/>
      <c r="D1592" s="18"/>
      <c r="H1592" s="12" t="str">
        <f t="shared" si="79"/>
        <v>0 г. 0 мес. 0 дн.</v>
      </c>
      <c r="V1592" s="12" t="str">
        <f t="shared" si="80"/>
        <v>0 г. 0 мес. 0 дн.</v>
      </c>
      <c r="W1592" s="22"/>
      <c r="X1592" s="72"/>
    </row>
    <row r="1593" spans="1:24" ht="35.1" customHeight="1" x14ac:dyDescent="0.25">
      <c r="A1593" s="12">
        <f t="shared" si="78"/>
        <v>1592</v>
      </c>
      <c r="B1593" s="12"/>
      <c r="C1593" s="20"/>
      <c r="D1593" s="18"/>
      <c r="H1593" s="12" t="str">
        <f t="shared" si="79"/>
        <v>0 г. 0 мес. 0 дн.</v>
      </c>
      <c r="V1593" s="12" t="str">
        <f t="shared" si="80"/>
        <v>0 г. 0 мес. 0 дн.</v>
      </c>
      <c r="W1593" s="22"/>
      <c r="X1593" s="72"/>
    </row>
    <row r="1594" spans="1:24" ht="35.1" customHeight="1" x14ac:dyDescent="0.25">
      <c r="A1594" s="12">
        <f t="shared" si="78"/>
        <v>1593</v>
      </c>
      <c r="B1594" s="12"/>
      <c r="C1594" s="20"/>
      <c r="D1594" s="18"/>
      <c r="H1594" s="12" t="str">
        <f t="shared" si="79"/>
        <v>0 г. 0 мес. 0 дн.</v>
      </c>
      <c r="V1594" s="12" t="str">
        <f t="shared" si="80"/>
        <v>0 г. 0 мес. 0 дн.</v>
      </c>
      <c r="W1594" s="22"/>
      <c r="X1594" s="72"/>
    </row>
    <row r="1595" spans="1:24" ht="35.1" customHeight="1" x14ac:dyDescent="0.25">
      <c r="A1595" s="12">
        <f t="shared" si="78"/>
        <v>1594</v>
      </c>
      <c r="B1595" s="12"/>
      <c r="C1595" s="20"/>
      <c r="D1595" s="18"/>
      <c r="H1595" s="12" t="str">
        <f t="shared" si="79"/>
        <v>0 г. 0 мес. 0 дн.</v>
      </c>
      <c r="V1595" s="12" t="str">
        <f t="shared" si="80"/>
        <v>0 г. 0 мес. 0 дн.</v>
      </c>
      <c r="W1595" s="22"/>
      <c r="X1595" s="72"/>
    </row>
    <row r="1596" spans="1:24" ht="35.1" customHeight="1" x14ac:dyDescent="0.25">
      <c r="A1596" s="12">
        <f t="shared" si="78"/>
        <v>1595</v>
      </c>
      <c r="B1596" s="12"/>
      <c r="C1596" s="20"/>
      <c r="D1596" s="18"/>
      <c r="H1596" s="12" t="str">
        <f t="shared" si="79"/>
        <v>0 г. 0 мес. 0 дн.</v>
      </c>
      <c r="V1596" s="12" t="str">
        <f t="shared" si="80"/>
        <v>0 г. 0 мес. 0 дн.</v>
      </c>
      <c r="W1596" s="22"/>
      <c r="X1596" s="72"/>
    </row>
    <row r="1597" spans="1:24" ht="35.1" customHeight="1" x14ac:dyDescent="0.25">
      <c r="A1597" s="12">
        <f t="shared" si="78"/>
        <v>1596</v>
      </c>
      <c r="B1597" s="12"/>
      <c r="C1597" s="20"/>
      <c r="D1597" s="18"/>
      <c r="H1597" s="12" t="str">
        <f t="shared" si="79"/>
        <v>0 г. 0 мес. 0 дн.</v>
      </c>
      <c r="V1597" s="12" t="str">
        <f t="shared" si="80"/>
        <v>0 г. 0 мес. 0 дн.</v>
      </c>
      <c r="W1597" s="22"/>
      <c r="X1597" s="72"/>
    </row>
    <row r="1598" spans="1:24" ht="35.1" customHeight="1" x14ac:dyDescent="0.25">
      <c r="A1598" s="12">
        <f t="shared" si="78"/>
        <v>1597</v>
      </c>
      <c r="B1598" s="12"/>
      <c r="C1598" s="20"/>
      <c r="D1598" s="18"/>
      <c r="H1598" s="12" t="str">
        <f t="shared" si="79"/>
        <v>0 г. 0 мес. 0 дн.</v>
      </c>
      <c r="V1598" s="12" t="str">
        <f t="shared" si="80"/>
        <v>0 г. 0 мес. 0 дн.</v>
      </c>
      <c r="W1598" s="22"/>
      <c r="X1598" s="72"/>
    </row>
    <row r="1599" spans="1:24" ht="35.1" customHeight="1" x14ac:dyDescent="0.25">
      <c r="A1599" s="12">
        <f t="shared" si="78"/>
        <v>1598</v>
      </c>
      <c r="B1599" s="12"/>
      <c r="C1599" s="20"/>
      <c r="D1599" s="18"/>
      <c r="H1599" s="12" t="str">
        <f t="shared" si="79"/>
        <v>0 г. 0 мес. 0 дн.</v>
      </c>
      <c r="V1599" s="12" t="str">
        <f t="shared" si="80"/>
        <v>0 г. 0 мес. 0 дн.</v>
      </c>
      <c r="W1599" s="22"/>
      <c r="X1599" s="72"/>
    </row>
    <row r="1600" spans="1:24" ht="35.1" customHeight="1" x14ac:dyDescent="0.25">
      <c r="A1600" s="12">
        <f t="shared" si="78"/>
        <v>1599</v>
      </c>
      <c r="B1600" s="12"/>
      <c r="C1600" s="20"/>
      <c r="D1600" s="18"/>
      <c r="H1600" s="12" t="str">
        <f t="shared" si="79"/>
        <v>0 г. 0 мес. 0 дн.</v>
      </c>
      <c r="V1600" s="12" t="str">
        <f t="shared" si="80"/>
        <v>0 г. 0 мес. 0 дн.</v>
      </c>
      <c r="W1600" s="22"/>
      <c r="X1600" s="72"/>
    </row>
    <row r="1601" spans="1:24" ht="35.1" customHeight="1" x14ac:dyDescent="0.25">
      <c r="A1601" s="12">
        <f t="shared" ref="A1601:A1664" si="81">ROW(A1600)</f>
        <v>1600</v>
      </c>
      <c r="B1601" s="12"/>
      <c r="C1601" s="20"/>
      <c r="D1601" s="18"/>
      <c r="H1601" s="12" t="str">
        <f t="shared" si="79"/>
        <v>0 г. 0 мес. 0 дн.</v>
      </c>
      <c r="V1601" s="12" t="str">
        <f t="shared" si="80"/>
        <v>0 г. 0 мес. 0 дн.</v>
      </c>
      <c r="W1601" s="22"/>
      <c r="X1601" s="72"/>
    </row>
    <row r="1602" spans="1:24" ht="35.1" customHeight="1" x14ac:dyDescent="0.25">
      <c r="A1602" s="12">
        <f t="shared" si="81"/>
        <v>1601</v>
      </c>
      <c r="B1602" s="12"/>
      <c r="C1602" s="20"/>
      <c r="D1602" s="18"/>
      <c r="H1602" s="12" t="str">
        <f t="shared" si="79"/>
        <v>0 г. 0 мес. 0 дн.</v>
      </c>
      <c r="V1602" s="12" t="str">
        <f t="shared" si="80"/>
        <v>0 г. 0 мес. 0 дн.</v>
      </c>
      <c r="W1602" s="22"/>
      <c r="X1602" s="72"/>
    </row>
    <row r="1603" spans="1:24" ht="35.1" customHeight="1" x14ac:dyDescent="0.25">
      <c r="A1603" s="12">
        <f t="shared" si="81"/>
        <v>1602</v>
      </c>
      <c r="B1603" s="12"/>
      <c r="C1603" s="20"/>
      <c r="D1603" s="18"/>
      <c r="H1603" s="12" t="str">
        <f t="shared" si="79"/>
        <v>0 г. 0 мес. 0 дн.</v>
      </c>
      <c r="V1603" s="12" t="str">
        <f t="shared" si="80"/>
        <v>0 г. 0 мес. 0 дн.</v>
      </c>
      <c r="W1603" s="22"/>
      <c r="X1603" s="72"/>
    </row>
    <row r="1604" spans="1:24" ht="35.1" customHeight="1" x14ac:dyDescent="0.25">
      <c r="A1604" s="12">
        <f t="shared" si="81"/>
        <v>1603</v>
      </c>
      <c r="B1604" s="12"/>
      <c r="C1604" s="20"/>
      <c r="D1604" s="18"/>
      <c r="H1604" s="12" t="str">
        <f t="shared" si="79"/>
        <v>0 г. 0 мес. 0 дн.</v>
      </c>
      <c r="V1604" s="12" t="str">
        <f t="shared" si="80"/>
        <v>0 г. 0 мес. 0 дн.</v>
      </c>
      <c r="W1604" s="22"/>
      <c r="X1604" s="72"/>
    </row>
    <row r="1605" spans="1:24" ht="35.1" customHeight="1" x14ac:dyDescent="0.25">
      <c r="A1605" s="12">
        <f t="shared" si="81"/>
        <v>1604</v>
      </c>
      <c r="B1605" s="12"/>
      <c r="C1605" s="20"/>
      <c r="D1605" s="18"/>
      <c r="H1605" s="12" t="str">
        <f t="shared" si="79"/>
        <v>0 г. 0 мес. 0 дн.</v>
      </c>
      <c r="V1605" s="12" t="str">
        <f t="shared" si="80"/>
        <v>0 г. 0 мес. 0 дн.</v>
      </c>
      <c r="W1605" s="22"/>
      <c r="X1605" s="72"/>
    </row>
    <row r="1606" spans="1:24" ht="35.1" customHeight="1" x14ac:dyDescent="0.25">
      <c r="A1606" s="12">
        <f t="shared" si="81"/>
        <v>1605</v>
      </c>
      <c r="B1606" s="12"/>
      <c r="C1606" s="20"/>
      <c r="D1606" s="18"/>
      <c r="H1606" s="12" t="str">
        <f t="shared" ref="H1606:H1669" si="82">DATEDIF(G1606,D1606,"y") &amp; " г. " &amp; DATEDIF(G1606,D1606,"ym") &amp; " мес. " &amp; DATEDIF(G1606,D1606,"md") &amp; " дн."</f>
        <v>0 г. 0 мес. 0 дн.</v>
      </c>
      <c r="V1606" s="12" t="str">
        <f t="shared" si="80"/>
        <v>0 г. 0 мес. 0 дн.</v>
      </c>
      <c r="W1606" s="22"/>
      <c r="X1606" s="72"/>
    </row>
    <row r="1607" spans="1:24" ht="35.1" customHeight="1" x14ac:dyDescent="0.25">
      <c r="A1607" s="12">
        <f t="shared" si="81"/>
        <v>1606</v>
      </c>
      <c r="B1607" s="12"/>
      <c r="C1607" s="20"/>
      <c r="D1607" s="18"/>
      <c r="H1607" s="12" t="str">
        <f t="shared" si="82"/>
        <v>0 г. 0 мес. 0 дн.</v>
      </c>
      <c r="V1607" s="12" t="str">
        <f t="shared" si="80"/>
        <v>0 г. 0 мес. 0 дн.</v>
      </c>
      <c r="W1607" s="22"/>
      <c r="X1607" s="72"/>
    </row>
    <row r="1608" spans="1:24" ht="35.1" customHeight="1" x14ac:dyDescent="0.25">
      <c r="A1608" s="12">
        <f t="shared" si="81"/>
        <v>1607</v>
      </c>
      <c r="B1608" s="12"/>
      <c r="C1608" s="20"/>
      <c r="D1608" s="18"/>
      <c r="H1608" s="12" t="str">
        <f t="shared" si="82"/>
        <v>0 г. 0 мес. 0 дн.</v>
      </c>
      <c r="V1608" s="12" t="str">
        <f t="shared" si="80"/>
        <v>0 г. 0 мес. 0 дн.</v>
      </c>
      <c r="W1608" s="22"/>
      <c r="X1608" s="72"/>
    </row>
    <row r="1609" spans="1:24" ht="35.1" customHeight="1" x14ac:dyDescent="0.25">
      <c r="A1609" s="12">
        <f t="shared" si="81"/>
        <v>1608</v>
      </c>
      <c r="B1609" s="12"/>
      <c r="C1609" s="20"/>
      <c r="D1609" s="18"/>
      <c r="H1609" s="12" t="str">
        <f t="shared" si="82"/>
        <v>0 г. 0 мес. 0 дн.</v>
      </c>
      <c r="V1609" s="12" t="str">
        <f t="shared" si="80"/>
        <v>0 г. 0 мес. 0 дн.</v>
      </c>
      <c r="W1609" s="22"/>
      <c r="X1609" s="72"/>
    </row>
    <row r="1610" spans="1:24" ht="35.1" customHeight="1" x14ac:dyDescent="0.25">
      <c r="A1610" s="12">
        <f t="shared" si="81"/>
        <v>1609</v>
      </c>
      <c r="B1610" s="12"/>
      <c r="C1610" s="20"/>
      <c r="D1610" s="18"/>
      <c r="H1610" s="12" t="str">
        <f t="shared" si="82"/>
        <v>0 г. 0 мес. 0 дн.</v>
      </c>
      <c r="V1610" s="12" t="str">
        <f t="shared" si="80"/>
        <v>0 г. 0 мес. 0 дн.</v>
      </c>
      <c r="W1610" s="22"/>
      <c r="X1610" s="72"/>
    </row>
    <row r="1611" spans="1:24" ht="35.1" customHeight="1" x14ac:dyDescent="0.25">
      <c r="A1611" s="12">
        <f t="shared" si="81"/>
        <v>1610</v>
      </c>
      <c r="B1611" s="12"/>
      <c r="C1611" s="20"/>
      <c r="D1611" s="18"/>
      <c r="H1611" s="12" t="str">
        <f t="shared" si="82"/>
        <v>0 г. 0 мес. 0 дн.</v>
      </c>
      <c r="V1611" s="12" t="str">
        <f t="shared" si="80"/>
        <v>0 г. 0 мес. 0 дн.</v>
      </c>
      <c r="W1611" s="22"/>
      <c r="X1611" s="72"/>
    </row>
    <row r="1612" spans="1:24" ht="35.1" customHeight="1" x14ac:dyDescent="0.25">
      <c r="A1612" s="12">
        <f t="shared" si="81"/>
        <v>1611</v>
      </c>
      <c r="B1612" s="12"/>
      <c r="C1612" s="20"/>
      <c r="D1612" s="18"/>
      <c r="H1612" s="12" t="str">
        <f t="shared" si="82"/>
        <v>0 г. 0 мес. 0 дн.</v>
      </c>
      <c r="V1612" s="12" t="str">
        <f t="shared" si="80"/>
        <v>0 г. 0 мес. 0 дн.</v>
      </c>
      <c r="W1612" s="22"/>
      <c r="X1612" s="72"/>
    </row>
    <row r="1613" spans="1:24" ht="35.1" customHeight="1" x14ac:dyDescent="0.25">
      <c r="A1613" s="12">
        <f t="shared" si="81"/>
        <v>1612</v>
      </c>
      <c r="B1613" s="12"/>
      <c r="C1613" s="20"/>
      <c r="D1613" s="18"/>
      <c r="H1613" s="12" t="str">
        <f t="shared" si="82"/>
        <v>0 г. 0 мес. 0 дн.</v>
      </c>
      <c r="V1613" s="12" t="str">
        <f t="shared" si="80"/>
        <v>0 г. 0 мес. 0 дн.</v>
      </c>
      <c r="W1613" s="22"/>
      <c r="X1613" s="72"/>
    </row>
    <row r="1614" spans="1:24" ht="35.1" customHeight="1" x14ac:dyDescent="0.25">
      <c r="A1614" s="12">
        <f t="shared" si="81"/>
        <v>1613</v>
      </c>
      <c r="B1614" s="12"/>
      <c r="C1614" s="20"/>
      <c r="D1614" s="18"/>
      <c r="H1614" s="12" t="str">
        <f t="shared" si="82"/>
        <v>0 г. 0 мес. 0 дн.</v>
      </c>
      <c r="V1614" s="12" t="str">
        <f t="shared" si="80"/>
        <v>0 г. 0 мес. 0 дн.</v>
      </c>
      <c r="W1614" s="22"/>
      <c r="X1614" s="72"/>
    </row>
    <row r="1615" spans="1:24" ht="35.1" customHeight="1" x14ac:dyDescent="0.25">
      <c r="A1615" s="12">
        <f t="shared" si="81"/>
        <v>1614</v>
      </c>
      <c r="B1615" s="12"/>
      <c r="C1615" s="20"/>
      <c r="D1615" s="18"/>
      <c r="H1615" s="12" t="str">
        <f t="shared" si="82"/>
        <v>0 г. 0 мес. 0 дн.</v>
      </c>
      <c r="V1615" s="12" t="str">
        <f t="shared" si="80"/>
        <v>0 г. 0 мес. 0 дн.</v>
      </c>
      <c r="W1615" s="22"/>
      <c r="X1615" s="72"/>
    </row>
    <row r="1616" spans="1:24" ht="35.1" customHeight="1" x14ac:dyDescent="0.25">
      <c r="A1616" s="12">
        <f t="shared" si="81"/>
        <v>1615</v>
      </c>
      <c r="B1616" s="12"/>
      <c r="C1616" s="20"/>
      <c r="D1616" s="18"/>
      <c r="H1616" s="12" t="str">
        <f t="shared" si="82"/>
        <v>0 г. 0 мес. 0 дн.</v>
      </c>
      <c r="V1616" s="12" t="str">
        <f t="shared" si="80"/>
        <v>0 г. 0 мес. 0 дн.</v>
      </c>
      <c r="W1616" s="22"/>
      <c r="X1616" s="72"/>
    </row>
    <row r="1617" spans="1:24" ht="35.1" customHeight="1" x14ac:dyDescent="0.25">
      <c r="A1617" s="12">
        <f t="shared" si="81"/>
        <v>1616</v>
      </c>
      <c r="B1617" s="12"/>
      <c r="C1617" s="20"/>
      <c r="D1617" s="18"/>
      <c r="H1617" s="12" t="str">
        <f t="shared" si="82"/>
        <v>0 г. 0 мес. 0 дн.</v>
      </c>
      <c r="V1617" s="12" t="str">
        <f t="shared" si="80"/>
        <v>0 г. 0 мес. 0 дн.</v>
      </c>
      <c r="W1617" s="22"/>
      <c r="X1617" s="72"/>
    </row>
    <row r="1618" spans="1:24" ht="35.1" customHeight="1" x14ac:dyDescent="0.25">
      <c r="A1618" s="12">
        <f t="shared" si="81"/>
        <v>1617</v>
      </c>
      <c r="B1618" s="12"/>
      <c r="C1618" s="20"/>
      <c r="D1618" s="18"/>
      <c r="H1618" s="12" t="str">
        <f t="shared" si="82"/>
        <v>0 г. 0 мес. 0 дн.</v>
      </c>
      <c r="V1618" s="12" t="str">
        <f t="shared" si="80"/>
        <v>0 г. 0 мес. 0 дн.</v>
      </c>
      <c r="W1618" s="22"/>
      <c r="X1618" s="72"/>
    </row>
    <row r="1619" spans="1:24" ht="35.1" customHeight="1" x14ac:dyDescent="0.25">
      <c r="A1619" s="12">
        <f t="shared" si="81"/>
        <v>1618</v>
      </c>
      <c r="B1619" s="12"/>
      <c r="C1619" s="20"/>
      <c r="D1619" s="18"/>
      <c r="H1619" s="12" t="str">
        <f t="shared" si="82"/>
        <v>0 г. 0 мес. 0 дн.</v>
      </c>
      <c r="V1619" s="12" t="str">
        <f t="shared" si="80"/>
        <v>0 г. 0 мес. 0 дн.</v>
      </c>
      <c r="W1619" s="22"/>
      <c r="X1619" s="72"/>
    </row>
    <row r="1620" spans="1:24" ht="35.1" customHeight="1" x14ac:dyDescent="0.25">
      <c r="A1620" s="12">
        <f t="shared" si="81"/>
        <v>1619</v>
      </c>
      <c r="B1620" s="12"/>
      <c r="C1620" s="20"/>
      <c r="D1620" s="18"/>
      <c r="H1620" s="12" t="str">
        <f t="shared" si="82"/>
        <v>0 г. 0 мес. 0 дн.</v>
      </c>
      <c r="V1620" s="12" t="str">
        <f t="shared" si="80"/>
        <v>0 г. 0 мес. 0 дн.</v>
      </c>
      <c r="W1620" s="22"/>
      <c r="X1620" s="72"/>
    </row>
    <row r="1621" spans="1:24" ht="35.1" customHeight="1" x14ac:dyDescent="0.25">
      <c r="A1621" s="12">
        <f t="shared" si="81"/>
        <v>1620</v>
      </c>
      <c r="B1621" s="12"/>
      <c r="C1621" s="20"/>
      <c r="D1621" s="18"/>
      <c r="H1621" s="12" t="str">
        <f t="shared" si="82"/>
        <v>0 г. 0 мес. 0 дн.</v>
      </c>
      <c r="V1621" s="12" t="str">
        <f t="shared" si="80"/>
        <v>0 г. 0 мес. 0 дн.</v>
      </c>
      <c r="W1621" s="22"/>
      <c r="X1621" s="72"/>
    </row>
    <row r="1622" spans="1:24" ht="35.1" customHeight="1" x14ac:dyDescent="0.25">
      <c r="A1622" s="12">
        <f t="shared" si="81"/>
        <v>1621</v>
      </c>
      <c r="B1622" s="12"/>
      <c r="C1622" s="20"/>
      <c r="D1622" s="18"/>
      <c r="H1622" s="12" t="str">
        <f t="shared" si="82"/>
        <v>0 г. 0 мес. 0 дн.</v>
      </c>
      <c r="V1622" s="12" t="str">
        <f t="shared" si="80"/>
        <v>0 г. 0 мес. 0 дн.</v>
      </c>
      <c r="W1622" s="22"/>
      <c r="X1622" s="72"/>
    </row>
    <row r="1623" spans="1:24" ht="35.1" customHeight="1" x14ac:dyDescent="0.25">
      <c r="A1623" s="12">
        <f t="shared" si="81"/>
        <v>1622</v>
      </c>
      <c r="B1623" s="12"/>
      <c r="C1623" s="20"/>
      <c r="D1623" s="18"/>
      <c r="H1623" s="12" t="str">
        <f t="shared" si="82"/>
        <v>0 г. 0 мес. 0 дн.</v>
      </c>
      <c r="V1623" s="12" t="str">
        <f t="shared" si="80"/>
        <v>0 г. 0 мес. 0 дн.</v>
      </c>
      <c r="W1623" s="22"/>
      <c r="X1623" s="72"/>
    </row>
    <row r="1624" spans="1:24" ht="35.1" customHeight="1" x14ac:dyDescent="0.25">
      <c r="A1624" s="12">
        <f t="shared" si="81"/>
        <v>1623</v>
      </c>
      <c r="B1624" s="12"/>
      <c r="C1624" s="20"/>
      <c r="D1624" s="18"/>
      <c r="H1624" s="12" t="str">
        <f t="shared" si="82"/>
        <v>0 г. 0 мес. 0 дн.</v>
      </c>
      <c r="V1624" s="12" t="str">
        <f t="shared" ref="V1624:V1687" si="83">DATEDIF(D1624,T1624,"y") &amp; " г. " &amp; DATEDIF(D1624,T1624,"ym") &amp; " мес. " &amp; DATEDIF(D1624,T1624,"md") &amp; " дн."</f>
        <v>0 г. 0 мес. 0 дн.</v>
      </c>
      <c r="W1624" s="22"/>
      <c r="X1624" s="72"/>
    </row>
    <row r="1625" spans="1:24" ht="35.1" customHeight="1" x14ac:dyDescent="0.25">
      <c r="A1625" s="12">
        <f t="shared" si="81"/>
        <v>1624</v>
      </c>
      <c r="B1625" s="12"/>
      <c r="C1625" s="20"/>
      <c r="D1625" s="18"/>
      <c r="H1625" s="12" t="str">
        <f t="shared" si="82"/>
        <v>0 г. 0 мес. 0 дн.</v>
      </c>
      <c r="V1625" s="12" t="str">
        <f t="shared" si="83"/>
        <v>0 г. 0 мес. 0 дн.</v>
      </c>
      <c r="W1625" s="22"/>
      <c r="X1625" s="72"/>
    </row>
    <row r="1626" spans="1:24" ht="35.1" customHeight="1" x14ac:dyDescent="0.25">
      <c r="A1626" s="12">
        <f t="shared" si="81"/>
        <v>1625</v>
      </c>
      <c r="B1626" s="12"/>
      <c r="C1626" s="20"/>
      <c r="D1626" s="18"/>
      <c r="H1626" s="12" t="str">
        <f t="shared" si="82"/>
        <v>0 г. 0 мес. 0 дн.</v>
      </c>
      <c r="V1626" s="12" t="str">
        <f t="shared" si="83"/>
        <v>0 г. 0 мес. 0 дн.</v>
      </c>
      <c r="W1626" s="22"/>
      <c r="X1626" s="72"/>
    </row>
    <row r="1627" spans="1:24" ht="35.1" customHeight="1" x14ac:dyDescent="0.25">
      <c r="A1627" s="12">
        <f t="shared" si="81"/>
        <v>1626</v>
      </c>
      <c r="B1627" s="12"/>
      <c r="C1627" s="20"/>
      <c r="D1627" s="18"/>
      <c r="H1627" s="12" t="str">
        <f t="shared" si="82"/>
        <v>0 г. 0 мес. 0 дн.</v>
      </c>
      <c r="V1627" s="12" t="str">
        <f t="shared" si="83"/>
        <v>0 г. 0 мес. 0 дн.</v>
      </c>
      <c r="W1627" s="22"/>
      <c r="X1627" s="72"/>
    </row>
    <row r="1628" spans="1:24" ht="35.1" customHeight="1" x14ac:dyDescent="0.25">
      <c r="A1628" s="12">
        <f t="shared" si="81"/>
        <v>1627</v>
      </c>
      <c r="B1628" s="12"/>
      <c r="C1628" s="20"/>
      <c r="D1628" s="18"/>
      <c r="H1628" s="12" t="str">
        <f t="shared" si="82"/>
        <v>0 г. 0 мес. 0 дн.</v>
      </c>
      <c r="V1628" s="12" t="str">
        <f t="shared" si="83"/>
        <v>0 г. 0 мес. 0 дн.</v>
      </c>
      <c r="W1628" s="22"/>
      <c r="X1628" s="72"/>
    </row>
    <row r="1629" spans="1:24" ht="35.1" customHeight="1" x14ac:dyDescent="0.25">
      <c r="A1629" s="12">
        <f t="shared" si="81"/>
        <v>1628</v>
      </c>
      <c r="B1629" s="12"/>
      <c r="C1629" s="20"/>
      <c r="D1629" s="18"/>
      <c r="H1629" s="12" t="str">
        <f t="shared" si="82"/>
        <v>0 г. 0 мес. 0 дн.</v>
      </c>
      <c r="V1629" s="12" t="str">
        <f t="shared" si="83"/>
        <v>0 г. 0 мес. 0 дн.</v>
      </c>
      <c r="W1629" s="22"/>
      <c r="X1629" s="72"/>
    </row>
    <row r="1630" spans="1:24" ht="35.1" customHeight="1" x14ac:dyDescent="0.25">
      <c r="A1630" s="12">
        <f t="shared" si="81"/>
        <v>1629</v>
      </c>
      <c r="B1630" s="12"/>
      <c r="C1630" s="20"/>
      <c r="D1630" s="18"/>
      <c r="H1630" s="12" t="str">
        <f t="shared" si="82"/>
        <v>0 г. 0 мес. 0 дн.</v>
      </c>
      <c r="V1630" s="12" t="str">
        <f t="shared" si="83"/>
        <v>0 г. 0 мес. 0 дн.</v>
      </c>
      <c r="W1630" s="22"/>
      <c r="X1630" s="72"/>
    </row>
    <row r="1631" spans="1:24" ht="35.1" customHeight="1" x14ac:dyDescent="0.25">
      <c r="A1631" s="12">
        <f t="shared" si="81"/>
        <v>1630</v>
      </c>
      <c r="B1631" s="12"/>
      <c r="C1631" s="20"/>
      <c r="D1631" s="18"/>
      <c r="H1631" s="12" t="str">
        <f t="shared" si="82"/>
        <v>0 г. 0 мес. 0 дн.</v>
      </c>
      <c r="V1631" s="12" t="str">
        <f t="shared" si="83"/>
        <v>0 г. 0 мес. 0 дн.</v>
      </c>
      <c r="W1631" s="22"/>
      <c r="X1631" s="72"/>
    </row>
    <row r="1632" spans="1:24" ht="35.1" customHeight="1" x14ac:dyDescent="0.25">
      <c r="A1632" s="12">
        <f t="shared" si="81"/>
        <v>1631</v>
      </c>
      <c r="B1632" s="12"/>
      <c r="C1632" s="20"/>
      <c r="D1632" s="18"/>
      <c r="H1632" s="12" t="str">
        <f t="shared" si="82"/>
        <v>0 г. 0 мес. 0 дн.</v>
      </c>
      <c r="V1632" s="12" t="str">
        <f t="shared" si="83"/>
        <v>0 г. 0 мес. 0 дн.</v>
      </c>
      <c r="W1632" s="22"/>
      <c r="X1632" s="72"/>
    </row>
    <row r="1633" spans="1:24" ht="35.1" customHeight="1" x14ac:dyDescent="0.25">
      <c r="A1633" s="12">
        <f t="shared" si="81"/>
        <v>1632</v>
      </c>
      <c r="B1633" s="12"/>
      <c r="C1633" s="20"/>
      <c r="D1633" s="18"/>
      <c r="H1633" s="12" t="str">
        <f t="shared" si="82"/>
        <v>0 г. 0 мес. 0 дн.</v>
      </c>
      <c r="V1633" s="12" t="str">
        <f t="shared" si="83"/>
        <v>0 г. 0 мес. 0 дн.</v>
      </c>
      <c r="W1633" s="22"/>
      <c r="X1633" s="72"/>
    </row>
    <row r="1634" spans="1:24" ht="35.1" customHeight="1" x14ac:dyDescent="0.25">
      <c r="A1634" s="12">
        <f t="shared" si="81"/>
        <v>1633</v>
      </c>
      <c r="B1634" s="12"/>
      <c r="C1634" s="20"/>
      <c r="D1634" s="18"/>
      <c r="H1634" s="12" t="str">
        <f t="shared" si="82"/>
        <v>0 г. 0 мес. 0 дн.</v>
      </c>
      <c r="V1634" s="12" t="str">
        <f t="shared" si="83"/>
        <v>0 г. 0 мес. 0 дн.</v>
      </c>
      <c r="W1634" s="22"/>
      <c r="X1634" s="72"/>
    </row>
    <row r="1635" spans="1:24" ht="35.1" customHeight="1" x14ac:dyDescent="0.25">
      <c r="A1635" s="12">
        <f t="shared" si="81"/>
        <v>1634</v>
      </c>
      <c r="B1635" s="12"/>
      <c r="C1635" s="20"/>
      <c r="D1635" s="18"/>
      <c r="H1635" s="12" t="str">
        <f t="shared" si="82"/>
        <v>0 г. 0 мес. 0 дн.</v>
      </c>
      <c r="V1635" s="12" t="str">
        <f t="shared" si="83"/>
        <v>0 г. 0 мес. 0 дн.</v>
      </c>
      <c r="W1635" s="22"/>
      <c r="X1635" s="72"/>
    </row>
    <row r="1636" spans="1:24" ht="35.1" customHeight="1" x14ac:dyDescent="0.25">
      <c r="A1636" s="12">
        <f t="shared" si="81"/>
        <v>1635</v>
      </c>
      <c r="B1636" s="12"/>
      <c r="C1636" s="20"/>
      <c r="D1636" s="18"/>
      <c r="H1636" s="12" t="str">
        <f t="shared" si="82"/>
        <v>0 г. 0 мес. 0 дн.</v>
      </c>
      <c r="V1636" s="12" t="str">
        <f t="shared" si="83"/>
        <v>0 г. 0 мес. 0 дн.</v>
      </c>
      <c r="W1636" s="22"/>
      <c r="X1636" s="72"/>
    </row>
    <row r="1637" spans="1:24" ht="35.1" customHeight="1" x14ac:dyDescent="0.25">
      <c r="A1637" s="12">
        <f t="shared" si="81"/>
        <v>1636</v>
      </c>
      <c r="B1637" s="12"/>
      <c r="C1637" s="20"/>
      <c r="D1637" s="18"/>
      <c r="H1637" s="12" t="str">
        <f t="shared" si="82"/>
        <v>0 г. 0 мес. 0 дн.</v>
      </c>
      <c r="V1637" s="12" t="str">
        <f t="shared" si="83"/>
        <v>0 г. 0 мес. 0 дн.</v>
      </c>
      <c r="W1637" s="22"/>
      <c r="X1637" s="72"/>
    </row>
    <row r="1638" spans="1:24" ht="35.1" customHeight="1" x14ac:dyDescent="0.25">
      <c r="A1638" s="12">
        <f t="shared" si="81"/>
        <v>1637</v>
      </c>
      <c r="B1638" s="12"/>
      <c r="C1638" s="20"/>
      <c r="D1638" s="18"/>
      <c r="H1638" s="12" t="str">
        <f t="shared" si="82"/>
        <v>0 г. 0 мес. 0 дн.</v>
      </c>
      <c r="V1638" s="12" t="str">
        <f t="shared" si="83"/>
        <v>0 г. 0 мес. 0 дн.</v>
      </c>
      <c r="W1638" s="22"/>
      <c r="X1638" s="72"/>
    </row>
    <row r="1639" spans="1:24" ht="35.1" customHeight="1" x14ac:dyDescent="0.25">
      <c r="A1639" s="12">
        <f t="shared" si="81"/>
        <v>1638</v>
      </c>
      <c r="B1639" s="12"/>
      <c r="C1639" s="20"/>
      <c r="D1639" s="18"/>
      <c r="H1639" s="12" t="str">
        <f t="shared" si="82"/>
        <v>0 г. 0 мес. 0 дн.</v>
      </c>
      <c r="V1639" s="12" t="str">
        <f t="shared" si="83"/>
        <v>0 г. 0 мес. 0 дн.</v>
      </c>
      <c r="W1639" s="22"/>
      <c r="X1639" s="72"/>
    </row>
    <row r="1640" spans="1:24" ht="35.1" customHeight="1" x14ac:dyDescent="0.25">
      <c r="A1640" s="12">
        <f t="shared" si="81"/>
        <v>1639</v>
      </c>
      <c r="B1640" s="12"/>
      <c r="C1640" s="20"/>
      <c r="D1640" s="18"/>
      <c r="H1640" s="12" t="str">
        <f t="shared" si="82"/>
        <v>0 г. 0 мес. 0 дн.</v>
      </c>
      <c r="V1640" s="12" t="str">
        <f t="shared" si="83"/>
        <v>0 г. 0 мес. 0 дн.</v>
      </c>
      <c r="W1640" s="22"/>
      <c r="X1640" s="72"/>
    </row>
    <row r="1641" spans="1:24" ht="35.1" customHeight="1" x14ac:dyDescent="0.25">
      <c r="A1641" s="12">
        <f t="shared" si="81"/>
        <v>1640</v>
      </c>
      <c r="B1641" s="12"/>
      <c r="C1641" s="20"/>
      <c r="D1641" s="18"/>
      <c r="H1641" s="12" t="str">
        <f t="shared" si="82"/>
        <v>0 г. 0 мес. 0 дн.</v>
      </c>
      <c r="V1641" s="12" t="str">
        <f t="shared" si="83"/>
        <v>0 г. 0 мес. 0 дн.</v>
      </c>
      <c r="W1641" s="22"/>
      <c r="X1641" s="72"/>
    </row>
    <row r="1642" spans="1:24" ht="35.1" customHeight="1" x14ac:dyDescent="0.25">
      <c r="A1642" s="12">
        <f t="shared" si="81"/>
        <v>1641</v>
      </c>
      <c r="B1642" s="12"/>
      <c r="C1642" s="20"/>
      <c r="D1642" s="18"/>
      <c r="H1642" s="12" t="str">
        <f t="shared" si="82"/>
        <v>0 г. 0 мес. 0 дн.</v>
      </c>
      <c r="V1642" s="12" t="str">
        <f t="shared" si="83"/>
        <v>0 г. 0 мес. 0 дн.</v>
      </c>
      <c r="W1642" s="22"/>
      <c r="X1642" s="72"/>
    </row>
    <row r="1643" spans="1:24" ht="35.1" customHeight="1" x14ac:dyDescent="0.25">
      <c r="A1643" s="12">
        <f t="shared" si="81"/>
        <v>1642</v>
      </c>
      <c r="B1643" s="12"/>
      <c r="C1643" s="20"/>
      <c r="D1643" s="18"/>
      <c r="H1643" s="12" t="str">
        <f t="shared" si="82"/>
        <v>0 г. 0 мес. 0 дн.</v>
      </c>
      <c r="V1643" s="12" t="str">
        <f t="shared" si="83"/>
        <v>0 г. 0 мес. 0 дн.</v>
      </c>
      <c r="W1643" s="22"/>
      <c r="X1643" s="72"/>
    </row>
    <row r="1644" spans="1:24" ht="35.1" customHeight="1" x14ac:dyDescent="0.25">
      <c r="A1644" s="12">
        <f t="shared" si="81"/>
        <v>1643</v>
      </c>
      <c r="B1644" s="12"/>
      <c r="C1644" s="20"/>
      <c r="D1644" s="18"/>
      <c r="H1644" s="12" t="str">
        <f t="shared" si="82"/>
        <v>0 г. 0 мес. 0 дн.</v>
      </c>
      <c r="V1644" s="12" t="str">
        <f t="shared" si="83"/>
        <v>0 г. 0 мес. 0 дн.</v>
      </c>
      <c r="W1644" s="22"/>
      <c r="X1644" s="72"/>
    </row>
    <row r="1645" spans="1:24" ht="35.1" customHeight="1" x14ac:dyDescent="0.25">
      <c r="A1645" s="12">
        <f t="shared" si="81"/>
        <v>1644</v>
      </c>
      <c r="B1645" s="12"/>
      <c r="C1645" s="20"/>
      <c r="D1645" s="18"/>
      <c r="H1645" s="12" t="str">
        <f t="shared" si="82"/>
        <v>0 г. 0 мес. 0 дн.</v>
      </c>
      <c r="V1645" s="12" t="str">
        <f t="shared" si="83"/>
        <v>0 г. 0 мес. 0 дн.</v>
      </c>
      <c r="W1645" s="22"/>
      <c r="X1645" s="72"/>
    </row>
    <row r="1646" spans="1:24" ht="35.1" customHeight="1" x14ac:dyDescent="0.25">
      <c r="A1646" s="12">
        <f t="shared" si="81"/>
        <v>1645</v>
      </c>
      <c r="B1646" s="12"/>
      <c r="C1646" s="20"/>
      <c r="D1646" s="18"/>
      <c r="H1646" s="12" t="str">
        <f t="shared" si="82"/>
        <v>0 г. 0 мес. 0 дн.</v>
      </c>
      <c r="V1646" s="12" t="str">
        <f t="shared" si="83"/>
        <v>0 г. 0 мес. 0 дн.</v>
      </c>
      <c r="W1646" s="22"/>
      <c r="X1646" s="72"/>
    </row>
    <row r="1647" spans="1:24" ht="35.1" customHeight="1" x14ac:dyDescent="0.25">
      <c r="A1647" s="12">
        <f t="shared" si="81"/>
        <v>1646</v>
      </c>
      <c r="B1647" s="12"/>
      <c r="C1647" s="20"/>
      <c r="D1647" s="18"/>
      <c r="H1647" s="12" t="str">
        <f t="shared" si="82"/>
        <v>0 г. 0 мес. 0 дн.</v>
      </c>
      <c r="V1647" s="12" t="str">
        <f t="shared" si="83"/>
        <v>0 г. 0 мес. 0 дн.</v>
      </c>
      <c r="W1647" s="22"/>
      <c r="X1647" s="72"/>
    </row>
    <row r="1648" spans="1:24" ht="35.1" customHeight="1" x14ac:dyDescent="0.25">
      <c r="A1648" s="12">
        <f t="shared" si="81"/>
        <v>1647</v>
      </c>
      <c r="B1648" s="12"/>
      <c r="C1648" s="20"/>
      <c r="D1648" s="18"/>
      <c r="H1648" s="12" t="str">
        <f t="shared" si="82"/>
        <v>0 г. 0 мес. 0 дн.</v>
      </c>
      <c r="V1648" s="12" t="str">
        <f t="shared" si="83"/>
        <v>0 г. 0 мес. 0 дн.</v>
      </c>
      <c r="W1648" s="22"/>
      <c r="X1648" s="72"/>
    </row>
    <row r="1649" spans="1:24" ht="35.1" customHeight="1" x14ac:dyDescent="0.25">
      <c r="A1649" s="12">
        <f t="shared" si="81"/>
        <v>1648</v>
      </c>
      <c r="B1649" s="12"/>
      <c r="C1649" s="20"/>
      <c r="D1649" s="18"/>
      <c r="H1649" s="12" t="str">
        <f t="shared" si="82"/>
        <v>0 г. 0 мес. 0 дн.</v>
      </c>
      <c r="V1649" s="12" t="str">
        <f t="shared" si="83"/>
        <v>0 г. 0 мес. 0 дн.</v>
      </c>
      <c r="W1649" s="22"/>
      <c r="X1649" s="72"/>
    </row>
    <row r="1650" spans="1:24" ht="35.1" customHeight="1" x14ac:dyDescent="0.25">
      <c r="A1650" s="12">
        <f t="shared" si="81"/>
        <v>1649</v>
      </c>
      <c r="B1650" s="12"/>
      <c r="C1650" s="20"/>
      <c r="D1650" s="18"/>
      <c r="H1650" s="12" t="str">
        <f t="shared" si="82"/>
        <v>0 г. 0 мес. 0 дн.</v>
      </c>
      <c r="V1650" s="12" t="str">
        <f t="shared" si="83"/>
        <v>0 г. 0 мес. 0 дн.</v>
      </c>
      <c r="W1650" s="22"/>
      <c r="X1650" s="72"/>
    </row>
    <row r="1651" spans="1:24" ht="35.1" customHeight="1" x14ac:dyDescent="0.25">
      <c r="A1651" s="12">
        <f t="shared" si="81"/>
        <v>1650</v>
      </c>
      <c r="B1651" s="12"/>
      <c r="C1651" s="20"/>
      <c r="D1651" s="18"/>
      <c r="H1651" s="12" t="str">
        <f t="shared" si="82"/>
        <v>0 г. 0 мес. 0 дн.</v>
      </c>
      <c r="V1651" s="12" t="str">
        <f t="shared" si="83"/>
        <v>0 г. 0 мес. 0 дн.</v>
      </c>
      <c r="W1651" s="22"/>
      <c r="X1651" s="72"/>
    </row>
    <row r="1652" spans="1:24" ht="35.1" customHeight="1" x14ac:dyDescent="0.25">
      <c r="A1652" s="12">
        <f t="shared" si="81"/>
        <v>1651</v>
      </c>
      <c r="B1652" s="12"/>
      <c r="C1652" s="20"/>
      <c r="D1652" s="18"/>
      <c r="H1652" s="12" t="str">
        <f t="shared" si="82"/>
        <v>0 г. 0 мес. 0 дн.</v>
      </c>
      <c r="V1652" s="12" t="str">
        <f t="shared" si="83"/>
        <v>0 г. 0 мес. 0 дн.</v>
      </c>
      <c r="W1652" s="22"/>
      <c r="X1652" s="72"/>
    </row>
    <row r="1653" spans="1:24" ht="35.1" customHeight="1" x14ac:dyDescent="0.25">
      <c r="A1653" s="12">
        <f t="shared" si="81"/>
        <v>1652</v>
      </c>
      <c r="B1653" s="12"/>
      <c r="C1653" s="20"/>
      <c r="D1653" s="18"/>
      <c r="H1653" s="12" t="str">
        <f t="shared" si="82"/>
        <v>0 г. 0 мес. 0 дн.</v>
      </c>
      <c r="V1653" s="12" t="str">
        <f t="shared" si="83"/>
        <v>0 г. 0 мес. 0 дн.</v>
      </c>
      <c r="W1653" s="22"/>
      <c r="X1653" s="72"/>
    </row>
    <row r="1654" spans="1:24" ht="35.1" customHeight="1" x14ac:dyDescent="0.25">
      <c r="A1654" s="12">
        <f t="shared" si="81"/>
        <v>1653</v>
      </c>
      <c r="B1654" s="12"/>
      <c r="C1654" s="20"/>
      <c r="D1654" s="18"/>
      <c r="H1654" s="12" t="str">
        <f t="shared" si="82"/>
        <v>0 г. 0 мес. 0 дн.</v>
      </c>
      <c r="V1654" s="12" t="str">
        <f t="shared" si="83"/>
        <v>0 г. 0 мес. 0 дн.</v>
      </c>
      <c r="W1654" s="22"/>
      <c r="X1654" s="72"/>
    </row>
    <row r="1655" spans="1:24" ht="35.1" customHeight="1" x14ac:dyDescent="0.25">
      <c r="A1655" s="12">
        <f t="shared" si="81"/>
        <v>1654</v>
      </c>
      <c r="B1655" s="12"/>
      <c r="C1655" s="20"/>
      <c r="D1655" s="18"/>
      <c r="H1655" s="12" t="str">
        <f t="shared" si="82"/>
        <v>0 г. 0 мес. 0 дн.</v>
      </c>
      <c r="V1655" s="12" t="str">
        <f t="shared" si="83"/>
        <v>0 г. 0 мес. 0 дн.</v>
      </c>
      <c r="W1655" s="22"/>
      <c r="X1655" s="72"/>
    </row>
    <row r="1656" spans="1:24" ht="35.1" customHeight="1" x14ac:dyDescent="0.25">
      <c r="A1656" s="12">
        <f t="shared" si="81"/>
        <v>1655</v>
      </c>
      <c r="B1656" s="12"/>
      <c r="C1656" s="20"/>
      <c r="D1656" s="18"/>
      <c r="H1656" s="12" t="str">
        <f t="shared" si="82"/>
        <v>0 г. 0 мес. 0 дн.</v>
      </c>
      <c r="V1656" s="12" t="str">
        <f t="shared" si="83"/>
        <v>0 г. 0 мес. 0 дн.</v>
      </c>
      <c r="W1656" s="22"/>
      <c r="X1656" s="72"/>
    </row>
    <row r="1657" spans="1:24" ht="35.1" customHeight="1" x14ac:dyDescent="0.25">
      <c r="A1657" s="12">
        <f t="shared" si="81"/>
        <v>1656</v>
      </c>
      <c r="B1657" s="12"/>
      <c r="C1657" s="20"/>
      <c r="D1657" s="18"/>
      <c r="H1657" s="12" t="str">
        <f t="shared" si="82"/>
        <v>0 г. 0 мес. 0 дн.</v>
      </c>
      <c r="V1657" s="12" t="str">
        <f t="shared" si="83"/>
        <v>0 г. 0 мес. 0 дн.</v>
      </c>
      <c r="W1657" s="22"/>
      <c r="X1657" s="72"/>
    </row>
    <row r="1658" spans="1:24" ht="35.1" customHeight="1" x14ac:dyDescent="0.25">
      <c r="A1658" s="12">
        <f t="shared" si="81"/>
        <v>1657</v>
      </c>
      <c r="B1658" s="12"/>
      <c r="C1658" s="20"/>
      <c r="D1658" s="18"/>
      <c r="H1658" s="12" t="str">
        <f t="shared" si="82"/>
        <v>0 г. 0 мес. 0 дн.</v>
      </c>
      <c r="V1658" s="12" t="str">
        <f t="shared" si="83"/>
        <v>0 г. 0 мес. 0 дн.</v>
      </c>
      <c r="W1658" s="22"/>
      <c r="X1658" s="72"/>
    </row>
    <row r="1659" spans="1:24" ht="35.1" customHeight="1" x14ac:dyDescent="0.25">
      <c r="A1659" s="12">
        <f t="shared" si="81"/>
        <v>1658</v>
      </c>
      <c r="B1659" s="12"/>
      <c r="C1659" s="20"/>
      <c r="D1659" s="18"/>
      <c r="H1659" s="12" t="str">
        <f t="shared" si="82"/>
        <v>0 г. 0 мес. 0 дн.</v>
      </c>
      <c r="V1659" s="12" t="str">
        <f t="shared" si="83"/>
        <v>0 г. 0 мес. 0 дн.</v>
      </c>
      <c r="W1659" s="22"/>
      <c r="X1659" s="72"/>
    </row>
    <row r="1660" spans="1:24" ht="35.1" customHeight="1" x14ac:dyDescent="0.25">
      <c r="A1660" s="12">
        <f t="shared" si="81"/>
        <v>1659</v>
      </c>
      <c r="B1660" s="12"/>
      <c r="C1660" s="20"/>
      <c r="D1660" s="18"/>
      <c r="H1660" s="12" t="str">
        <f t="shared" si="82"/>
        <v>0 г. 0 мес. 0 дн.</v>
      </c>
      <c r="V1660" s="12" t="str">
        <f t="shared" si="83"/>
        <v>0 г. 0 мес. 0 дн.</v>
      </c>
      <c r="W1660" s="22"/>
      <c r="X1660" s="72"/>
    </row>
    <row r="1661" spans="1:24" ht="35.1" customHeight="1" x14ac:dyDescent="0.25">
      <c r="A1661" s="12">
        <f t="shared" si="81"/>
        <v>1660</v>
      </c>
      <c r="B1661" s="12"/>
      <c r="C1661" s="20"/>
      <c r="D1661" s="18"/>
      <c r="H1661" s="12" t="str">
        <f t="shared" si="82"/>
        <v>0 г. 0 мес. 0 дн.</v>
      </c>
      <c r="V1661" s="12" t="str">
        <f t="shared" si="83"/>
        <v>0 г. 0 мес. 0 дн.</v>
      </c>
      <c r="W1661" s="22"/>
      <c r="X1661" s="72"/>
    </row>
    <row r="1662" spans="1:24" ht="35.1" customHeight="1" x14ac:dyDescent="0.25">
      <c r="A1662" s="12">
        <f t="shared" si="81"/>
        <v>1661</v>
      </c>
      <c r="B1662" s="12"/>
      <c r="C1662" s="20"/>
      <c r="D1662" s="18"/>
      <c r="H1662" s="12" t="str">
        <f t="shared" si="82"/>
        <v>0 г. 0 мес. 0 дн.</v>
      </c>
      <c r="V1662" s="12" t="str">
        <f t="shared" si="83"/>
        <v>0 г. 0 мес. 0 дн.</v>
      </c>
      <c r="W1662" s="22"/>
      <c r="X1662" s="72"/>
    </row>
    <row r="1663" spans="1:24" ht="35.1" customHeight="1" x14ac:dyDescent="0.25">
      <c r="A1663" s="12">
        <f t="shared" si="81"/>
        <v>1662</v>
      </c>
      <c r="B1663" s="12"/>
      <c r="C1663" s="20"/>
      <c r="D1663" s="18"/>
      <c r="H1663" s="12" t="str">
        <f t="shared" si="82"/>
        <v>0 г. 0 мес. 0 дн.</v>
      </c>
      <c r="V1663" s="12" t="str">
        <f t="shared" si="83"/>
        <v>0 г. 0 мес. 0 дн.</v>
      </c>
      <c r="W1663" s="22"/>
      <c r="X1663" s="72"/>
    </row>
    <row r="1664" spans="1:24" ht="35.1" customHeight="1" x14ac:dyDescent="0.25">
      <c r="A1664" s="12">
        <f t="shared" si="81"/>
        <v>1663</v>
      </c>
      <c r="B1664" s="12"/>
      <c r="C1664" s="20"/>
      <c r="D1664" s="18"/>
      <c r="H1664" s="12" t="str">
        <f t="shared" si="82"/>
        <v>0 г. 0 мес. 0 дн.</v>
      </c>
      <c r="V1664" s="12" t="str">
        <f t="shared" si="83"/>
        <v>0 г. 0 мес. 0 дн.</v>
      </c>
      <c r="W1664" s="22"/>
      <c r="X1664" s="72"/>
    </row>
    <row r="1665" spans="1:24" ht="35.1" customHeight="1" x14ac:dyDescent="0.25">
      <c r="A1665" s="12">
        <f t="shared" ref="A1665:A1728" si="84">ROW(A1664)</f>
        <v>1664</v>
      </c>
      <c r="B1665" s="12"/>
      <c r="C1665" s="20"/>
      <c r="D1665" s="18"/>
      <c r="H1665" s="12" t="str">
        <f t="shared" si="82"/>
        <v>0 г. 0 мес. 0 дн.</v>
      </c>
      <c r="V1665" s="12" t="str">
        <f t="shared" si="83"/>
        <v>0 г. 0 мес. 0 дн.</v>
      </c>
      <c r="W1665" s="22"/>
      <c r="X1665" s="72"/>
    </row>
    <row r="1666" spans="1:24" ht="35.1" customHeight="1" x14ac:dyDescent="0.25">
      <c r="A1666" s="12">
        <f t="shared" si="84"/>
        <v>1665</v>
      </c>
      <c r="B1666" s="12"/>
      <c r="C1666" s="20"/>
      <c r="D1666" s="18"/>
      <c r="H1666" s="12" t="str">
        <f t="shared" si="82"/>
        <v>0 г. 0 мес. 0 дн.</v>
      </c>
      <c r="V1666" s="12" t="str">
        <f t="shared" si="83"/>
        <v>0 г. 0 мес. 0 дн.</v>
      </c>
      <c r="W1666" s="22"/>
      <c r="X1666" s="72"/>
    </row>
    <row r="1667" spans="1:24" ht="35.1" customHeight="1" x14ac:dyDescent="0.25">
      <c r="A1667" s="12">
        <f t="shared" si="84"/>
        <v>1666</v>
      </c>
      <c r="B1667" s="12"/>
      <c r="C1667" s="20"/>
      <c r="D1667" s="18"/>
      <c r="H1667" s="12" t="str">
        <f t="shared" si="82"/>
        <v>0 г. 0 мес. 0 дн.</v>
      </c>
      <c r="V1667" s="12" t="str">
        <f t="shared" si="83"/>
        <v>0 г. 0 мес. 0 дн.</v>
      </c>
      <c r="W1667" s="22"/>
      <c r="X1667" s="72"/>
    </row>
    <row r="1668" spans="1:24" ht="35.1" customHeight="1" x14ac:dyDescent="0.25">
      <c r="A1668" s="12">
        <f t="shared" si="84"/>
        <v>1667</v>
      </c>
      <c r="B1668" s="12"/>
      <c r="C1668" s="20"/>
      <c r="D1668" s="18"/>
      <c r="H1668" s="12" t="str">
        <f t="shared" si="82"/>
        <v>0 г. 0 мес. 0 дн.</v>
      </c>
      <c r="V1668" s="12" t="str">
        <f t="shared" si="83"/>
        <v>0 г. 0 мес. 0 дн.</v>
      </c>
      <c r="W1668" s="22"/>
      <c r="X1668" s="72"/>
    </row>
    <row r="1669" spans="1:24" ht="35.1" customHeight="1" x14ac:dyDescent="0.25">
      <c r="A1669" s="12">
        <f t="shared" si="84"/>
        <v>1668</v>
      </c>
      <c r="B1669" s="12"/>
      <c r="C1669" s="20"/>
      <c r="D1669" s="18"/>
      <c r="H1669" s="12" t="str">
        <f t="shared" si="82"/>
        <v>0 г. 0 мес. 0 дн.</v>
      </c>
      <c r="V1669" s="12" t="str">
        <f t="shared" si="83"/>
        <v>0 г. 0 мес. 0 дн.</v>
      </c>
      <c r="W1669" s="22"/>
      <c r="X1669" s="72"/>
    </row>
    <row r="1670" spans="1:24" ht="35.1" customHeight="1" x14ac:dyDescent="0.25">
      <c r="A1670" s="12">
        <f t="shared" si="84"/>
        <v>1669</v>
      </c>
      <c r="B1670" s="12"/>
      <c r="C1670" s="20"/>
      <c r="D1670" s="18"/>
      <c r="H1670" s="12" t="str">
        <f t="shared" ref="H1670:H1733" si="85">DATEDIF(G1670,D1670,"y") &amp; " г. " &amp; DATEDIF(G1670,D1670,"ym") &amp; " мес. " &amp; DATEDIF(G1670,D1670,"md") &amp; " дн."</f>
        <v>0 г. 0 мес. 0 дн.</v>
      </c>
      <c r="V1670" s="12" t="str">
        <f t="shared" si="83"/>
        <v>0 г. 0 мес. 0 дн.</v>
      </c>
      <c r="W1670" s="22"/>
      <c r="X1670" s="72"/>
    </row>
    <row r="1671" spans="1:24" ht="35.1" customHeight="1" x14ac:dyDescent="0.25">
      <c r="A1671" s="12">
        <f t="shared" si="84"/>
        <v>1670</v>
      </c>
      <c r="B1671" s="12"/>
      <c r="C1671" s="20"/>
      <c r="D1671" s="18"/>
      <c r="H1671" s="12" t="str">
        <f t="shared" si="85"/>
        <v>0 г. 0 мес. 0 дн.</v>
      </c>
      <c r="V1671" s="12" t="str">
        <f t="shared" si="83"/>
        <v>0 г. 0 мес. 0 дн.</v>
      </c>
      <c r="W1671" s="22"/>
      <c r="X1671" s="72"/>
    </row>
    <row r="1672" spans="1:24" ht="35.1" customHeight="1" x14ac:dyDescent="0.25">
      <c r="A1672" s="12">
        <f t="shared" si="84"/>
        <v>1671</v>
      </c>
      <c r="B1672" s="12"/>
      <c r="C1672" s="20"/>
      <c r="D1672" s="18"/>
      <c r="H1672" s="12" t="str">
        <f t="shared" si="85"/>
        <v>0 г. 0 мес. 0 дн.</v>
      </c>
      <c r="V1672" s="12" t="str">
        <f t="shared" si="83"/>
        <v>0 г. 0 мес. 0 дн.</v>
      </c>
      <c r="W1672" s="22"/>
      <c r="X1672" s="72"/>
    </row>
    <row r="1673" spans="1:24" ht="35.1" customHeight="1" x14ac:dyDescent="0.25">
      <c r="A1673" s="12">
        <f t="shared" si="84"/>
        <v>1672</v>
      </c>
      <c r="B1673" s="12"/>
      <c r="C1673" s="20"/>
      <c r="D1673" s="18"/>
      <c r="H1673" s="12" t="str">
        <f t="shared" si="85"/>
        <v>0 г. 0 мес. 0 дн.</v>
      </c>
      <c r="V1673" s="12" t="str">
        <f t="shared" si="83"/>
        <v>0 г. 0 мес. 0 дн.</v>
      </c>
      <c r="W1673" s="22"/>
      <c r="X1673" s="72"/>
    </row>
    <row r="1674" spans="1:24" ht="35.1" customHeight="1" x14ac:dyDescent="0.25">
      <c r="A1674" s="12">
        <f t="shared" si="84"/>
        <v>1673</v>
      </c>
      <c r="B1674" s="12"/>
      <c r="C1674" s="20"/>
      <c r="D1674" s="18"/>
      <c r="H1674" s="12" t="str">
        <f t="shared" si="85"/>
        <v>0 г. 0 мес. 0 дн.</v>
      </c>
      <c r="V1674" s="12" t="str">
        <f t="shared" si="83"/>
        <v>0 г. 0 мес. 0 дн.</v>
      </c>
      <c r="W1674" s="22"/>
      <c r="X1674" s="72"/>
    </row>
    <row r="1675" spans="1:24" ht="35.1" customHeight="1" x14ac:dyDescent="0.25">
      <c r="A1675" s="12">
        <f t="shared" si="84"/>
        <v>1674</v>
      </c>
      <c r="B1675" s="12"/>
      <c r="C1675" s="20"/>
      <c r="D1675" s="18"/>
      <c r="H1675" s="12" t="str">
        <f t="shared" si="85"/>
        <v>0 г. 0 мес. 0 дн.</v>
      </c>
      <c r="V1675" s="12" t="str">
        <f t="shared" si="83"/>
        <v>0 г. 0 мес. 0 дн.</v>
      </c>
      <c r="W1675" s="22"/>
      <c r="X1675" s="72"/>
    </row>
    <row r="1676" spans="1:24" ht="35.1" customHeight="1" x14ac:dyDescent="0.25">
      <c r="A1676" s="12">
        <f t="shared" si="84"/>
        <v>1675</v>
      </c>
      <c r="B1676" s="12"/>
      <c r="C1676" s="20"/>
      <c r="D1676" s="18"/>
      <c r="H1676" s="12" t="str">
        <f t="shared" si="85"/>
        <v>0 г. 0 мес. 0 дн.</v>
      </c>
      <c r="V1676" s="12" t="str">
        <f t="shared" si="83"/>
        <v>0 г. 0 мес. 0 дн.</v>
      </c>
      <c r="W1676" s="22"/>
      <c r="X1676" s="72"/>
    </row>
    <row r="1677" spans="1:24" ht="35.1" customHeight="1" x14ac:dyDescent="0.25">
      <c r="A1677" s="12">
        <f t="shared" si="84"/>
        <v>1676</v>
      </c>
      <c r="B1677" s="12"/>
      <c r="C1677" s="20"/>
      <c r="D1677" s="18"/>
      <c r="H1677" s="12" t="str">
        <f t="shared" si="85"/>
        <v>0 г. 0 мес. 0 дн.</v>
      </c>
      <c r="V1677" s="12" t="str">
        <f t="shared" si="83"/>
        <v>0 г. 0 мес. 0 дн.</v>
      </c>
      <c r="W1677" s="22"/>
      <c r="X1677" s="72"/>
    </row>
    <row r="1678" spans="1:24" ht="35.1" customHeight="1" x14ac:dyDescent="0.25">
      <c r="A1678" s="12">
        <f t="shared" si="84"/>
        <v>1677</v>
      </c>
      <c r="B1678" s="12"/>
      <c r="C1678" s="20"/>
      <c r="D1678" s="18"/>
      <c r="H1678" s="12" t="str">
        <f t="shared" si="85"/>
        <v>0 г. 0 мес. 0 дн.</v>
      </c>
      <c r="V1678" s="12" t="str">
        <f t="shared" si="83"/>
        <v>0 г. 0 мес. 0 дн.</v>
      </c>
      <c r="W1678" s="22"/>
      <c r="X1678" s="72"/>
    </row>
    <row r="1679" spans="1:24" ht="35.1" customHeight="1" x14ac:dyDescent="0.25">
      <c r="A1679" s="12">
        <f t="shared" si="84"/>
        <v>1678</v>
      </c>
      <c r="B1679" s="12"/>
      <c r="C1679" s="20"/>
      <c r="D1679" s="18"/>
      <c r="H1679" s="12" t="str">
        <f t="shared" si="85"/>
        <v>0 г. 0 мес. 0 дн.</v>
      </c>
      <c r="V1679" s="12" t="str">
        <f t="shared" si="83"/>
        <v>0 г. 0 мес. 0 дн.</v>
      </c>
      <c r="W1679" s="22"/>
      <c r="X1679" s="72"/>
    </row>
    <row r="1680" spans="1:24" ht="35.1" customHeight="1" x14ac:dyDescent="0.25">
      <c r="A1680" s="12">
        <f t="shared" si="84"/>
        <v>1679</v>
      </c>
      <c r="B1680" s="12"/>
      <c r="C1680" s="20"/>
      <c r="D1680" s="18"/>
      <c r="H1680" s="12" t="str">
        <f t="shared" si="85"/>
        <v>0 г. 0 мес. 0 дн.</v>
      </c>
      <c r="V1680" s="12" t="str">
        <f t="shared" si="83"/>
        <v>0 г. 0 мес. 0 дн.</v>
      </c>
      <c r="W1680" s="22"/>
      <c r="X1680" s="72"/>
    </row>
    <row r="1681" spans="1:24" ht="35.1" customHeight="1" x14ac:dyDescent="0.25">
      <c r="A1681" s="12">
        <f t="shared" si="84"/>
        <v>1680</v>
      </c>
      <c r="B1681" s="12"/>
      <c r="C1681" s="20"/>
      <c r="D1681" s="18"/>
      <c r="H1681" s="12" t="str">
        <f t="shared" si="85"/>
        <v>0 г. 0 мес. 0 дн.</v>
      </c>
      <c r="V1681" s="12" t="str">
        <f t="shared" si="83"/>
        <v>0 г. 0 мес. 0 дн.</v>
      </c>
      <c r="W1681" s="22"/>
      <c r="X1681" s="72"/>
    </row>
    <row r="1682" spans="1:24" ht="35.1" customHeight="1" x14ac:dyDescent="0.25">
      <c r="A1682" s="12">
        <f t="shared" si="84"/>
        <v>1681</v>
      </c>
      <c r="B1682" s="12"/>
      <c r="C1682" s="20"/>
      <c r="D1682" s="18"/>
      <c r="H1682" s="12" t="str">
        <f t="shared" si="85"/>
        <v>0 г. 0 мес. 0 дн.</v>
      </c>
      <c r="V1682" s="12" t="str">
        <f t="shared" si="83"/>
        <v>0 г. 0 мес. 0 дн.</v>
      </c>
      <c r="W1682" s="22"/>
      <c r="X1682" s="72"/>
    </row>
    <row r="1683" spans="1:24" ht="35.1" customHeight="1" x14ac:dyDescent="0.25">
      <c r="A1683" s="12">
        <f t="shared" si="84"/>
        <v>1682</v>
      </c>
      <c r="B1683" s="12"/>
      <c r="C1683" s="20"/>
      <c r="D1683" s="18"/>
      <c r="H1683" s="12" t="str">
        <f t="shared" si="85"/>
        <v>0 г. 0 мес. 0 дн.</v>
      </c>
      <c r="V1683" s="12" t="str">
        <f t="shared" si="83"/>
        <v>0 г. 0 мес. 0 дн.</v>
      </c>
      <c r="W1683" s="22"/>
      <c r="X1683" s="72"/>
    </row>
    <row r="1684" spans="1:24" ht="35.1" customHeight="1" x14ac:dyDescent="0.25">
      <c r="A1684" s="12">
        <f t="shared" si="84"/>
        <v>1683</v>
      </c>
      <c r="B1684" s="12"/>
      <c r="C1684" s="20"/>
      <c r="D1684" s="18"/>
      <c r="H1684" s="12" t="str">
        <f t="shared" si="85"/>
        <v>0 г. 0 мес. 0 дн.</v>
      </c>
      <c r="V1684" s="12" t="str">
        <f t="shared" si="83"/>
        <v>0 г. 0 мес. 0 дн.</v>
      </c>
      <c r="W1684" s="22"/>
      <c r="X1684" s="72"/>
    </row>
    <row r="1685" spans="1:24" ht="35.1" customHeight="1" x14ac:dyDescent="0.25">
      <c r="A1685" s="12">
        <f t="shared" si="84"/>
        <v>1684</v>
      </c>
      <c r="B1685" s="12"/>
      <c r="C1685" s="20"/>
      <c r="D1685" s="18"/>
      <c r="H1685" s="12" t="str">
        <f t="shared" si="85"/>
        <v>0 г. 0 мес. 0 дн.</v>
      </c>
      <c r="V1685" s="12" t="str">
        <f t="shared" si="83"/>
        <v>0 г. 0 мес. 0 дн.</v>
      </c>
      <c r="W1685" s="22"/>
      <c r="X1685" s="72"/>
    </row>
    <row r="1686" spans="1:24" ht="35.1" customHeight="1" x14ac:dyDescent="0.25">
      <c r="A1686" s="12">
        <f t="shared" si="84"/>
        <v>1685</v>
      </c>
      <c r="B1686" s="12"/>
      <c r="C1686" s="20"/>
      <c r="D1686" s="18"/>
      <c r="H1686" s="12" t="str">
        <f t="shared" si="85"/>
        <v>0 г. 0 мес. 0 дн.</v>
      </c>
      <c r="V1686" s="12" t="str">
        <f t="shared" si="83"/>
        <v>0 г. 0 мес. 0 дн.</v>
      </c>
      <c r="W1686" s="22"/>
      <c r="X1686" s="72"/>
    </row>
    <row r="1687" spans="1:24" ht="35.1" customHeight="1" x14ac:dyDescent="0.25">
      <c r="A1687" s="12">
        <f t="shared" si="84"/>
        <v>1686</v>
      </c>
      <c r="B1687" s="12"/>
      <c r="C1687" s="20"/>
      <c r="D1687" s="18"/>
      <c r="H1687" s="12" t="str">
        <f t="shared" si="85"/>
        <v>0 г. 0 мес. 0 дн.</v>
      </c>
      <c r="V1687" s="12" t="str">
        <f t="shared" si="83"/>
        <v>0 г. 0 мес. 0 дн.</v>
      </c>
      <c r="W1687" s="22"/>
      <c r="X1687" s="72"/>
    </row>
    <row r="1688" spans="1:24" ht="35.1" customHeight="1" x14ac:dyDescent="0.25">
      <c r="A1688" s="12">
        <f t="shared" si="84"/>
        <v>1687</v>
      </c>
      <c r="B1688" s="12"/>
      <c r="C1688" s="20"/>
      <c r="D1688" s="18"/>
      <c r="H1688" s="12" t="str">
        <f t="shared" si="85"/>
        <v>0 г. 0 мес. 0 дн.</v>
      </c>
      <c r="V1688" s="12" t="str">
        <f t="shared" ref="V1688:V1751" si="86">DATEDIF(D1688,T1688,"y") &amp; " г. " &amp; DATEDIF(D1688,T1688,"ym") &amp; " мес. " &amp; DATEDIF(D1688,T1688,"md") &amp; " дн."</f>
        <v>0 г. 0 мес. 0 дн.</v>
      </c>
      <c r="W1688" s="22"/>
      <c r="X1688" s="72"/>
    </row>
    <row r="1689" spans="1:24" ht="35.1" customHeight="1" x14ac:dyDescent="0.25">
      <c r="A1689" s="12">
        <f t="shared" si="84"/>
        <v>1688</v>
      </c>
      <c r="B1689" s="12"/>
      <c r="C1689" s="20"/>
      <c r="D1689" s="18"/>
      <c r="H1689" s="12" t="str">
        <f t="shared" si="85"/>
        <v>0 г. 0 мес. 0 дн.</v>
      </c>
      <c r="V1689" s="12" t="str">
        <f t="shared" si="86"/>
        <v>0 г. 0 мес. 0 дн.</v>
      </c>
      <c r="W1689" s="22"/>
      <c r="X1689" s="72"/>
    </row>
    <row r="1690" spans="1:24" ht="35.1" customHeight="1" x14ac:dyDescent="0.25">
      <c r="A1690" s="12">
        <f t="shared" si="84"/>
        <v>1689</v>
      </c>
      <c r="B1690" s="12"/>
      <c r="C1690" s="20"/>
      <c r="D1690" s="18"/>
      <c r="H1690" s="12" t="str">
        <f t="shared" si="85"/>
        <v>0 г. 0 мес. 0 дн.</v>
      </c>
      <c r="V1690" s="12" t="str">
        <f t="shared" si="86"/>
        <v>0 г. 0 мес. 0 дн.</v>
      </c>
      <c r="W1690" s="22"/>
      <c r="X1690" s="72"/>
    </row>
    <row r="1691" spans="1:24" ht="35.1" customHeight="1" x14ac:dyDescent="0.25">
      <c r="A1691" s="12">
        <f t="shared" si="84"/>
        <v>1690</v>
      </c>
      <c r="B1691" s="12"/>
      <c r="C1691" s="20"/>
      <c r="D1691" s="18"/>
      <c r="H1691" s="12" t="str">
        <f t="shared" si="85"/>
        <v>0 г. 0 мес. 0 дн.</v>
      </c>
      <c r="V1691" s="12" t="str">
        <f t="shared" si="86"/>
        <v>0 г. 0 мес. 0 дн.</v>
      </c>
      <c r="W1691" s="22"/>
      <c r="X1691" s="72"/>
    </row>
    <row r="1692" spans="1:24" ht="35.1" customHeight="1" x14ac:dyDescent="0.25">
      <c r="A1692" s="12">
        <f t="shared" si="84"/>
        <v>1691</v>
      </c>
      <c r="B1692" s="12"/>
      <c r="C1692" s="20"/>
      <c r="D1692" s="18"/>
      <c r="H1692" s="12" t="str">
        <f t="shared" si="85"/>
        <v>0 г. 0 мес. 0 дн.</v>
      </c>
      <c r="V1692" s="12" t="str">
        <f t="shared" si="86"/>
        <v>0 г. 0 мес. 0 дн.</v>
      </c>
      <c r="W1692" s="22"/>
      <c r="X1692" s="72"/>
    </row>
    <row r="1693" spans="1:24" ht="35.1" customHeight="1" x14ac:dyDescent="0.25">
      <c r="A1693" s="12">
        <f t="shared" si="84"/>
        <v>1692</v>
      </c>
      <c r="B1693" s="12"/>
      <c r="C1693" s="20"/>
      <c r="D1693" s="18"/>
      <c r="H1693" s="12" t="str">
        <f t="shared" si="85"/>
        <v>0 г. 0 мес. 0 дн.</v>
      </c>
      <c r="V1693" s="12" t="str">
        <f t="shared" si="86"/>
        <v>0 г. 0 мес. 0 дн.</v>
      </c>
      <c r="W1693" s="22"/>
      <c r="X1693" s="72"/>
    </row>
    <row r="1694" spans="1:24" ht="35.1" customHeight="1" x14ac:dyDescent="0.25">
      <c r="A1694" s="12">
        <f t="shared" si="84"/>
        <v>1693</v>
      </c>
      <c r="B1694" s="12"/>
      <c r="C1694" s="20"/>
      <c r="D1694" s="18"/>
      <c r="H1694" s="12" t="str">
        <f t="shared" si="85"/>
        <v>0 г. 0 мес. 0 дн.</v>
      </c>
      <c r="V1694" s="12" t="str">
        <f t="shared" si="86"/>
        <v>0 г. 0 мес. 0 дн.</v>
      </c>
      <c r="W1694" s="22"/>
      <c r="X1694" s="72"/>
    </row>
    <row r="1695" spans="1:24" ht="35.1" customHeight="1" x14ac:dyDescent="0.25">
      <c r="A1695" s="12">
        <f t="shared" si="84"/>
        <v>1694</v>
      </c>
      <c r="B1695" s="12"/>
      <c r="C1695" s="20"/>
      <c r="D1695" s="18"/>
      <c r="H1695" s="12" t="str">
        <f t="shared" si="85"/>
        <v>0 г. 0 мес. 0 дн.</v>
      </c>
      <c r="V1695" s="12" t="str">
        <f t="shared" si="86"/>
        <v>0 г. 0 мес. 0 дн.</v>
      </c>
      <c r="W1695" s="22"/>
      <c r="X1695" s="72"/>
    </row>
    <row r="1696" spans="1:24" ht="35.1" customHeight="1" x14ac:dyDescent="0.25">
      <c r="A1696" s="12">
        <f t="shared" si="84"/>
        <v>1695</v>
      </c>
      <c r="B1696" s="12"/>
      <c r="C1696" s="20"/>
      <c r="D1696" s="18"/>
      <c r="H1696" s="12" t="str">
        <f t="shared" si="85"/>
        <v>0 г. 0 мес. 0 дн.</v>
      </c>
      <c r="V1696" s="12" t="str">
        <f t="shared" si="86"/>
        <v>0 г. 0 мес. 0 дн.</v>
      </c>
      <c r="W1696" s="22"/>
      <c r="X1696" s="72"/>
    </row>
    <row r="1697" spans="1:24" ht="35.1" customHeight="1" x14ac:dyDescent="0.25">
      <c r="A1697" s="12">
        <f t="shared" si="84"/>
        <v>1696</v>
      </c>
      <c r="B1697" s="12"/>
      <c r="C1697" s="20"/>
      <c r="D1697" s="18"/>
      <c r="H1697" s="12" t="str">
        <f t="shared" si="85"/>
        <v>0 г. 0 мес. 0 дн.</v>
      </c>
      <c r="V1697" s="12" t="str">
        <f t="shared" si="86"/>
        <v>0 г. 0 мес. 0 дн.</v>
      </c>
      <c r="W1697" s="22"/>
      <c r="X1697" s="72"/>
    </row>
    <row r="1698" spans="1:24" ht="35.1" customHeight="1" x14ac:dyDescent="0.25">
      <c r="A1698" s="12">
        <f t="shared" si="84"/>
        <v>1697</v>
      </c>
      <c r="B1698" s="12"/>
      <c r="C1698" s="20"/>
      <c r="D1698" s="18"/>
      <c r="H1698" s="12" t="str">
        <f t="shared" si="85"/>
        <v>0 г. 0 мес. 0 дн.</v>
      </c>
      <c r="V1698" s="12" t="str">
        <f t="shared" si="86"/>
        <v>0 г. 0 мес. 0 дн.</v>
      </c>
      <c r="W1698" s="22"/>
      <c r="X1698" s="72"/>
    </row>
    <row r="1699" spans="1:24" ht="35.1" customHeight="1" x14ac:dyDescent="0.25">
      <c r="A1699" s="12">
        <f t="shared" si="84"/>
        <v>1698</v>
      </c>
      <c r="B1699" s="12"/>
      <c r="C1699" s="20"/>
      <c r="D1699" s="18"/>
      <c r="H1699" s="12" t="str">
        <f t="shared" si="85"/>
        <v>0 г. 0 мес. 0 дн.</v>
      </c>
      <c r="V1699" s="12" t="str">
        <f t="shared" si="86"/>
        <v>0 г. 0 мес. 0 дн.</v>
      </c>
      <c r="W1699" s="22"/>
      <c r="X1699" s="72"/>
    </row>
    <row r="1700" spans="1:24" ht="35.1" customHeight="1" x14ac:dyDescent="0.25">
      <c r="A1700" s="12">
        <f t="shared" si="84"/>
        <v>1699</v>
      </c>
      <c r="B1700" s="12"/>
      <c r="C1700" s="20"/>
      <c r="D1700" s="18"/>
      <c r="H1700" s="12" t="str">
        <f t="shared" si="85"/>
        <v>0 г. 0 мес. 0 дн.</v>
      </c>
      <c r="V1700" s="12" t="str">
        <f t="shared" si="86"/>
        <v>0 г. 0 мес. 0 дн.</v>
      </c>
      <c r="W1700" s="22"/>
      <c r="X1700" s="72"/>
    </row>
    <row r="1701" spans="1:24" ht="35.1" customHeight="1" x14ac:dyDescent="0.25">
      <c r="A1701" s="12">
        <f t="shared" si="84"/>
        <v>1700</v>
      </c>
      <c r="B1701" s="12"/>
      <c r="C1701" s="20"/>
      <c r="D1701" s="18"/>
      <c r="H1701" s="12" t="str">
        <f t="shared" si="85"/>
        <v>0 г. 0 мес. 0 дн.</v>
      </c>
      <c r="V1701" s="12" t="str">
        <f t="shared" si="86"/>
        <v>0 г. 0 мес. 0 дн.</v>
      </c>
      <c r="W1701" s="22"/>
      <c r="X1701" s="72"/>
    </row>
    <row r="1702" spans="1:24" ht="35.1" customHeight="1" x14ac:dyDescent="0.25">
      <c r="A1702" s="12">
        <f t="shared" si="84"/>
        <v>1701</v>
      </c>
      <c r="B1702" s="12"/>
      <c r="C1702" s="20"/>
      <c r="D1702" s="18"/>
      <c r="H1702" s="12" t="str">
        <f t="shared" si="85"/>
        <v>0 г. 0 мес. 0 дн.</v>
      </c>
      <c r="V1702" s="12" t="str">
        <f t="shared" si="86"/>
        <v>0 г. 0 мес. 0 дн.</v>
      </c>
      <c r="W1702" s="22"/>
      <c r="X1702" s="72"/>
    </row>
    <row r="1703" spans="1:24" ht="35.1" customHeight="1" x14ac:dyDescent="0.25">
      <c r="A1703" s="12">
        <f t="shared" si="84"/>
        <v>1702</v>
      </c>
      <c r="B1703" s="12"/>
      <c r="C1703" s="20"/>
      <c r="D1703" s="18"/>
      <c r="H1703" s="12" t="str">
        <f t="shared" si="85"/>
        <v>0 г. 0 мес. 0 дн.</v>
      </c>
      <c r="V1703" s="12" t="str">
        <f t="shared" si="86"/>
        <v>0 г. 0 мес. 0 дн.</v>
      </c>
      <c r="W1703" s="22"/>
      <c r="X1703" s="72"/>
    </row>
    <row r="1704" spans="1:24" ht="35.1" customHeight="1" x14ac:dyDescent="0.25">
      <c r="A1704" s="12">
        <f t="shared" si="84"/>
        <v>1703</v>
      </c>
      <c r="B1704" s="12"/>
      <c r="C1704" s="20"/>
      <c r="D1704" s="18"/>
      <c r="H1704" s="12" t="str">
        <f t="shared" si="85"/>
        <v>0 г. 0 мес. 0 дн.</v>
      </c>
      <c r="V1704" s="12" t="str">
        <f t="shared" si="86"/>
        <v>0 г. 0 мес. 0 дн.</v>
      </c>
      <c r="W1704" s="22"/>
      <c r="X1704" s="72"/>
    </row>
    <row r="1705" spans="1:24" ht="35.1" customHeight="1" x14ac:dyDescent="0.25">
      <c r="A1705" s="12">
        <f t="shared" si="84"/>
        <v>1704</v>
      </c>
      <c r="B1705" s="12"/>
      <c r="C1705" s="20"/>
      <c r="D1705" s="18"/>
      <c r="H1705" s="12" t="str">
        <f t="shared" si="85"/>
        <v>0 г. 0 мес. 0 дн.</v>
      </c>
      <c r="V1705" s="12" t="str">
        <f t="shared" si="86"/>
        <v>0 г. 0 мес. 0 дн.</v>
      </c>
      <c r="W1705" s="22"/>
      <c r="X1705" s="72"/>
    </row>
    <row r="1706" spans="1:24" ht="35.1" customHeight="1" x14ac:dyDescent="0.25">
      <c r="A1706" s="12">
        <f t="shared" si="84"/>
        <v>1705</v>
      </c>
      <c r="B1706" s="12"/>
      <c r="C1706" s="20"/>
      <c r="D1706" s="18"/>
      <c r="H1706" s="12" t="str">
        <f t="shared" si="85"/>
        <v>0 г. 0 мес. 0 дн.</v>
      </c>
      <c r="V1706" s="12" t="str">
        <f t="shared" si="86"/>
        <v>0 г. 0 мес. 0 дн.</v>
      </c>
      <c r="W1706" s="22"/>
      <c r="X1706" s="72"/>
    </row>
    <row r="1707" spans="1:24" ht="35.1" customHeight="1" x14ac:dyDescent="0.25">
      <c r="A1707" s="12">
        <f t="shared" si="84"/>
        <v>1706</v>
      </c>
      <c r="B1707" s="12"/>
      <c r="C1707" s="20"/>
      <c r="D1707" s="18"/>
      <c r="H1707" s="12" t="str">
        <f t="shared" si="85"/>
        <v>0 г. 0 мес. 0 дн.</v>
      </c>
      <c r="V1707" s="12" t="str">
        <f t="shared" si="86"/>
        <v>0 г. 0 мес. 0 дн.</v>
      </c>
      <c r="W1707" s="22"/>
      <c r="X1707" s="72"/>
    </row>
    <row r="1708" spans="1:24" ht="35.1" customHeight="1" x14ac:dyDescent="0.25">
      <c r="A1708" s="12">
        <f t="shared" si="84"/>
        <v>1707</v>
      </c>
      <c r="B1708" s="12"/>
      <c r="C1708" s="20"/>
      <c r="D1708" s="18"/>
      <c r="H1708" s="12" t="str">
        <f t="shared" si="85"/>
        <v>0 г. 0 мес. 0 дн.</v>
      </c>
      <c r="V1708" s="12" t="str">
        <f t="shared" si="86"/>
        <v>0 г. 0 мес. 0 дн.</v>
      </c>
      <c r="W1708" s="22"/>
      <c r="X1708" s="72"/>
    </row>
    <row r="1709" spans="1:24" ht="35.1" customHeight="1" x14ac:dyDescent="0.25">
      <c r="A1709" s="12">
        <f t="shared" si="84"/>
        <v>1708</v>
      </c>
      <c r="B1709" s="12"/>
      <c r="C1709" s="20"/>
      <c r="D1709" s="18"/>
      <c r="H1709" s="12" t="str">
        <f t="shared" si="85"/>
        <v>0 г. 0 мес. 0 дн.</v>
      </c>
      <c r="V1709" s="12" t="str">
        <f t="shared" si="86"/>
        <v>0 г. 0 мес. 0 дн.</v>
      </c>
      <c r="W1709" s="22"/>
      <c r="X1709" s="72"/>
    </row>
    <row r="1710" spans="1:24" ht="35.1" customHeight="1" x14ac:dyDescent="0.25">
      <c r="A1710" s="12">
        <f t="shared" si="84"/>
        <v>1709</v>
      </c>
      <c r="B1710" s="12"/>
      <c r="C1710" s="20"/>
      <c r="D1710" s="18"/>
      <c r="H1710" s="12" t="str">
        <f t="shared" si="85"/>
        <v>0 г. 0 мес. 0 дн.</v>
      </c>
      <c r="V1710" s="12" t="str">
        <f t="shared" si="86"/>
        <v>0 г. 0 мес. 0 дн.</v>
      </c>
      <c r="W1710" s="22"/>
      <c r="X1710" s="72"/>
    </row>
    <row r="1711" spans="1:24" ht="35.1" customHeight="1" x14ac:dyDescent="0.25">
      <c r="A1711" s="12">
        <f t="shared" si="84"/>
        <v>1710</v>
      </c>
      <c r="B1711" s="12"/>
      <c r="C1711" s="20"/>
      <c r="D1711" s="18"/>
      <c r="H1711" s="12" t="str">
        <f t="shared" si="85"/>
        <v>0 г. 0 мес. 0 дн.</v>
      </c>
      <c r="V1711" s="12" t="str">
        <f t="shared" si="86"/>
        <v>0 г. 0 мес. 0 дн.</v>
      </c>
      <c r="W1711" s="22"/>
      <c r="X1711" s="72"/>
    </row>
    <row r="1712" spans="1:24" ht="35.1" customHeight="1" x14ac:dyDescent="0.25">
      <c r="A1712" s="12">
        <f t="shared" si="84"/>
        <v>1711</v>
      </c>
      <c r="B1712" s="12"/>
      <c r="C1712" s="20"/>
      <c r="D1712" s="18"/>
      <c r="H1712" s="12" t="str">
        <f t="shared" si="85"/>
        <v>0 г. 0 мес. 0 дн.</v>
      </c>
      <c r="V1712" s="12" t="str">
        <f t="shared" si="86"/>
        <v>0 г. 0 мес. 0 дн.</v>
      </c>
      <c r="W1712" s="22"/>
      <c r="X1712" s="72"/>
    </row>
    <row r="1713" spans="1:24" ht="35.1" customHeight="1" x14ac:dyDescent="0.25">
      <c r="A1713" s="12">
        <f t="shared" si="84"/>
        <v>1712</v>
      </c>
      <c r="B1713" s="12"/>
      <c r="C1713" s="20"/>
      <c r="D1713" s="18"/>
      <c r="H1713" s="12" t="str">
        <f t="shared" si="85"/>
        <v>0 г. 0 мес. 0 дн.</v>
      </c>
      <c r="V1713" s="12" t="str">
        <f t="shared" si="86"/>
        <v>0 г. 0 мес. 0 дн.</v>
      </c>
      <c r="W1713" s="22"/>
      <c r="X1713" s="72"/>
    </row>
    <row r="1714" spans="1:24" ht="35.1" customHeight="1" x14ac:dyDescent="0.25">
      <c r="A1714" s="12">
        <f t="shared" si="84"/>
        <v>1713</v>
      </c>
      <c r="B1714" s="12"/>
      <c r="C1714" s="20"/>
      <c r="D1714" s="18"/>
      <c r="H1714" s="12" t="str">
        <f t="shared" si="85"/>
        <v>0 г. 0 мес. 0 дн.</v>
      </c>
      <c r="V1714" s="12" t="str">
        <f t="shared" si="86"/>
        <v>0 г. 0 мес. 0 дн.</v>
      </c>
      <c r="W1714" s="22"/>
      <c r="X1714" s="72"/>
    </row>
    <row r="1715" spans="1:24" ht="35.1" customHeight="1" x14ac:dyDescent="0.25">
      <c r="A1715" s="12">
        <f t="shared" si="84"/>
        <v>1714</v>
      </c>
      <c r="B1715" s="12"/>
      <c r="C1715" s="20"/>
      <c r="D1715" s="18"/>
      <c r="H1715" s="12" t="str">
        <f t="shared" si="85"/>
        <v>0 г. 0 мес. 0 дн.</v>
      </c>
      <c r="V1715" s="12" t="str">
        <f t="shared" si="86"/>
        <v>0 г. 0 мес. 0 дн.</v>
      </c>
      <c r="W1715" s="22"/>
      <c r="X1715" s="72"/>
    </row>
    <row r="1716" spans="1:24" ht="35.1" customHeight="1" x14ac:dyDescent="0.25">
      <c r="A1716" s="12">
        <f t="shared" si="84"/>
        <v>1715</v>
      </c>
      <c r="B1716" s="12"/>
      <c r="C1716" s="20"/>
      <c r="D1716" s="18"/>
      <c r="H1716" s="12" t="str">
        <f t="shared" si="85"/>
        <v>0 г. 0 мес. 0 дн.</v>
      </c>
      <c r="V1716" s="12" t="str">
        <f t="shared" si="86"/>
        <v>0 г. 0 мес. 0 дн.</v>
      </c>
      <c r="W1716" s="22"/>
      <c r="X1716" s="72"/>
    </row>
    <row r="1717" spans="1:24" ht="35.1" customHeight="1" x14ac:dyDescent="0.25">
      <c r="A1717" s="12">
        <f t="shared" si="84"/>
        <v>1716</v>
      </c>
      <c r="B1717" s="12"/>
      <c r="C1717" s="20"/>
      <c r="D1717" s="18"/>
      <c r="H1717" s="12" t="str">
        <f t="shared" si="85"/>
        <v>0 г. 0 мес. 0 дн.</v>
      </c>
      <c r="V1717" s="12" t="str">
        <f t="shared" si="86"/>
        <v>0 г. 0 мес. 0 дн.</v>
      </c>
      <c r="W1717" s="22"/>
      <c r="X1717" s="72"/>
    </row>
    <row r="1718" spans="1:24" ht="35.1" customHeight="1" x14ac:dyDescent="0.25">
      <c r="A1718" s="12">
        <f t="shared" si="84"/>
        <v>1717</v>
      </c>
      <c r="B1718" s="12"/>
      <c r="C1718" s="20"/>
      <c r="D1718" s="18"/>
      <c r="H1718" s="12" t="str">
        <f t="shared" si="85"/>
        <v>0 г. 0 мес. 0 дн.</v>
      </c>
      <c r="V1718" s="12" t="str">
        <f t="shared" si="86"/>
        <v>0 г. 0 мес. 0 дн.</v>
      </c>
      <c r="W1718" s="22"/>
      <c r="X1718" s="72"/>
    </row>
    <row r="1719" spans="1:24" ht="35.1" customHeight="1" x14ac:dyDescent="0.25">
      <c r="A1719" s="12">
        <f t="shared" si="84"/>
        <v>1718</v>
      </c>
      <c r="B1719" s="12"/>
      <c r="C1719" s="20"/>
      <c r="D1719" s="18"/>
      <c r="H1719" s="12" t="str">
        <f t="shared" si="85"/>
        <v>0 г. 0 мес. 0 дн.</v>
      </c>
      <c r="V1719" s="12" t="str">
        <f t="shared" si="86"/>
        <v>0 г. 0 мес. 0 дн.</v>
      </c>
      <c r="W1719" s="22"/>
      <c r="X1719" s="72"/>
    </row>
    <row r="1720" spans="1:24" ht="35.1" customHeight="1" x14ac:dyDescent="0.25">
      <c r="A1720" s="12">
        <f t="shared" si="84"/>
        <v>1719</v>
      </c>
      <c r="B1720" s="12"/>
      <c r="C1720" s="20"/>
      <c r="D1720" s="18"/>
      <c r="H1720" s="12" t="str">
        <f t="shared" si="85"/>
        <v>0 г. 0 мес. 0 дн.</v>
      </c>
      <c r="V1720" s="12" t="str">
        <f t="shared" si="86"/>
        <v>0 г. 0 мес. 0 дн.</v>
      </c>
      <c r="W1720" s="22"/>
      <c r="X1720" s="72"/>
    </row>
    <row r="1721" spans="1:24" ht="35.1" customHeight="1" x14ac:dyDescent="0.25">
      <c r="A1721" s="12">
        <f t="shared" si="84"/>
        <v>1720</v>
      </c>
      <c r="B1721" s="12"/>
      <c r="C1721" s="20"/>
      <c r="D1721" s="18"/>
      <c r="H1721" s="12" t="str">
        <f t="shared" si="85"/>
        <v>0 г. 0 мес. 0 дн.</v>
      </c>
      <c r="V1721" s="12" t="str">
        <f t="shared" si="86"/>
        <v>0 г. 0 мес. 0 дн.</v>
      </c>
      <c r="W1721" s="22"/>
      <c r="X1721" s="72"/>
    </row>
    <row r="1722" spans="1:24" ht="35.1" customHeight="1" x14ac:dyDescent="0.25">
      <c r="A1722" s="12">
        <f t="shared" si="84"/>
        <v>1721</v>
      </c>
      <c r="B1722" s="12"/>
      <c r="C1722" s="20"/>
      <c r="D1722" s="18"/>
      <c r="H1722" s="12" t="str">
        <f t="shared" si="85"/>
        <v>0 г. 0 мес. 0 дн.</v>
      </c>
      <c r="V1722" s="12" t="str">
        <f t="shared" si="86"/>
        <v>0 г. 0 мес. 0 дн.</v>
      </c>
      <c r="W1722" s="22"/>
      <c r="X1722" s="72"/>
    </row>
    <row r="1723" spans="1:24" ht="35.1" customHeight="1" x14ac:dyDescent="0.25">
      <c r="A1723" s="12">
        <f t="shared" si="84"/>
        <v>1722</v>
      </c>
      <c r="B1723" s="12"/>
      <c r="C1723" s="20"/>
      <c r="D1723" s="18"/>
      <c r="H1723" s="12" t="str">
        <f t="shared" si="85"/>
        <v>0 г. 0 мес. 0 дн.</v>
      </c>
      <c r="V1723" s="12" t="str">
        <f t="shared" si="86"/>
        <v>0 г. 0 мес. 0 дн.</v>
      </c>
      <c r="W1723" s="22"/>
      <c r="X1723" s="72"/>
    </row>
    <row r="1724" spans="1:24" ht="35.1" customHeight="1" x14ac:dyDescent="0.25">
      <c r="A1724" s="12">
        <f t="shared" si="84"/>
        <v>1723</v>
      </c>
      <c r="B1724" s="12"/>
      <c r="C1724" s="20"/>
      <c r="D1724" s="18"/>
      <c r="H1724" s="12" t="str">
        <f t="shared" si="85"/>
        <v>0 г. 0 мес. 0 дн.</v>
      </c>
      <c r="V1724" s="12" t="str">
        <f t="shared" si="86"/>
        <v>0 г. 0 мес. 0 дн.</v>
      </c>
      <c r="W1724" s="22"/>
      <c r="X1724" s="72"/>
    </row>
    <row r="1725" spans="1:24" ht="35.1" customHeight="1" x14ac:dyDescent="0.25">
      <c r="A1725" s="12">
        <f t="shared" si="84"/>
        <v>1724</v>
      </c>
      <c r="B1725" s="12"/>
      <c r="C1725" s="20"/>
      <c r="D1725" s="18"/>
      <c r="H1725" s="12" t="str">
        <f t="shared" si="85"/>
        <v>0 г. 0 мес. 0 дн.</v>
      </c>
      <c r="V1725" s="12" t="str">
        <f t="shared" si="86"/>
        <v>0 г. 0 мес. 0 дн.</v>
      </c>
      <c r="W1725" s="22"/>
      <c r="X1725" s="72"/>
    </row>
    <row r="1726" spans="1:24" ht="35.1" customHeight="1" x14ac:dyDescent="0.25">
      <c r="A1726" s="12">
        <f t="shared" si="84"/>
        <v>1725</v>
      </c>
      <c r="B1726" s="12"/>
      <c r="C1726" s="20"/>
      <c r="D1726" s="18"/>
      <c r="H1726" s="12" t="str">
        <f t="shared" si="85"/>
        <v>0 г. 0 мес. 0 дн.</v>
      </c>
      <c r="V1726" s="12" t="str">
        <f t="shared" si="86"/>
        <v>0 г. 0 мес. 0 дн.</v>
      </c>
      <c r="W1726" s="22"/>
      <c r="X1726" s="72"/>
    </row>
    <row r="1727" spans="1:24" ht="35.1" customHeight="1" x14ac:dyDescent="0.25">
      <c r="A1727" s="12">
        <f t="shared" si="84"/>
        <v>1726</v>
      </c>
      <c r="B1727" s="12"/>
      <c r="C1727" s="20"/>
      <c r="D1727" s="18"/>
      <c r="H1727" s="12" t="str">
        <f t="shared" si="85"/>
        <v>0 г. 0 мес. 0 дн.</v>
      </c>
      <c r="V1727" s="12" t="str">
        <f t="shared" si="86"/>
        <v>0 г. 0 мес. 0 дн.</v>
      </c>
      <c r="W1727" s="22"/>
      <c r="X1727" s="72"/>
    </row>
    <row r="1728" spans="1:24" ht="35.1" customHeight="1" x14ac:dyDescent="0.25">
      <c r="A1728" s="12">
        <f t="shared" si="84"/>
        <v>1727</v>
      </c>
      <c r="B1728" s="12"/>
      <c r="C1728" s="20"/>
      <c r="D1728" s="18"/>
      <c r="H1728" s="12" t="str">
        <f t="shared" si="85"/>
        <v>0 г. 0 мес. 0 дн.</v>
      </c>
      <c r="V1728" s="12" t="str">
        <f t="shared" si="86"/>
        <v>0 г. 0 мес. 0 дн.</v>
      </c>
      <c r="W1728" s="22"/>
      <c r="X1728" s="72"/>
    </row>
    <row r="1729" spans="1:24" ht="35.1" customHeight="1" x14ac:dyDescent="0.25">
      <c r="A1729" s="12">
        <f t="shared" ref="A1729:A1792" si="87">ROW(A1728)</f>
        <v>1728</v>
      </c>
      <c r="B1729" s="12"/>
      <c r="C1729" s="20"/>
      <c r="D1729" s="18"/>
      <c r="H1729" s="12" t="str">
        <f t="shared" si="85"/>
        <v>0 г. 0 мес. 0 дн.</v>
      </c>
      <c r="V1729" s="12" t="str">
        <f t="shared" si="86"/>
        <v>0 г. 0 мес. 0 дн.</v>
      </c>
      <c r="W1729" s="22"/>
      <c r="X1729" s="72"/>
    </row>
    <row r="1730" spans="1:24" ht="35.1" customHeight="1" x14ac:dyDescent="0.25">
      <c r="A1730" s="12">
        <f t="shared" si="87"/>
        <v>1729</v>
      </c>
      <c r="B1730" s="12"/>
      <c r="C1730" s="20"/>
      <c r="D1730" s="18"/>
      <c r="H1730" s="12" t="str">
        <f t="shared" si="85"/>
        <v>0 г. 0 мес. 0 дн.</v>
      </c>
      <c r="V1730" s="12" t="str">
        <f t="shared" si="86"/>
        <v>0 г. 0 мес. 0 дн.</v>
      </c>
      <c r="W1730" s="22"/>
      <c r="X1730" s="72"/>
    </row>
    <row r="1731" spans="1:24" ht="35.1" customHeight="1" x14ac:dyDescent="0.25">
      <c r="A1731" s="12">
        <f t="shared" si="87"/>
        <v>1730</v>
      </c>
      <c r="B1731" s="12"/>
      <c r="C1731" s="20"/>
      <c r="D1731" s="18"/>
      <c r="H1731" s="12" t="str">
        <f t="shared" si="85"/>
        <v>0 г. 0 мес. 0 дн.</v>
      </c>
      <c r="V1731" s="12" t="str">
        <f t="shared" si="86"/>
        <v>0 г. 0 мес. 0 дн.</v>
      </c>
      <c r="W1731" s="22"/>
      <c r="X1731" s="72"/>
    </row>
    <row r="1732" spans="1:24" ht="35.1" customHeight="1" x14ac:dyDescent="0.25">
      <c r="A1732" s="12">
        <f t="shared" si="87"/>
        <v>1731</v>
      </c>
      <c r="B1732" s="12"/>
      <c r="C1732" s="20"/>
      <c r="D1732" s="18"/>
      <c r="H1732" s="12" t="str">
        <f t="shared" si="85"/>
        <v>0 г. 0 мес. 0 дн.</v>
      </c>
      <c r="V1732" s="12" t="str">
        <f t="shared" si="86"/>
        <v>0 г. 0 мес. 0 дн.</v>
      </c>
      <c r="W1732" s="22"/>
      <c r="X1732" s="72"/>
    </row>
    <row r="1733" spans="1:24" ht="35.1" customHeight="1" x14ac:dyDescent="0.25">
      <c r="A1733" s="12">
        <f t="shared" si="87"/>
        <v>1732</v>
      </c>
      <c r="B1733" s="12"/>
      <c r="C1733" s="20"/>
      <c r="D1733" s="18"/>
      <c r="H1733" s="12" t="str">
        <f t="shared" si="85"/>
        <v>0 г. 0 мес. 0 дн.</v>
      </c>
      <c r="V1733" s="12" t="str">
        <f t="shared" si="86"/>
        <v>0 г. 0 мес. 0 дн.</v>
      </c>
      <c r="W1733" s="22"/>
      <c r="X1733" s="72"/>
    </row>
    <row r="1734" spans="1:24" ht="35.1" customHeight="1" x14ac:dyDescent="0.25">
      <c r="A1734" s="12">
        <f t="shared" si="87"/>
        <v>1733</v>
      </c>
      <c r="B1734" s="12"/>
      <c r="C1734" s="20"/>
      <c r="D1734" s="18"/>
      <c r="H1734" s="12" t="str">
        <f t="shared" ref="H1734:H1797" si="88">DATEDIF(G1734,D1734,"y") &amp; " г. " &amp; DATEDIF(G1734,D1734,"ym") &amp; " мес. " &amp; DATEDIF(G1734,D1734,"md") &amp; " дн."</f>
        <v>0 г. 0 мес. 0 дн.</v>
      </c>
      <c r="V1734" s="12" t="str">
        <f t="shared" si="86"/>
        <v>0 г. 0 мес. 0 дн.</v>
      </c>
      <c r="W1734" s="22"/>
      <c r="X1734" s="72"/>
    </row>
    <row r="1735" spans="1:24" ht="35.1" customHeight="1" x14ac:dyDescent="0.25">
      <c r="A1735" s="12">
        <f t="shared" si="87"/>
        <v>1734</v>
      </c>
      <c r="B1735" s="12"/>
      <c r="C1735" s="20"/>
      <c r="D1735" s="18"/>
      <c r="H1735" s="12" t="str">
        <f t="shared" si="88"/>
        <v>0 г. 0 мес. 0 дн.</v>
      </c>
      <c r="V1735" s="12" t="str">
        <f t="shared" si="86"/>
        <v>0 г. 0 мес. 0 дн.</v>
      </c>
      <c r="W1735" s="22"/>
      <c r="X1735" s="72"/>
    </row>
    <row r="1736" spans="1:24" ht="35.1" customHeight="1" x14ac:dyDescent="0.25">
      <c r="A1736" s="12">
        <f t="shared" si="87"/>
        <v>1735</v>
      </c>
      <c r="B1736" s="12"/>
      <c r="C1736" s="20"/>
      <c r="D1736" s="18"/>
      <c r="H1736" s="12" t="str">
        <f t="shared" si="88"/>
        <v>0 г. 0 мес. 0 дн.</v>
      </c>
      <c r="V1736" s="12" t="str">
        <f t="shared" si="86"/>
        <v>0 г. 0 мес. 0 дн.</v>
      </c>
      <c r="W1736" s="22"/>
      <c r="X1736" s="72"/>
    </row>
    <row r="1737" spans="1:24" ht="35.1" customHeight="1" x14ac:dyDescent="0.25">
      <c r="A1737" s="12">
        <f t="shared" si="87"/>
        <v>1736</v>
      </c>
      <c r="B1737" s="12"/>
      <c r="C1737" s="20"/>
      <c r="D1737" s="18"/>
      <c r="H1737" s="12" t="str">
        <f t="shared" si="88"/>
        <v>0 г. 0 мес. 0 дн.</v>
      </c>
      <c r="V1737" s="12" t="str">
        <f t="shared" si="86"/>
        <v>0 г. 0 мес. 0 дн.</v>
      </c>
      <c r="W1737" s="22"/>
      <c r="X1737" s="72"/>
    </row>
    <row r="1738" spans="1:24" ht="35.1" customHeight="1" x14ac:dyDescent="0.25">
      <c r="A1738" s="12">
        <f t="shared" si="87"/>
        <v>1737</v>
      </c>
      <c r="B1738" s="12"/>
      <c r="C1738" s="20"/>
      <c r="D1738" s="18"/>
      <c r="H1738" s="12" t="str">
        <f t="shared" si="88"/>
        <v>0 г. 0 мес. 0 дн.</v>
      </c>
      <c r="V1738" s="12" t="str">
        <f t="shared" si="86"/>
        <v>0 г. 0 мес. 0 дн.</v>
      </c>
      <c r="W1738" s="22"/>
      <c r="X1738" s="72"/>
    </row>
    <row r="1739" spans="1:24" ht="35.1" customHeight="1" x14ac:dyDescent="0.25">
      <c r="A1739" s="12">
        <f t="shared" si="87"/>
        <v>1738</v>
      </c>
      <c r="B1739" s="12"/>
      <c r="C1739" s="20"/>
      <c r="D1739" s="18"/>
      <c r="H1739" s="12" t="str">
        <f t="shared" si="88"/>
        <v>0 г. 0 мес. 0 дн.</v>
      </c>
      <c r="V1739" s="12" t="str">
        <f t="shared" si="86"/>
        <v>0 г. 0 мес. 0 дн.</v>
      </c>
      <c r="W1739" s="22"/>
      <c r="X1739" s="72"/>
    </row>
    <row r="1740" spans="1:24" ht="35.1" customHeight="1" x14ac:dyDescent="0.25">
      <c r="A1740" s="12">
        <f t="shared" si="87"/>
        <v>1739</v>
      </c>
      <c r="B1740" s="12"/>
      <c r="C1740" s="20"/>
      <c r="D1740" s="18"/>
      <c r="H1740" s="12" t="str">
        <f t="shared" si="88"/>
        <v>0 г. 0 мес. 0 дн.</v>
      </c>
      <c r="V1740" s="12" t="str">
        <f t="shared" si="86"/>
        <v>0 г. 0 мес. 0 дн.</v>
      </c>
      <c r="W1740" s="22"/>
      <c r="X1740" s="72"/>
    </row>
    <row r="1741" spans="1:24" ht="35.1" customHeight="1" x14ac:dyDescent="0.25">
      <c r="A1741" s="12">
        <f t="shared" si="87"/>
        <v>1740</v>
      </c>
      <c r="B1741" s="12"/>
      <c r="C1741" s="20"/>
      <c r="D1741" s="18"/>
      <c r="H1741" s="12" t="str">
        <f t="shared" si="88"/>
        <v>0 г. 0 мес. 0 дн.</v>
      </c>
      <c r="V1741" s="12" t="str">
        <f t="shared" si="86"/>
        <v>0 г. 0 мес. 0 дн.</v>
      </c>
      <c r="W1741" s="22"/>
      <c r="X1741" s="72"/>
    </row>
    <row r="1742" spans="1:24" ht="35.1" customHeight="1" x14ac:dyDescent="0.25">
      <c r="A1742" s="12">
        <f t="shared" si="87"/>
        <v>1741</v>
      </c>
      <c r="B1742" s="12"/>
      <c r="C1742" s="20"/>
      <c r="D1742" s="18"/>
      <c r="H1742" s="12" t="str">
        <f t="shared" si="88"/>
        <v>0 г. 0 мес. 0 дн.</v>
      </c>
      <c r="V1742" s="12" t="str">
        <f t="shared" si="86"/>
        <v>0 г. 0 мес. 0 дн.</v>
      </c>
      <c r="W1742" s="22"/>
      <c r="X1742" s="72"/>
    </row>
    <row r="1743" spans="1:24" ht="35.1" customHeight="1" x14ac:dyDescent="0.25">
      <c r="A1743" s="12">
        <f t="shared" si="87"/>
        <v>1742</v>
      </c>
      <c r="B1743" s="12"/>
      <c r="C1743" s="20"/>
      <c r="D1743" s="18"/>
      <c r="H1743" s="12" t="str">
        <f t="shared" si="88"/>
        <v>0 г. 0 мес. 0 дн.</v>
      </c>
      <c r="V1743" s="12" t="str">
        <f t="shared" si="86"/>
        <v>0 г. 0 мес. 0 дн.</v>
      </c>
      <c r="W1743" s="22"/>
      <c r="X1743" s="72"/>
    </row>
    <row r="1744" spans="1:24" ht="35.1" customHeight="1" x14ac:dyDescent="0.25">
      <c r="A1744" s="12">
        <f t="shared" si="87"/>
        <v>1743</v>
      </c>
      <c r="B1744" s="12"/>
      <c r="C1744" s="20"/>
      <c r="D1744" s="18"/>
      <c r="H1744" s="12" t="str">
        <f t="shared" si="88"/>
        <v>0 г. 0 мес. 0 дн.</v>
      </c>
      <c r="V1744" s="12" t="str">
        <f t="shared" si="86"/>
        <v>0 г. 0 мес. 0 дн.</v>
      </c>
      <c r="W1744" s="22"/>
      <c r="X1744" s="72"/>
    </row>
    <row r="1745" spans="1:24" ht="35.1" customHeight="1" x14ac:dyDescent="0.25">
      <c r="A1745" s="12">
        <f t="shared" si="87"/>
        <v>1744</v>
      </c>
      <c r="B1745" s="12"/>
      <c r="C1745" s="20"/>
      <c r="D1745" s="18"/>
      <c r="H1745" s="12" t="str">
        <f t="shared" si="88"/>
        <v>0 г. 0 мес. 0 дн.</v>
      </c>
      <c r="V1745" s="12" t="str">
        <f t="shared" si="86"/>
        <v>0 г. 0 мес. 0 дн.</v>
      </c>
      <c r="W1745" s="22"/>
      <c r="X1745" s="72"/>
    </row>
    <row r="1746" spans="1:24" ht="35.1" customHeight="1" x14ac:dyDescent="0.25">
      <c r="A1746" s="12">
        <f t="shared" si="87"/>
        <v>1745</v>
      </c>
      <c r="B1746" s="12"/>
      <c r="C1746" s="20"/>
      <c r="D1746" s="18"/>
      <c r="H1746" s="12" t="str">
        <f t="shared" si="88"/>
        <v>0 г. 0 мес. 0 дн.</v>
      </c>
      <c r="V1746" s="12" t="str">
        <f t="shared" si="86"/>
        <v>0 г. 0 мес. 0 дн.</v>
      </c>
      <c r="W1746" s="22"/>
      <c r="X1746" s="72"/>
    </row>
    <row r="1747" spans="1:24" ht="35.1" customHeight="1" x14ac:dyDescent="0.25">
      <c r="A1747" s="12">
        <f t="shared" si="87"/>
        <v>1746</v>
      </c>
      <c r="B1747" s="12"/>
      <c r="C1747" s="20"/>
      <c r="D1747" s="18"/>
      <c r="H1747" s="12" t="str">
        <f t="shared" si="88"/>
        <v>0 г. 0 мес. 0 дн.</v>
      </c>
      <c r="V1747" s="12" t="str">
        <f t="shared" si="86"/>
        <v>0 г. 0 мес. 0 дн.</v>
      </c>
      <c r="W1747" s="22"/>
      <c r="X1747" s="72"/>
    </row>
    <row r="1748" spans="1:24" ht="35.1" customHeight="1" x14ac:dyDescent="0.25">
      <c r="A1748" s="12">
        <f t="shared" si="87"/>
        <v>1747</v>
      </c>
      <c r="B1748" s="12"/>
      <c r="C1748" s="20"/>
      <c r="D1748" s="18"/>
      <c r="H1748" s="12" t="str">
        <f t="shared" si="88"/>
        <v>0 г. 0 мес. 0 дн.</v>
      </c>
      <c r="V1748" s="12" t="str">
        <f t="shared" si="86"/>
        <v>0 г. 0 мес. 0 дн.</v>
      </c>
      <c r="W1748" s="22"/>
      <c r="X1748" s="72"/>
    </row>
    <row r="1749" spans="1:24" ht="35.1" customHeight="1" x14ac:dyDescent="0.25">
      <c r="A1749" s="12">
        <f t="shared" si="87"/>
        <v>1748</v>
      </c>
      <c r="B1749" s="12"/>
      <c r="C1749" s="20"/>
      <c r="D1749" s="18"/>
      <c r="H1749" s="12" t="str">
        <f t="shared" si="88"/>
        <v>0 г. 0 мес. 0 дн.</v>
      </c>
      <c r="V1749" s="12" t="str">
        <f t="shared" si="86"/>
        <v>0 г. 0 мес. 0 дн.</v>
      </c>
      <c r="W1749" s="22"/>
      <c r="X1749" s="72"/>
    </row>
    <row r="1750" spans="1:24" ht="35.1" customHeight="1" x14ac:dyDescent="0.25">
      <c r="A1750" s="12">
        <f t="shared" si="87"/>
        <v>1749</v>
      </c>
      <c r="B1750" s="12"/>
      <c r="C1750" s="20"/>
      <c r="D1750" s="18"/>
      <c r="H1750" s="12" t="str">
        <f t="shared" si="88"/>
        <v>0 г. 0 мес. 0 дн.</v>
      </c>
      <c r="V1750" s="12" t="str">
        <f t="shared" si="86"/>
        <v>0 г. 0 мес. 0 дн.</v>
      </c>
      <c r="W1750" s="22"/>
      <c r="X1750" s="72"/>
    </row>
    <row r="1751" spans="1:24" ht="35.1" customHeight="1" x14ac:dyDescent="0.25">
      <c r="A1751" s="12">
        <f t="shared" si="87"/>
        <v>1750</v>
      </c>
      <c r="B1751" s="12"/>
      <c r="C1751" s="20"/>
      <c r="D1751" s="18"/>
      <c r="H1751" s="12" t="str">
        <f t="shared" si="88"/>
        <v>0 г. 0 мес. 0 дн.</v>
      </c>
      <c r="V1751" s="12" t="str">
        <f t="shared" si="86"/>
        <v>0 г. 0 мес. 0 дн.</v>
      </c>
      <c r="W1751" s="22"/>
      <c r="X1751" s="72"/>
    </row>
    <row r="1752" spans="1:24" ht="35.1" customHeight="1" x14ac:dyDescent="0.25">
      <c r="A1752" s="12">
        <f t="shared" si="87"/>
        <v>1751</v>
      </c>
      <c r="B1752" s="12"/>
      <c r="C1752" s="20"/>
      <c r="D1752" s="18"/>
      <c r="H1752" s="12" t="str">
        <f t="shared" si="88"/>
        <v>0 г. 0 мес. 0 дн.</v>
      </c>
      <c r="V1752" s="12" t="str">
        <f t="shared" ref="V1752:V1815" si="89">DATEDIF(D1752,T1752,"y") &amp; " г. " &amp; DATEDIF(D1752,T1752,"ym") &amp; " мес. " &amp; DATEDIF(D1752,T1752,"md") &amp; " дн."</f>
        <v>0 г. 0 мес. 0 дн.</v>
      </c>
      <c r="W1752" s="22"/>
      <c r="X1752" s="72"/>
    </row>
    <row r="1753" spans="1:24" ht="35.1" customHeight="1" x14ac:dyDescent="0.25">
      <c r="A1753" s="12">
        <f t="shared" si="87"/>
        <v>1752</v>
      </c>
      <c r="B1753" s="12"/>
      <c r="C1753" s="20"/>
      <c r="D1753" s="18"/>
      <c r="H1753" s="12" t="str">
        <f t="shared" si="88"/>
        <v>0 г. 0 мес. 0 дн.</v>
      </c>
      <c r="V1753" s="12" t="str">
        <f t="shared" si="89"/>
        <v>0 г. 0 мес. 0 дн.</v>
      </c>
      <c r="W1753" s="22"/>
      <c r="X1753" s="72"/>
    </row>
    <row r="1754" spans="1:24" ht="35.1" customHeight="1" x14ac:dyDescent="0.25">
      <c r="A1754" s="12">
        <f t="shared" si="87"/>
        <v>1753</v>
      </c>
      <c r="B1754" s="12"/>
      <c r="C1754" s="20"/>
      <c r="D1754" s="18"/>
      <c r="H1754" s="12" t="str">
        <f t="shared" si="88"/>
        <v>0 г. 0 мес. 0 дн.</v>
      </c>
      <c r="V1754" s="12" t="str">
        <f t="shared" si="89"/>
        <v>0 г. 0 мес. 0 дн.</v>
      </c>
      <c r="W1754" s="22"/>
      <c r="X1754" s="72"/>
    </row>
    <row r="1755" spans="1:24" ht="35.1" customHeight="1" x14ac:dyDescent="0.25">
      <c r="A1755" s="12">
        <f t="shared" si="87"/>
        <v>1754</v>
      </c>
      <c r="B1755" s="12"/>
      <c r="C1755" s="20"/>
      <c r="D1755" s="18"/>
      <c r="H1755" s="12" t="str">
        <f t="shared" si="88"/>
        <v>0 г. 0 мес. 0 дн.</v>
      </c>
      <c r="V1755" s="12" t="str">
        <f t="shared" si="89"/>
        <v>0 г. 0 мес. 0 дн.</v>
      </c>
      <c r="W1755" s="22"/>
      <c r="X1755" s="72"/>
    </row>
    <row r="1756" spans="1:24" ht="35.1" customHeight="1" x14ac:dyDescent="0.25">
      <c r="A1756" s="12">
        <f t="shared" si="87"/>
        <v>1755</v>
      </c>
      <c r="B1756" s="12"/>
      <c r="C1756" s="20"/>
      <c r="D1756" s="18"/>
      <c r="H1756" s="12" t="str">
        <f t="shared" si="88"/>
        <v>0 г. 0 мес. 0 дн.</v>
      </c>
      <c r="V1756" s="12" t="str">
        <f t="shared" si="89"/>
        <v>0 г. 0 мес. 0 дн.</v>
      </c>
      <c r="W1756" s="22"/>
      <c r="X1756" s="72"/>
    </row>
    <row r="1757" spans="1:24" ht="35.1" customHeight="1" x14ac:dyDescent="0.25">
      <c r="A1757" s="12">
        <f t="shared" si="87"/>
        <v>1756</v>
      </c>
      <c r="B1757" s="12"/>
      <c r="C1757" s="20"/>
      <c r="D1757" s="18"/>
      <c r="H1757" s="12" t="str">
        <f t="shared" si="88"/>
        <v>0 г. 0 мес. 0 дн.</v>
      </c>
      <c r="V1757" s="12" t="str">
        <f t="shared" si="89"/>
        <v>0 г. 0 мес. 0 дн.</v>
      </c>
      <c r="W1757" s="22"/>
      <c r="X1757" s="72"/>
    </row>
    <row r="1758" spans="1:24" ht="35.1" customHeight="1" x14ac:dyDescent="0.25">
      <c r="A1758" s="12">
        <f t="shared" si="87"/>
        <v>1757</v>
      </c>
      <c r="B1758" s="12"/>
      <c r="C1758" s="20"/>
      <c r="D1758" s="18"/>
      <c r="H1758" s="12" t="str">
        <f t="shared" si="88"/>
        <v>0 г. 0 мес. 0 дн.</v>
      </c>
      <c r="V1758" s="12" t="str">
        <f t="shared" si="89"/>
        <v>0 г. 0 мес. 0 дн.</v>
      </c>
      <c r="W1758" s="22"/>
      <c r="X1758" s="72"/>
    </row>
    <row r="1759" spans="1:24" ht="35.1" customHeight="1" x14ac:dyDescent="0.25">
      <c r="A1759" s="12">
        <f t="shared" si="87"/>
        <v>1758</v>
      </c>
      <c r="B1759" s="12"/>
      <c r="C1759" s="20"/>
      <c r="D1759" s="18"/>
      <c r="H1759" s="12" t="str">
        <f t="shared" si="88"/>
        <v>0 г. 0 мес. 0 дн.</v>
      </c>
      <c r="V1759" s="12" t="str">
        <f t="shared" si="89"/>
        <v>0 г. 0 мес. 0 дн.</v>
      </c>
      <c r="W1759" s="22"/>
      <c r="X1759" s="72"/>
    </row>
    <row r="1760" spans="1:24" ht="35.1" customHeight="1" x14ac:dyDescent="0.25">
      <c r="A1760" s="12">
        <f t="shared" si="87"/>
        <v>1759</v>
      </c>
      <c r="B1760" s="12"/>
      <c r="C1760" s="20"/>
      <c r="D1760" s="18"/>
      <c r="H1760" s="12" t="str">
        <f t="shared" si="88"/>
        <v>0 г. 0 мес. 0 дн.</v>
      </c>
      <c r="V1760" s="12" t="str">
        <f t="shared" si="89"/>
        <v>0 г. 0 мес. 0 дн.</v>
      </c>
      <c r="W1760" s="22"/>
      <c r="X1760" s="72"/>
    </row>
    <row r="1761" spans="1:24" ht="35.1" customHeight="1" x14ac:dyDescent="0.25">
      <c r="A1761" s="12">
        <f t="shared" si="87"/>
        <v>1760</v>
      </c>
      <c r="B1761" s="12"/>
      <c r="C1761" s="20"/>
      <c r="D1761" s="18"/>
      <c r="H1761" s="12" t="str">
        <f t="shared" si="88"/>
        <v>0 г. 0 мес. 0 дн.</v>
      </c>
      <c r="V1761" s="12" t="str">
        <f t="shared" si="89"/>
        <v>0 г. 0 мес. 0 дн.</v>
      </c>
      <c r="W1761" s="22"/>
      <c r="X1761" s="72"/>
    </row>
    <row r="1762" spans="1:24" ht="35.1" customHeight="1" x14ac:dyDescent="0.25">
      <c r="A1762" s="12">
        <f t="shared" si="87"/>
        <v>1761</v>
      </c>
      <c r="B1762" s="12"/>
      <c r="C1762" s="20"/>
      <c r="D1762" s="18"/>
      <c r="H1762" s="12" t="str">
        <f t="shared" si="88"/>
        <v>0 г. 0 мес. 0 дн.</v>
      </c>
      <c r="V1762" s="12" t="str">
        <f t="shared" si="89"/>
        <v>0 г. 0 мес. 0 дн.</v>
      </c>
      <c r="W1762" s="22"/>
      <c r="X1762" s="72"/>
    </row>
    <row r="1763" spans="1:24" ht="35.1" customHeight="1" x14ac:dyDescent="0.25">
      <c r="A1763" s="12">
        <f t="shared" si="87"/>
        <v>1762</v>
      </c>
      <c r="B1763" s="12"/>
      <c r="C1763" s="20"/>
      <c r="D1763" s="18"/>
      <c r="H1763" s="12" t="str">
        <f t="shared" si="88"/>
        <v>0 г. 0 мес. 0 дн.</v>
      </c>
      <c r="V1763" s="12" t="str">
        <f t="shared" si="89"/>
        <v>0 г. 0 мес. 0 дн.</v>
      </c>
      <c r="W1763" s="22"/>
      <c r="X1763" s="72"/>
    </row>
    <row r="1764" spans="1:24" ht="35.1" customHeight="1" x14ac:dyDescent="0.25">
      <c r="A1764" s="12">
        <f t="shared" si="87"/>
        <v>1763</v>
      </c>
      <c r="B1764" s="12"/>
      <c r="C1764" s="20"/>
      <c r="D1764" s="18"/>
      <c r="H1764" s="12" t="str">
        <f t="shared" si="88"/>
        <v>0 г. 0 мес. 0 дн.</v>
      </c>
      <c r="V1764" s="12" t="str">
        <f t="shared" si="89"/>
        <v>0 г. 0 мес. 0 дн.</v>
      </c>
      <c r="W1764" s="22"/>
      <c r="X1764" s="72"/>
    </row>
    <row r="1765" spans="1:24" ht="35.1" customHeight="1" x14ac:dyDescent="0.25">
      <c r="A1765" s="12">
        <f t="shared" si="87"/>
        <v>1764</v>
      </c>
      <c r="B1765" s="12"/>
      <c r="C1765" s="20"/>
      <c r="D1765" s="18"/>
      <c r="H1765" s="12" t="str">
        <f t="shared" si="88"/>
        <v>0 г. 0 мес. 0 дн.</v>
      </c>
      <c r="V1765" s="12" t="str">
        <f t="shared" si="89"/>
        <v>0 г. 0 мес. 0 дн.</v>
      </c>
      <c r="W1765" s="22"/>
      <c r="X1765" s="72"/>
    </row>
    <row r="1766" spans="1:24" ht="35.1" customHeight="1" x14ac:dyDescent="0.25">
      <c r="A1766" s="12">
        <f t="shared" si="87"/>
        <v>1765</v>
      </c>
      <c r="B1766" s="12"/>
      <c r="C1766" s="20"/>
      <c r="D1766" s="18"/>
      <c r="H1766" s="12" t="str">
        <f t="shared" si="88"/>
        <v>0 г. 0 мес. 0 дн.</v>
      </c>
      <c r="V1766" s="12" t="str">
        <f t="shared" si="89"/>
        <v>0 г. 0 мес. 0 дн.</v>
      </c>
      <c r="W1766" s="22"/>
      <c r="X1766" s="72"/>
    </row>
    <row r="1767" spans="1:24" ht="35.1" customHeight="1" x14ac:dyDescent="0.25">
      <c r="A1767" s="12">
        <f t="shared" si="87"/>
        <v>1766</v>
      </c>
      <c r="B1767" s="12"/>
      <c r="C1767" s="20"/>
      <c r="D1767" s="18"/>
      <c r="H1767" s="12" t="str">
        <f t="shared" si="88"/>
        <v>0 г. 0 мес. 0 дн.</v>
      </c>
      <c r="V1767" s="12" t="str">
        <f t="shared" si="89"/>
        <v>0 г. 0 мес. 0 дн.</v>
      </c>
      <c r="W1767" s="22"/>
      <c r="X1767" s="72"/>
    </row>
    <row r="1768" spans="1:24" ht="35.1" customHeight="1" x14ac:dyDescent="0.25">
      <c r="A1768" s="12">
        <f t="shared" si="87"/>
        <v>1767</v>
      </c>
      <c r="B1768" s="12"/>
      <c r="C1768" s="20"/>
      <c r="D1768" s="18"/>
      <c r="H1768" s="12" t="str">
        <f t="shared" si="88"/>
        <v>0 г. 0 мес. 0 дн.</v>
      </c>
      <c r="V1768" s="12" t="str">
        <f t="shared" si="89"/>
        <v>0 г. 0 мес. 0 дн.</v>
      </c>
      <c r="W1768" s="22"/>
      <c r="X1768" s="72"/>
    </row>
    <row r="1769" spans="1:24" ht="35.1" customHeight="1" x14ac:dyDescent="0.25">
      <c r="A1769" s="12">
        <f t="shared" si="87"/>
        <v>1768</v>
      </c>
      <c r="B1769" s="12"/>
      <c r="C1769" s="20"/>
      <c r="D1769" s="18"/>
      <c r="H1769" s="12" t="str">
        <f t="shared" si="88"/>
        <v>0 г. 0 мес. 0 дн.</v>
      </c>
      <c r="V1769" s="12" t="str">
        <f t="shared" si="89"/>
        <v>0 г. 0 мес. 0 дн.</v>
      </c>
      <c r="W1769" s="22"/>
      <c r="X1769" s="72"/>
    </row>
    <row r="1770" spans="1:24" ht="35.1" customHeight="1" x14ac:dyDescent="0.25">
      <c r="A1770" s="12">
        <f t="shared" si="87"/>
        <v>1769</v>
      </c>
      <c r="B1770" s="12"/>
      <c r="C1770" s="20"/>
      <c r="D1770" s="18"/>
      <c r="H1770" s="12" t="str">
        <f t="shared" si="88"/>
        <v>0 г. 0 мес. 0 дн.</v>
      </c>
      <c r="V1770" s="12" t="str">
        <f t="shared" si="89"/>
        <v>0 г. 0 мес. 0 дн.</v>
      </c>
      <c r="W1770" s="22"/>
      <c r="X1770" s="72"/>
    </row>
    <row r="1771" spans="1:24" ht="35.1" customHeight="1" x14ac:dyDescent="0.25">
      <c r="A1771" s="12">
        <f t="shared" si="87"/>
        <v>1770</v>
      </c>
      <c r="B1771" s="12"/>
      <c r="C1771" s="20"/>
      <c r="D1771" s="18"/>
      <c r="H1771" s="12" t="str">
        <f t="shared" si="88"/>
        <v>0 г. 0 мес. 0 дн.</v>
      </c>
      <c r="V1771" s="12" t="str">
        <f t="shared" si="89"/>
        <v>0 г. 0 мес. 0 дн.</v>
      </c>
      <c r="W1771" s="22"/>
      <c r="X1771" s="72"/>
    </row>
    <row r="1772" spans="1:24" ht="35.1" customHeight="1" x14ac:dyDescent="0.25">
      <c r="A1772" s="12">
        <f t="shared" si="87"/>
        <v>1771</v>
      </c>
      <c r="B1772" s="12"/>
      <c r="C1772" s="20"/>
      <c r="D1772" s="18"/>
      <c r="H1772" s="12" t="str">
        <f t="shared" si="88"/>
        <v>0 г. 0 мес. 0 дн.</v>
      </c>
      <c r="V1772" s="12" t="str">
        <f t="shared" si="89"/>
        <v>0 г. 0 мес. 0 дн.</v>
      </c>
      <c r="W1772" s="22"/>
      <c r="X1772" s="72"/>
    </row>
    <row r="1773" spans="1:24" ht="35.1" customHeight="1" x14ac:dyDescent="0.25">
      <c r="A1773" s="12">
        <f t="shared" si="87"/>
        <v>1772</v>
      </c>
      <c r="B1773" s="12"/>
      <c r="C1773" s="20"/>
      <c r="D1773" s="18"/>
      <c r="H1773" s="12" t="str">
        <f t="shared" si="88"/>
        <v>0 г. 0 мес. 0 дн.</v>
      </c>
      <c r="V1773" s="12" t="str">
        <f t="shared" si="89"/>
        <v>0 г. 0 мес. 0 дн.</v>
      </c>
      <c r="W1773" s="22"/>
      <c r="X1773" s="72"/>
    </row>
    <row r="1774" spans="1:24" ht="35.1" customHeight="1" x14ac:dyDescent="0.25">
      <c r="A1774" s="12">
        <f t="shared" si="87"/>
        <v>1773</v>
      </c>
      <c r="B1774" s="12"/>
      <c r="C1774" s="20"/>
      <c r="D1774" s="18"/>
      <c r="H1774" s="12" t="str">
        <f t="shared" si="88"/>
        <v>0 г. 0 мес. 0 дн.</v>
      </c>
      <c r="V1774" s="12" t="str">
        <f t="shared" si="89"/>
        <v>0 г. 0 мес. 0 дн.</v>
      </c>
      <c r="W1774" s="22"/>
      <c r="X1774" s="72"/>
    </row>
    <row r="1775" spans="1:24" ht="35.1" customHeight="1" x14ac:dyDescent="0.25">
      <c r="A1775" s="12">
        <f t="shared" si="87"/>
        <v>1774</v>
      </c>
      <c r="B1775" s="12"/>
      <c r="C1775" s="20"/>
      <c r="D1775" s="18"/>
      <c r="H1775" s="12" t="str">
        <f t="shared" si="88"/>
        <v>0 г. 0 мес. 0 дн.</v>
      </c>
      <c r="V1775" s="12" t="str">
        <f t="shared" si="89"/>
        <v>0 г. 0 мес. 0 дн.</v>
      </c>
      <c r="W1775" s="22"/>
      <c r="X1775" s="72"/>
    </row>
    <row r="1776" spans="1:24" ht="35.1" customHeight="1" x14ac:dyDescent="0.25">
      <c r="A1776" s="12">
        <f t="shared" si="87"/>
        <v>1775</v>
      </c>
      <c r="B1776" s="12"/>
      <c r="C1776" s="20"/>
      <c r="D1776" s="18"/>
      <c r="H1776" s="12" t="str">
        <f t="shared" si="88"/>
        <v>0 г. 0 мес. 0 дн.</v>
      </c>
      <c r="V1776" s="12" t="str">
        <f t="shared" si="89"/>
        <v>0 г. 0 мес. 0 дн.</v>
      </c>
      <c r="W1776" s="22"/>
      <c r="X1776" s="72"/>
    </row>
    <row r="1777" spans="1:24" ht="35.1" customHeight="1" x14ac:dyDescent="0.25">
      <c r="A1777" s="12">
        <f t="shared" si="87"/>
        <v>1776</v>
      </c>
      <c r="B1777" s="12"/>
      <c r="C1777" s="20"/>
      <c r="D1777" s="18"/>
      <c r="H1777" s="12" t="str">
        <f t="shared" si="88"/>
        <v>0 г. 0 мес. 0 дн.</v>
      </c>
      <c r="V1777" s="12" t="str">
        <f t="shared" si="89"/>
        <v>0 г. 0 мес. 0 дн.</v>
      </c>
      <c r="W1777" s="22"/>
      <c r="X1777" s="72"/>
    </row>
    <row r="1778" spans="1:24" ht="35.1" customHeight="1" x14ac:dyDescent="0.25">
      <c r="A1778" s="12">
        <f t="shared" si="87"/>
        <v>1777</v>
      </c>
      <c r="B1778" s="12"/>
      <c r="C1778" s="20"/>
      <c r="D1778" s="18"/>
      <c r="H1778" s="12" t="str">
        <f t="shared" si="88"/>
        <v>0 г. 0 мес. 0 дн.</v>
      </c>
      <c r="V1778" s="12" t="str">
        <f t="shared" si="89"/>
        <v>0 г. 0 мес. 0 дн.</v>
      </c>
      <c r="W1778" s="22"/>
      <c r="X1778" s="72"/>
    </row>
    <row r="1779" spans="1:24" ht="35.1" customHeight="1" x14ac:dyDescent="0.25">
      <c r="A1779" s="12">
        <f t="shared" si="87"/>
        <v>1778</v>
      </c>
      <c r="B1779" s="12"/>
      <c r="C1779" s="20"/>
      <c r="D1779" s="18"/>
      <c r="H1779" s="12" t="str">
        <f t="shared" si="88"/>
        <v>0 г. 0 мес. 0 дн.</v>
      </c>
      <c r="V1779" s="12" t="str">
        <f t="shared" si="89"/>
        <v>0 г. 0 мес. 0 дн.</v>
      </c>
      <c r="W1779" s="22"/>
      <c r="X1779" s="72"/>
    </row>
    <row r="1780" spans="1:24" ht="35.1" customHeight="1" x14ac:dyDescent="0.25">
      <c r="A1780" s="12">
        <f t="shared" si="87"/>
        <v>1779</v>
      </c>
      <c r="B1780" s="12"/>
      <c r="C1780" s="20"/>
      <c r="D1780" s="18"/>
      <c r="H1780" s="12" t="str">
        <f t="shared" si="88"/>
        <v>0 г. 0 мес. 0 дн.</v>
      </c>
      <c r="V1780" s="12" t="str">
        <f t="shared" si="89"/>
        <v>0 г. 0 мес. 0 дн.</v>
      </c>
      <c r="W1780" s="22"/>
      <c r="X1780" s="72"/>
    </row>
    <row r="1781" spans="1:24" ht="35.1" customHeight="1" x14ac:dyDescent="0.25">
      <c r="A1781" s="12">
        <f t="shared" si="87"/>
        <v>1780</v>
      </c>
      <c r="B1781" s="12"/>
      <c r="C1781" s="20"/>
      <c r="D1781" s="18"/>
      <c r="H1781" s="12" t="str">
        <f t="shared" si="88"/>
        <v>0 г. 0 мес. 0 дн.</v>
      </c>
      <c r="V1781" s="12" t="str">
        <f t="shared" si="89"/>
        <v>0 г. 0 мес. 0 дн.</v>
      </c>
      <c r="W1781" s="22"/>
      <c r="X1781" s="72"/>
    </row>
    <row r="1782" spans="1:24" ht="35.1" customHeight="1" x14ac:dyDescent="0.25">
      <c r="A1782" s="12">
        <f t="shared" si="87"/>
        <v>1781</v>
      </c>
      <c r="B1782" s="12"/>
      <c r="C1782" s="20"/>
      <c r="D1782" s="18"/>
      <c r="H1782" s="12" t="str">
        <f t="shared" si="88"/>
        <v>0 г. 0 мес. 0 дн.</v>
      </c>
      <c r="V1782" s="12" t="str">
        <f t="shared" si="89"/>
        <v>0 г. 0 мес. 0 дн.</v>
      </c>
      <c r="W1782" s="22"/>
      <c r="X1782" s="72"/>
    </row>
    <row r="1783" spans="1:24" ht="35.1" customHeight="1" x14ac:dyDescent="0.25">
      <c r="A1783" s="12">
        <f t="shared" si="87"/>
        <v>1782</v>
      </c>
      <c r="B1783" s="12"/>
      <c r="C1783" s="20"/>
      <c r="D1783" s="18"/>
      <c r="H1783" s="12" t="str">
        <f t="shared" si="88"/>
        <v>0 г. 0 мес. 0 дн.</v>
      </c>
      <c r="V1783" s="12" t="str">
        <f t="shared" si="89"/>
        <v>0 г. 0 мес. 0 дн.</v>
      </c>
      <c r="W1783" s="22"/>
      <c r="X1783" s="72"/>
    </row>
    <row r="1784" spans="1:24" ht="35.1" customHeight="1" x14ac:dyDescent="0.25">
      <c r="A1784" s="12">
        <f t="shared" si="87"/>
        <v>1783</v>
      </c>
      <c r="B1784" s="12"/>
      <c r="C1784" s="20"/>
      <c r="D1784" s="18"/>
      <c r="H1784" s="12" t="str">
        <f t="shared" si="88"/>
        <v>0 г. 0 мес. 0 дн.</v>
      </c>
      <c r="V1784" s="12" t="str">
        <f t="shared" si="89"/>
        <v>0 г. 0 мес. 0 дн.</v>
      </c>
      <c r="W1784" s="22"/>
      <c r="X1784" s="72"/>
    </row>
    <row r="1785" spans="1:24" ht="35.1" customHeight="1" x14ac:dyDescent="0.25">
      <c r="A1785" s="12">
        <f t="shared" si="87"/>
        <v>1784</v>
      </c>
      <c r="B1785" s="12"/>
      <c r="C1785" s="20"/>
      <c r="D1785" s="18"/>
      <c r="H1785" s="12" t="str">
        <f t="shared" si="88"/>
        <v>0 г. 0 мес. 0 дн.</v>
      </c>
      <c r="V1785" s="12" t="str">
        <f t="shared" si="89"/>
        <v>0 г. 0 мес. 0 дн.</v>
      </c>
      <c r="W1785" s="22"/>
      <c r="X1785" s="72"/>
    </row>
    <row r="1786" spans="1:24" ht="35.1" customHeight="1" x14ac:dyDescent="0.25">
      <c r="A1786" s="12">
        <f t="shared" si="87"/>
        <v>1785</v>
      </c>
      <c r="B1786" s="12"/>
      <c r="C1786" s="20"/>
      <c r="D1786" s="18"/>
      <c r="H1786" s="12" t="str">
        <f t="shared" si="88"/>
        <v>0 г. 0 мес. 0 дн.</v>
      </c>
      <c r="V1786" s="12" t="str">
        <f t="shared" si="89"/>
        <v>0 г. 0 мес. 0 дн.</v>
      </c>
      <c r="W1786" s="22"/>
      <c r="X1786" s="72"/>
    </row>
    <row r="1787" spans="1:24" ht="35.1" customHeight="1" x14ac:dyDescent="0.25">
      <c r="A1787" s="12">
        <f t="shared" si="87"/>
        <v>1786</v>
      </c>
      <c r="B1787" s="12"/>
      <c r="C1787" s="20"/>
      <c r="D1787" s="18"/>
      <c r="H1787" s="12" t="str">
        <f t="shared" si="88"/>
        <v>0 г. 0 мес. 0 дн.</v>
      </c>
      <c r="V1787" s="12" t="str">
        <f t="shared" si="89"/>
        <v>0 г. 0 мес. 0 дн.</v>
      </c>
      <c r="W1787" s="22"/>
      <c r="X1787" s="72"/>
    </row>
    <row r="1788" spans="1:24" ht="35.1" customHeight="1" x14ac:dyDescent="0.25">
      <c r="A1788" s="12">
        <f t="shared" si="87"/>
        <v>1787</v>
      </c>
      <c r="B1788" s="12"/>
      <c r="C1788" s="20"/>
      <c r="D1788" s="18"/>
      <c r="H1788" s="12" t="str">
        <f t="shared" si="88"/>
        <v>0 г. 0 мес. 0 дн.</v>
      </c>
      <c r="V1788" s="12" t="str">
        <f t="shared" si="89"/>
        <v>0 г. 0 мес. 0 дн.</v>
      </c>
      <c r="W1788" s="22"/>
      <c r="X1788" s="72"/>
    </row>
    <row r="1789" spans="1:24" ht="35.1" customHeight="1" x14ac:dyDescent="0.25">
      <c r="A1789" s="12">
        <f t="shared" si="87"/>
        <v>1788</v>
      </c>
      <c r="B1789" s="12"/>
      <c r="C1789" s="20"/>
      <c r="D1789" s="18"/>
      <c r="H1789" s="12" t="str">
        <f t="shared" si="88"/>
        <v>0 г. 0 мес. 0 дн.</v>
      </c>
      <c r="V1789" s="12" t="str">
        <f t="shared" si="89"/>
        <v>0 г. 0 мес. 0 дн.</v>
      </c>
      <c r="W1789" s="22"/>
      <c r="X1789" s="72"/>
    </row>
    <row r="1790" spans="1:24" ht="35.1" customHeight="1" x14ac:dyDescent="0.25">
      <c r="A1790" s="12">
        <f t="shared" si="87"/>
        <v>1789</v>
      </c>
      <c r="B1790" s="12"/>
      <c r="C1790" s="20"/>
      <c r="D1790" s="18"/>
      <c r="H1790" s="12" t="str">
        <f t="shared" si="88"/>
        <v>0 г. 0 мес. 0 дн.</v>
      </c>
      <c r="V1790" s="12" t="str">
        <f t="shared" si="89"/>
        <v>0 г. 0 мес. 0 дн.</v>
      </c>
      <c r="W1790" s="22"/>
      <c r="X1790" s="72"/>
    </row>
    <row r="1791" spans="1:24" ht="35.1" customHeight="1" x14ac:dyDescent="0.25">
      <c r="A1791" s="12">
        <f t="shared" si="87"/>
        <v>1790</v>
      </c>
      <c r="B1791" s="12"/>
      <c r="C1791" s="20"/>
      <c r="D1791" s="18"/>
      <c r="H1791" s="12" t="str">
        <f t="shared" si="88"/>
        <v>0 г. 0 мес. 0 дн.</v>
      </c>
      <c r="V1791" s="12" t="str">
        <f t="shared" si="89"/>
        <v>0 г. 0 мес. 0 дн.</v>
      </c>
      <c r="W1791" s="22"/>
      <c r="X1791" s="72"/>
    </row>
    <row r="1792" spans="1:24" ht="35.1" customHeight="1" x14ac:dyDescent="0.25">
      <c r="A1792" s="12">
        <f t="shared" si="87"/>
        <v>1791</v>
      </c>
      <c r="B1792" s="12"/>
      <c r="C1792" s="20"/>
      <c r="D1792" s="18"/>
      <c r="H1792" s="12" t="str">
        <f t="shared" si="88"/>
        <v>0 г. 0 мес. 0 дн.</v>
      </c>
      <c r="V1792" s="12" t="str">
        <f t="shared" si="89"/>
        <v>0 г. 0 мес. 0 дн.</v>
      </c>
      <c r="W1792" s="22"/>
      <c r="X1792" s="72"/>
    </row>
    <row r="1793" spans="1:24" ht="35.1" customHeight="1" x14ac:dyDescent="0.25">
      <c r="A1793" s="12">
        <f t="shared" ref="A1793:A1856" si="90">ROW(A1792)</f>
        <v>1792</v>
      </c>
      <c r="B1793" s="12"/>
      <c r="C1793" s="20"/>
      <c r="D1793" s="18"/>
      <c r="H1793" s="12" t="str">
        <f t="shared" si="88"/>
        <v>0 г. 0 мес. 0 дн.</v>
      </c>
      <c r="V1793" s="12" t="str">
        <f t="shared" si="89"/>
        <v>0 г. 0 мес. 0 дн.</v>
      </c>
      <c r="W1793" s="22"/>
      <c r="X1793" s="72"/>
    </row>
    <row r="1794" spans="1:24" ht="35.1" customHeight="1" x14ac:dyDescent="0.25">
      <c r="A1794" s="12">
        <f t="shared" si="90"/>
        <v>1793</v>
      </c>
      <c r="B1794" s="12"/>
      <c r="C1794" s="20"/>
      <c r="D1794" s="18"/>
      <c r="H1794" s="12" t="str">
        <f t="shared" si="88"/>
        <v>0 г. 0 мес. 0 дн.</v>
      </c>
      <c r="V1794" s="12" t="str">
        <f t="shared" si="89"/>
        <v>0 г. 0 мес. 0 дн.</v>
      </c>
      <c r="W1794" s="22"/>
      <c r="X1794" s="72"/>
    </row>
    <row r="1795" spans="1:24" ht="35.1" customHeight="1" x14ac:dyDescent="0.25">
      <c r="A1795" s="12">
        <f t="shared" si="90"/>
        <v>1794</v>
      </c>
      <c r="B1795" s="12"/>
      <c r="C1795" s="20"/>
      <c r="D1795" s="18"/>
      <c r="H1795" s="12" t="str">
        <f t="shared" si="88"/>
        <v>0 г. 0 мес. 0 дн.</v>
      </c>
      <c r="V1795" s="12" t="str">
        <f t="shared" si="89"/>
        <v>0 г. 0 мес. 0 дн.</v>
      </c>
      <c r="W1795" s="22"/>
      <c r="X1795" s="72"/>
    </row>
    <row r="1796" spans="1:24" ht="35.1" customHeight="1" x14ac:dyDescent="0.25">
      <c r="A1796" s="12">
        <f t="shared" si="90"/>
        <v>1795</v>
      </c>
      <c r="B1796" s="12"/>
      <c r="C1796" s="20"/>
      <c r="D1796" s="18"/>
      <c r="H1796" s="12" t="str">
        <f t="shared" si="88"/>
        <v>0 г. 0 мес. 0 дн.</v>
      </c>
      <c r="V1796" s="12" t="str">
        <f t="shared" si="89"/>
        <v>0 г. 0 мес. 0 дн.</v>
      </c>
      <c r="W1796" s="22"/>
      <c r="X1796" s="72"/>
    </row>
    <row r="1797" spans="1:24" ht="35.1" customHeight="1" x14ac:dyDescent="0.25">
      <c r="A1797" s="12">
        <f t="shared" si="90"/>
        <v>1796</v>
      </c>
      <c r="B1797" s="12"/>
      <c r="C1797" s="20"/>
      <c r="D1797" s="18"/>
      <c r="H1797" s="12" t="str">
        <f t="shared" si="88"/>
        <v>0 г. 0 мес. 0 дн.</v>
      </c>
      <c r="V1797" s="12" t="str">
        <f t="shared" si="89"/>
        <v>0 г. 0 мес. 0 дн.</v>
      </c>
      <c r="W1797" s="22"/>
      <c r="X1797" s="72"/>
    </row>
    <row r="1798" spans="1:24" ht="35.1" customHeight="1" x14ac:dyDescent="0.25">
      <c r="A1798" s="12">
        <f t="shared" si="90"/>
        <v>1797</v>
      </c>
      <c r="B1798" s="12"/>
      <c r="C1798" s="20"/>
      <c r="D1798" s="18"/>
      <c r="H1798" s="12" t="str">
        <f t="shared" ref="H1798:H1861" si="91">DATEDIF(G1798,D1798,"y") &amp; " г. " &amp; DATEDIF(G1798,D1798,"ym") &amp; " мес. " &amp; DATEDIF(G1798,D1798,"md") &amp; " дн."</f>
        <v>0 г. 0 мес. 0 дн.</v>
      </c>
      <c r="V1798" s="12" t="str">
        <f t="shared" si="89"/>
        <v>0 г. 0 мес. 0 дн.</v>
      </c>
      <c r="W1798" s="22"/>
      <c r="X1798" s="72"/>
    </row>
    <row r="1799" spans="1:24" ht="35.1" customHeight="1" x14ac:dyDescent="0.25">
      <c r="A1799" s="12">
        <f t="shared" si="90"/>
        <v>1798</v>
      </c>
      <c r="B1799" s="12"/>
      <c r="C1799" s="20"/>
      <c r="D1799" s="18"/>
      <c r="H1799" s="12" t="str">
        <f t="shared" si="91"/>
        <v>0 г. 0 мес. 0 дн.</v>
      </c>
      <c r="V1799" s="12" t="str">
        <f t="shared" si="89"/>
        <v>0 г. 0 мес. 0 дн.</v>
      </c>
      <c r="W1799" s="22"/>
      <c r="X1799" s="72"/>
    </row>
    <row r="1800" spans="1:24" ht="35.1" customHeight="1" x14ac:dyDescent="0.25">
      <c r="A1800" s="12">
        <f t="shared" si="90"/>
        <v>1799</v>
      </c>
      <c r="B1800" s="12"/>
      <c r="C1800" s="20"/>
      <c r="D1800" s="18"/>
      <c r="H1800" s="12" t="str">
        <f t="shared" si="91"/>
        <v>0 г. 0 мес. 0 дн.</v>
      </c>
      <c r="V1800" s="12" t="str">
        <f t="shared" si="89"/>
        <v>0 г. 0 мес. 0 дн.</v>
      </c>
      <c r="W1800" s="22"/>
      <c r="X1800" s="72"/>
    </row>
    <row r="1801" spans="1:24" ht="35.1" customHeight="1" x14ac:dyDescent="0.25">
      <c r="A1801" s="12">
        <f t="shared" si="90"/>
        <v>1800</v>
      </c>
      <c r="B1801" s="12"/>
      <c r="C1801" s="20"/>
      <c r="D1801" s="18"/>
      <c r="H1801" s="12" t="str">
        <f t="shared" si="91"/>
        <v>0 г. 0 мес. 0 дн.</v>
      </c>
      <c r="V1801" s="12" t="str">
        <f t="shared" si="89"/>
        <v>0 г. 0 мес. 0 дн.</v>
      </c>
      <c r="W1801" s="22"/>
      <c r="X1801" s="72"/>
    </row>
    <row r="1802" spans="1:24" ht="35.1" customHeight="1" x14ac:dyDescent="0.25">
      <c r="A1802" s="12">
        <f t="shared" si="90"/>
        <v>1801</v>
      </c>
      <c r="B1802" s="12"/>
      <c r="C1802" s="20"/>
      <c r="D1802" s="18"/>
      <c r="H1802" s="12" t="str">
        <f t="shared" si="91"/>
        <v>0 г. 0 мес. 0 дн.</v>
      </c>
      <c r="V1802" s="12" t="str">
        <f t="shared" si="89"/>
        <v>0 г. 0 мес. 0 дн.</v>
      </c>
      <c r="W1802" s="22"/>
      <c r="X1802" s="72"/>
    </row>
    <row r="1803" spans="1:24" ht="35.1" customHeight="1" x14ac:dyDescent="0.25">
      <c r="A1803" s="12">
        <f t="shared" si="90"/>
        <v>1802</v>
      </c>
      <c r="B1803" s="12"/>
      <c r="C1803" s="20"/>
      <c r="D1803" s="18"/>
      <c r="H1803" s="12" t="str">
        <f t="shared" si="91"/>
        <v>0 г. 0 мес. 0 дн.</v>
      </c>
      <c r="V1803" s="12" t="str">
        <f t="shared" si="89"/>
        <v>0 г. 0 мес. 0 дн.</v>
      </c>
      <c r="W1803" s="22"/>
      <c r="X1803" s="72"/>
    </row>
    <row r="1804" spans="1:24" ht="35.1" customHeight="1" x14ac:dyDescent="0.25">
      <c r="A1804" s="12">
        <f t="shared" si="90"/>
        <v>1803</v>
      </c>
      <c r="B1804" s="12"/>
      <c r="C1804" s="20"/>
      <c r="D1804" s="18"/>
      <c r="H1804" s="12" t="str">
        <f t="shared" si="91"/>
        <v>0 г. 0 мес. 0 дн.</v>
      </c>
      <c r="V1804" s="12" t="str">
        <f t="shared" si="89"/>
        <v>0 г. 0 мес. 0 дн.</v>
      </c>
      <c r="W1804" s="22"/>
      <c r="X1804" s="72"/>
    </row>
    <row r="1805" spans="1:24" ht="35.1" customHeight="1" x14ac:dyDescent="0.25">
      <c r="A1805" s="12">
        <f t="shared" si="90"/>
        <v>1804</v>
      </c>
      <c r="B1805" s="12"/>
      <c r="C1805" s="20"/>
      <c r="D1805" s="18"/>
      <c r="H1805" s="12" t="str">
        <f t="shared" si="91"/>
        <v>0 г. 0 мес. 0 дн.</v>
      </c>
      <c r="V1805" s="12" t="str">
        <f t="shared" si="89"/>
        <v>0 г. 0 мес. 0 дн.</v>
      </c>
      <c r="W1805" s="22"/>
      <c r="X1805" s="72"/>
    </row>
    <row r="1806" spans="1:24" ht="35.1" customHeight="1" x14ac:dyDescent="0.25">
      <c r="A1806" s="12">
        <f t="shared" si="90"/>
        <v>1805</v>
      </c>
      <c r="B1806" s="12"/>
      <c r="C1806" s="20"/>
      <c r="D1806" s="18"/>
      <c r="H1806" s="12" t="str">
        <f t="shared" si="91"/>
        <v>0 г. 0 мес. 0 дн.</v>
      </c>
      <c r="V1806" s="12" t="str">
        <f t="shared" si="89"/>
        <v>0 г. 0 мес. 0 дн.</v>
      </c>
      <c r="W1806" s="22"/>
      <c r="X1806" s="72"/>
    </row>
    <row r="1807" spans="1:24" ht="35.1" customHeight="1" x14ac:dyDescent="0.25">
      <c r="A1807" s="12">
        <f t="shared" si="90"/>
        <v>1806</v>
      </c>
      <c r="B1807" s="12"/>
      <c r="C1807" s="20"/>
      <c r="D1807" s="18"/>
      <c r="H1807" s="12" t="str">
        <f t="shared" si="91"/>
        <v>0 г. 0 мес. 0 дн.</v>
      </c>
      <c r="V1807" s="12" t="str">
        <f t="shared" si="89"/>
        <v>0 г. 0 мес. 0 дн.</v>
      </c>
      <c r="W1807" s="22"/>
      <c r="X1807" s="72"/>
    </row>
    <row r="1808" spans="1:24" ht="35.1" customHeight="1" x14ac:dyDescent="0.25">
      <c r="A1808" s="12">
        <f t="shared" si="90"/>
        <v>1807</v>
      </c>
      <c r="B1808" s="12"/>
      <c r="C1808" s="20"/>
      <c r="D1808" s="18"/>
      <c r="H1808" s="12" t="str">
        <f t="shared" si="91"/>
        <v>0 г. 0 мес. 0 дн.</v>
      </c>
      <c r="V1808" s="12" t="str">
        <f t="shared" si="89"/>
        <v>0 г. 0 мес. 0 дн.</v>
      </c>
      <c r="W1808" s="22"/>
      <c r="X1808" s="72"/>
    </row>
    <row r="1809" spans="1:24" ht="35.1" customHeight="1" x14ac:dyDescent="0.25">
      <c r="A1809" s="12">
        <f t="shared" si="90"/>
        <v>1808</v>
      </c>
      <c r="B1809" s="12"/>
      <c r="C1809" s="20"/>
      <c r="D1809" s="18"/>
      <c r="H1809" s="12" t="str">
        <f t="shared" si="91"/>
        <v>0 г. 0 мес. 0 дн.</v>
      </c>
      <c r="V1809" s="12" t="str">
        <f t="shared" si="89"/>
        <v>0 г. 0 мес. 0 дн.</v>
      </c>
      <c r="W1809" s="22"/>
      <c r="X1809" s="72"/>
    </row>
    <row r="1810" spans="1:24" ht="35.1" customHeight="1" x14ac:dyDescent="0.25">
      <c r="A1810" s="12">
        <f t="shared" si="90"/>
        <v>1809</v>
      </c>
      <c r="B1810" s="12"/>
      <c r="C1810" s="20"/>
      <c r="D1810" s="18"/>
      <c r="H1810" s="12" t="str">
        <f t="shared" si="91"/>
        <v>0 г. 0 мес. 0 дн.</v>
      </c>
      <c r="V1810" s="12" t="str">
        <f t="shared" si="89"/>
        <v>0 г. 0 мес. 0 дн.</v>
      </c>
      <c r="W1810" s="22"/>
      <c r="X1810" s="72"/>
    </row>
    <row r="1811" spans="1:24" ht="35.1" customHeight="1" x14ac:dyDescent="0.25">
      <c r="A1811" s="12">
        <f t="shared" si="90"/>
        <v>1810</v>
      </c>
      <c r="B1811" s="12"/>
      <c r="C1811" s="20"/>
      <c r="D1811" s="18"/>
      <c r="H1811" s="12" t="str">
        <f t="shared" si="91"/>
        <v>0 г. 0 мес. 0 дн.</v>
      </c>
      <c r="V1811" s="12" t="str">
        <f t="shared" si="89"/>
        <v>0 г. 0 мес. 0 дн.</v>
      </c>
      <c r="W1811" s="22"/>
      <c r="X1811" s="72"/>
    </row>
    <row r="1812" spans="1:24" ht="35.1" customHeight="1" x14ac:dyDescent="0.25">
      <c r="A1812" s="12">
        <f t="shared" si="90"/>
        <v>1811</v>
      </c>
      <c r="B1812" s="12"/>
      <c r="C1812" s="20"/>
      <c r="D1812" s="18"/>
      <c r="H1812" s="12" t="str">
        <f t="shared" si="91"/>
        <v>0 г. 0 мес. 0 дн.</v>
      </c>
      <c r="V1812" s="12" t="str">
        <f t="shared" si="89"/>
        <v>0 г. 0 мес. 0 дн.</v>
      </c>
      <c r="W1812" s="22"/>
      <c r="X1812" s="72"/>
    </row>
    <row r="1813" spans="1:24" ht="35.1" customHeight="1" x14ac:dyDescent="0.25">
      <c r="A1813" s="12">
        <f t="shared" si="90"/>
        <v>1812</v>
      </c>
      <c r="B1813" s="12"/>
      <c r="C1813" s="20"/>
      <c r="D1813" s="18"/>
      <c r="H1813" s="12" t="str">
        <f t="shared" si="91"/>
        <v>0 г. 0 мес. 0 дн.</v>
      </c>
      <c r="V1813" s="12" t="str">
        <f t="shared" si="89"/>
        <v>0 г. 0 мес. 0 дн.</v>
      </c>
      <c r="W1813" s="22"/>
      <c r="X1813" s="72"/>
    </row>
    <row r="1814" spans="1:24" ht="35.1" customHeight="1" x14ac:dyDescent="0.25">
      <c r="A1814" s="12">
        <f t="shared" si="90"/>
        <v>1813</v>
      </c>
      <c r="B1814" s="12"/>
      <c r="C1814" s="20"/>
      <c r="D1814" s="18"/>
      <c r="H1814" s="12" t="str">
        <f t="shared" si="91"/>
        <v>0 г. 0 мес. 0 дн.</v>
      </c>
      <c r="V1814" s="12" t="str">
        <f t="shared" si="89"/>
        <v>0 г. 0 мес. 0 дн.</v>
      </c>
      <c r="W1814" s="22"/>
      <c r="X1814" s="72"/>
    </row>
    <row r="1815" spans="1:24" ht="35.1" customHeight="1" x14ac:dyDescent="0.25">
      <c r="A1815" s="12">
        <f t="shared" si="90"/>
        <v>1814</v>
      </c>
      <c r="B1815" s="12"/>
      <c r="C1815" s="20"/>
      <c r="D1815" s="18"/>
      <c r="H1815" s="12" t="str">
        <f t="shared" si="91"/>
        <v>0 г. 0 мес. 0 дн.</v>
      </c>
      <c r="V1815" s="12" t="str">
        <f t="shared" si="89"/>
        <v>0 г. 0 мес. 0 дн.</v>
      </c>
      <c r="W1815" s="22"/>
      <c r="X1815" s="72"/>
    </row>
    <row r="1816" spans="1:24" ht="35.1" customHeight="1" x14ac:dyDescent="0.25">
      <c r="A1816" s="12">
        <f t="shared" si="90"/>
        <v>1815</v>
      </c>
      <c r="B1816" s="12"/>
      <c r="C1816" s="20"/>
      <c r="D1816" s="18"/>
      <c r="H1816" s="12" t="str">
        <f t="shared" si="91"/>
        <v>0 г. 0 мес. 0 дн.</v>
      </c>
      <c r="V1816" s="12" t="str">
        <f t="shared" ref="V1816:V1879" si="92">DATEDIF(D1816,T1816,"y") &amp; " г. " &amp; DATEDIF(D1816,T1816,"ym") &amp; " мес. " &amp; DATEDIF(D1816,T1816,"md") &amp; " дн."</f>
        <v>0 г. 0 мес. 0 дн.</v>
      </c>
      <c r="W1816" s="22"/>
      <c r="X1816" s="72"/>
    </row>
    <row r="1817" spans="1:24" ht="35.1" customHeight="1" x14ac:dyDescent="0.25">
      <c r="A1817" s="12">
        <f t="shared" si="90"/>
        <v>1816</v>
      </c>
      <c r="B1817" s="12"/>
      <c r="C1817" s="20"/>
      <c r="D1817" s="18"/>
      <c r="H1817" s="12" t="str">
        <f t="shared" si="91"/>
        <v>0 г. 0 мес. 0 дн.</v>
      </c>
      <c r="V1817" s="12" t="str">
        <f t="shared" si="92"/>
        <v>0 г. 0 мес. 0 дн.</v>
      </c>
      <c r="W1817" s="22"/>
      <c r="X1817" s="72"/>
    </row>
    <row r="1818" spans="1:24" ht="35.1" customHeight="1" x14ac:dyDescent="0.25">
      <c r="A1818" s="12">
        <f t="shared" si="90"/>
        <v>1817</v>
      </c>
      <c r="B1818" s="12"/>
      <c r="C1818" s="20"/>
      <c r="D1818" s="18"/>
      <c r="H1818" s="12" t="str">
        <f t="shared" si="91"/>
        <v>0 г. 0 мес. 0 дн.</v>
      </c>
      <c r="V1818" s="12" t="str">
        <f t="shared" si="92"/>
        <v>0 г. 0 мес. 0 дн.</v>
      </c>
      <c r="W1818" s="22"/>
      <c r="X1818" s="72"/>
    </row>
    <row r="1819" spans="1:24" ht="35.1" customHeight="1" x14ac:dyDescent="0.25">
      <c r="A1819" s="12">
        <f t="shared" si="90"/>
        <v>1818</v>
      </c>
      <c r="B1819" s="12"/>
      <c r="C1819" s="20"/>
      <c r="D1819" s="18"/>
      <c r="H1819" s="12" t="str">
        <f t="shared" si="91"/>
        <v>0 г. 0 мес. 0 дн.</v>
      </c>
      <c r="V1819" s="12" t="str">
        <f t="shared" si="92"/>
        <v>0 г. 0 мес. 0 дн.</v>
      </c>
      <c r="W1819" s="22"/>
      <c r="X1819" s="72"/>
    </row>
    <row r="1820" spans="1:24" ht="35.1" customHeight="1" x14ac:dyDescent="0.25">
      <c r="A1820" s="12">
        <f t="shared" si="90"/>
        <v>1819</v>
      </c>
      <c r="B1820" s="12"/>
      <c r="C1820" s="20"/>
      <c r="D1820" s="18"/>
      <c r="H1820" s="12" t="str">
        <f t="shared" si="91"/>
        <v>0 г. 0 мес. 0 дн.</v>
      </c>
      <c r="V1820" s="12" t="str">
        <f t="shared" si="92"/>
        <v>0 г. 0 мес. 0 дн.</v>
      </c>
      <c r="W1820" s="22"/>
      <c r="X1820" s="72"/>
    </row>
    <row r="1821" spans="1:24" ht="35.1" customHeight="1" x14ac:dyDescent="0.25">
      <c r="A1821" s="12">
        <f t="shared" si="90"/>
        <v>1820</v>
      </c>
      <c r="B1821" s="12"/>
      <c r="C1821" s="20"/>
      <c r="D1821" s="18"/>
      <c r="H1821" s="12" t="str">
        <f t="shared" si="91"/>
        <v>0 г. 0 мес. 0 дн.</v>
      </c>
      <c r="V1821" s="12" t="str">
        <f t="shared" si="92"/>
        <v>0 г. 0 мес. 0 дн.</v>
      </c>
      <c r="W1821" s="22"/>
      <c r="X1821" s="72"/>
    </row>
    <row r="1822" spans="1:24" ht="35.1" customHeight="1" x14ac:dyDescent="0.25">
      <c r="A1822" s="12">
        <f t="shared" si="90"/>
        <v>1821</v>
      </c>
      <c r="B1822" s="12"/>
      <c r="C1822" s="20"/>
      <c r="D1822" s="18"/>
      <c r="H1822" s="12" t="str">
        <f t="shared" si="91"/>
        <v>0 г. 0 мес. 0 дн.</v>
      </c>
      <c r="V1822" s="12" t="str">
        <f t="shared" si="92"/>
        <v>0 г. 0 мес. 0 дн.</v>
      </c>
      <c r="W1822" s="22"/>
      <c r="X1822" s="72"/>
    </row>
    <row r="1823" spans="1:24" ht="35.1" customHeight="1" x14ac:dyDescent="0.25">
      <c r="A1823" s="12">
        <f t="shared" si="90"/>
        <v>1822</v>
      </c>
      <c r="B1823" s="12"/>
      <c r="C1823" s="20"/>
      <c r="D1823" s="18"/>
      <c r="H1823" s="12" t="str">
        <f t="shared" si="91"/>
        <v>0 г. 0 мес. 0 дн.</v>
      </c>
      <c r="V1823" s="12" t="str">
        <f t="shared" si="92"/>
        <v>0 г. 0 мес. 0 дн.</v>
      </c>
      <c r="W1823" s="22"/>
      <c r="X1823" s="72"/>
    </row>
    <row r="1824" spans="1:24" ht="35.1" customHeight="1" x14ac:dyDescent="0.25">
      <c r="A1824" s="12">
        <f t="shared" si="90"/>
        <v>1823</v>
      </c>
      <c r="B1824" s="12"/>
      <c r="C1824" s="20"/>
      <c r="D1824" s="18"/>
      <c r="H1824" s="12" t="str">
        <f t="shared" si="91"/>
        <v>0 г. 0 мес. 0 дн.</v>
      </c>
      <c r="V1824" s="12" t="str">
        <f t="shared" si="92"/>
        <v>0 г. 0 мес. 0 дн.</v>
      </c>
      <c r="W1824" s="22"/>
      <c r="X1824" s="72"/>
    </row>
    <row r="1825" spans="1:24" ht="35.1" customHeight="1" x14ac:dyDescent="0.25">
      <c r="A1825" s="12">
        <f t="shared" si="90"/>
        <v>1824</v>
      </c>
      <c r="B1825" s="12"/>
      <c r="C1825" s="20"/>
      <c r="D1825" s="18"/>
      <c r="H1825" s="12" t="str">
        <f t="shared" si="91"/>
        <v>0 г. 0 мес. 0 дн.</v>
      </c>
      <c r="V1825" s="12" t="str">
        <f t="shared" si="92"/>
        <v>0 г. 0 мес. 0 дн.</v>
      </c>
      <c r="W1825" s="22"/>
      <c r="X1825" s="72"/>
    </row>
    <row r="1826" spans="1:24" ht="35.1" customHeight="1" x14ac:dyDescent="0.25">
      <c r="A1826" s="12">
        <f t="shared" si="90"/>
        <v>1825</v>
      </c>
      <c r="B1826" s="12"/>
      <c r="C1826" s="20"/>
      <c r="D1826" s="18"/>
      <c r="H1826" s="12" t="str">
        <f t="shared" si="91"/>
        <v>0 г. 0 мес. 0 дн.</v>
      </c>
      <c r="V1826" s="12" t="str">
        <f t="shared" si="92"/>
        <v>0 г. 0 мес. 0 дн.</v>
      </c>
      <c r="W1826" s="22"/>
      <c r="X1826" s="72"/>
    </row>
    <row r="1827" spans="1:24" ht="35.1" customHeight="1" x14ac:dyDescent="0.25">
      <c r="A1827" s="12">
        <f t="shared" si="90"/>
        <v>1826</v>
      </c>
      <c r="B1827" s="12"/>
      <c r="C1827" s="20"/>
      <c r="D1827" s="18"/>
      <c r="H1827" s="12" t="str">
        <f t="shared" si="91"/>
        <v>0 г. 0 мес. 0 дн.</v>
      </c>
      <c r="V1827" s="12" t="str">
        <f t="shared" si="92"/>
        <v>0 г. 0 мес. 0 дн.</v>
      </c>
      <c r="W1827" s="22"/>
      <c r="X1827" s="72"/>
    </row>
    <row r="1828" spans="1:24" ht="35.1" customHeight="1" x14ac:dyDescent="0.25">
      <c r="A1828" s="12">
        <f t="shared" si="90"/>
        <v>1827</v>
      </c>
      <c r="B1828" s="12"/>
      <c r="C1828" s="20"/>
      <c r="D1828" s="18"/>
      <c r="H1828" s="12" t="str">
        <f t="shared" si="91"/>
        <v>0 г. 0 мес. 0 дн.</v>
      </c>
      <c r="V1828" s="12" t="str">
        <f t="shared" si="92"/>
        <v>0 г. 0 мес. 0 дн.</v>
      </c>
      <c r="W1828" s="22"/>
      <c r="X1828" s="72"/>
    </row>
    <row r="1829" spans="1:24" ht="35.1" customHeight="1" x14ac:dyDescent="0.25">
      <c r="A1829" s="12">
        <f t="shared" si="90"/>
        <v>1828</v>
      </c>
      <c r="B1829" s="12"/>
      <c r="C1829" s="20"/>
      <c r="D1829" s="18"/>
      <c r="H1829" s="12" t="str">
        <f t="shared" si="91"/>
        <v>0 г. 0 мес. 0 дн.</v>
      </c>
      <c r="V1829" s="12" t="str">
        <f t="shared" si="92"/>
        <v>0 г. 0 мес. 0 дн.</v>
      </c>
      <c r="W1829" s="22"/>
      <c r="X1829" s="72"/>
    </row>
    <row r="1830" spans="1:24" ht="35.1" customHeight="1" x14ac:dyDescent="0.25">
      <c r="A1830" s="12">
        <f t="shared" si="90"/>
        <v>1829</v>
      </c>
      <c r="B1830" s="12"/>
      <c r="C1830" s="20"/>
      <c r="D1830" s="18"/>
      <c r="H1830" s="12" t="str">
        <f t="shared" si="91"/>
        <v>0 г. 0 мес. 0 дн.</v>
      </c>
      <c r="V1830" s="12" t="str">
        <f t="shared" si="92"/>
        <v>0 г. 0 мес. 0 дн.</v>
      </c>
      <c r="W1830" s="22"/>
      <c r="X1830" s="72"/>
    </row>
    <row r="1831" spans="1:24" ht="35.1" customHeight="1" x14ac:dyDescent="0.25">
      <c r="A1831" s="12">
        <f t="shared" si="90"/>
        <v>1830</v>
      </c>
      <c r="B1831" s="12"/>
      <c r="C1831" s="20"/>
      <c r="D1831" s="18"/>
      <c r="H1831" s="12" t="str">
        <f t="shared" si="91"/>
        <v>0 г. 0 мес. 0 дн.</v>
      </c>
      <c r="V1831" s="12" t="str">
        <f t="shared" si="92"/>
        <v>0 г. 0 мес. 0 дн.</v>
      </c>
      <c r="W1831" s="22"/>
      <c r="X1831" s="72"/>
    </row>
    <row r="1832" spans="1:24" ht="35.1" customHeight="1" x14ac:dyDescent="0.25">
      <c r="A1832" s="12">
        <f t="shared" si="90"/>
        <v>1831</v>
      </c>
      <c r="B1832" s="12"/>
      <c r="C1832" s="20"/>
      <c r="D1832" s="18"/>
      <c r="H1832" s="12" t="str">
        <f t="shared" si="91"/>
        <v>0 г. 0 мес. 0 дн.</v>
      </c>
      <c r="V1832" s="12" t="str">
        <f t="shared" si="92"/>
        <v>0 г. 0 мес. 0 дн.</v>
      </c>
      <c r="W1832" s="22"/>
      <c r="X1832" s="72"/>
    </row>
    <row r="1833" spans="1:24" ht="35.1" customHeight="1" x14ac:dyDescent="0.25">
      <c r="A1833" s="12">
        <f t="shared" si="90"/>
        <v>1832</v>
      </c>
      <c r="B1833" s="12"/>
      <c r="C1833" s="20"/>
      <c r="D1833" s="18"/>
      <c r="H1833" s="12" t="str">
        <f t="shared" si="91"/>
        <v>0 г. 0 мес. 0 дн.</v>
      </c>
      <c r="V1833" s="12" t="str">
        <f t="shared" si="92"/>
        <v>0 г. 0 мес. 0 дн.</v>
      </c>
      <c r="W1833" s="22"/>
      <c r="X1833" s="72"/>
    </row>
    <row r="1834" spans="1:24" ht="35.1" customHeight="1" x14ac:dyDescent="0.25">
      <c r="A1834" s="12">
        <f t="shared" si="90"/>
        <v>1833</v>
      </c>
      <c r="B1834" s="12"/>
      <c r="C1834" s="20"/>
      <c r="D1834" s="18"/>
      <c r="H1834" s="12" t="str">
        <f t="shared" si="91"/>
        <v>0 г. 0 мес. 0 дн.</v>
      </c>
      <c r="V1834" s="12" t="str">
        <f t="shared" si="92"/>
        <v>0 г. 0 мес. 0 дн.</v>
      </c>
      <c r="W1834" s="22"/>
      <c r="X1834" s="72"/>
    </row>
    <row r="1835" spans="1:24" ht="35.1" customHeight="1" x14ac:dyDescent="0.25">
      <c r="A1835" s="12">
        <f t="shared" si="90"/>
        <v>1834</v>
      </c>
      <c r="B1835" s="12"/>
      <c r="C1835" s="20"/>
      <c r="D1835" s="18"/>
      <c r="H1835" s="12" t="str">
        <f t="shared" si="91"/>
        <v>0 г. 0 мес. 0 дн.</v>
      </c>
      <c r="V1835" s="12" t="str">
        <f t="shared" si="92"/>
        <v>0 г. 0 мес. 0 дн.</v>
      </c>
      <c r="W1835" s="22"/>
      <c r="X1835" s="72"/>
    </row>
    <row r="1836" spans="1:24" ht="35.1" customHeight="1" x14ac:dyDescent="0.25">
      <c r="A1836" s="12">
        <f t="shared" si="90"/>
        <v>1835</v>
      </c>
      <c r="B1836" s="12"/>
      <c r="C1836" s="20"/>
      <c r="D1836" s="18"/>
      <c r="H1836" s="12" t="str">
        <f t="shared" si="91"/>
        <v>0 г. 0 мес. 0 дн.</v>
      </c>
      <c r="V1836" s="12" t="str">
        <f t="shared" si="92"/>
        <v>0 г. 0 мес. 0 дн.</v>
      </c>
      <c r="W1836" s="22"/>
      <c r="X1836" s="72"/>
    </row>
    <row r="1837" spans="1:24" ht="35.1" customHeight="1" x14ac:dyDescent="0.25">
      <c r="A1837" s="12">
        <f t="shared" si="90"/>
        <v>1836</v>
      </c>
      <c r="B1837" s="12"/>
      <c r="C1837" s="20"/>
      <c r="D1837" s="18"/>
      <c r="H1837" s="12" t="str">
        <f t="shared" si="91"/>
        <v>0 г. 0 мес. 0 дн.</v>
      </c>
      <c r="V1837" s="12" t="str">
        <f t="shared" si="92"/>
        <v>0 г. 0 мес. 0 дн.</v>
      </c>
      <c r="W1837" s="22"/>
      <c r="X1837" s="72"/>
    </row>
    <row r="1838" spans="1:24" ht="35.1" customHeight="1" x14ac:dyDescent="0.25">
      <c r="A1838" s="12">
        <f t="shared" si="90"/>
        <v>1837</v>
      </c>
      <c r="B1838" s="12"/>
      <c r="C1838" s="20"/>
      <c r="D1838" s="18"/>
      <c r="H1838" s="12" t="str">
        <f t="shared" si="91"/>
        <v>0 г. 0 мес. 0 дн.</v>
      </c>
      <c r="V1838" s="12" t="str">
        <f t="shared" si="92"/>
        <v>0 г. 0 мес. 0 дн.</v>
      </c>
      <c r="W1838" s="22"/>
      <c r="X1838" s="72"/>
    </row>
    <row r="1839" spans="1:24" ht="35.1" customHeight="1" x14ac:dyDescent="0.25">
      <c r="A1839" s="12">
        <f t="shared" si="90"/>
        <v>1838</v>
      </c>
      <c r="B1839" s="12"/>
      <c r="C1839" s="20"/>
      <c r="D1839" s="18"/>
      <c r="H1839" s="12" t="str">
        <f t="shared" si="91"/>
        <v>0 г. 0 мес. 0 дн.</v>
      </c>
      <c r="V1839" s="12" t="str">
        <f t="shared" si="92"/>
        <v>0 г. 0 мес. 0 дн.</v>
      </c>
      <c r="W1839" s="22"/>
      <c r="X1839" s="72"/>
    </row>
    <row r="1840" spans="1:24" ht="35.1" customHeight="1" x14ac:dyDescent="0.25">
      <c r="A1840" s="12">
        <f t="shared" si="90"/>
        <v>1839</v>
      </c>
      <c r="B1840" s="12"/>
      <c r="C1840" s="20"/>
      <c r="D1840" s="18"/>
      <c r="H1840" s="12" t="str">
        <f t="shared" si="91"/>
        <v>0 г. 0 мес. 0 дн.</v>
      </c>
      <c r="V1840" s="12" t="str">
        <f t="shared" si="92"/>
        <v>0 г. 0 мес. 0 дн.</v>
      </c>
      <c r="W1840" s="22"/>
      <c r="X1840" s="72"/>
    </row>
    <row r="1841" spans="1:24" ht="35.1" customHeight="1" x14ac:dyDescent="0.25">
      <c r="A1841" s="12">
        <f t="shared" si="90"/>
        <v>1840</v>
      </c>
      <c r="B1841" s="12"/>
      <c r="C1841" s="20"/>
      <c r="D1841" s="18"/>
      <c r="H1841" s="12" t="str">
        <f t="shared" si="91"/>
        <v>0 г. 0 мес. 0 дн.</v>
      </c>
      <c r="V1841" s="12" t="str">
        <f t="shared" si="92"/>
        <v>0 г. 0 мес. 0 дн.</v>
      </c>
      <c r="W1841" s="22"/>
      <c r="X1841" s="72"/>
    </row>
    <row r="1842" spans="1:24" ht="35.1" customHeight="1" x14ac:dyDescent="0.25">
      <c r="A1842" s="12">
        <f t="shared" si="90"/>
        <v>1841</v>
      </c>
      <c r="B1842" s="12"/>
      <c r="C1842" s="20"/>
      <c r="D1842" s="18"/>
      <c r="H1842" s="12" t="str">
        <f t="shared" si="91"/>
        <v>0 г. 0 мес. 0 дн.</v>
      </c>
      <c r="V1842" s="12" t="str">
        <f t="shared" si="92"/>
        <v>0 г. 0 мес. 0 дн.</v>
      </c>
      <c r="W1842" s="22"/>
      <c r="X1842" s="72"/>
    </row>
    <row r="1843" spans="1:24" ht="35.1" customHeight="1" x14ac:dyDescent="0.25">
      <c r="A1843" s="12">
        <f t="shared" si="90"/>
        <v>1842</v>
      </c>
      <c r="B1843" s="12"/>
      <c r="C1843" s="20"/>
      <c r="D1843" s="18"/>
      <c r="H1843" s="12" t="str">
        <f t="shared" si="91"/>
        <v>0 г. 0 мес. 0 дн.</v>
      </c>
      <c r="V1843" s="12" t="str">
        <f t="shared" si="92"/>
        <v>0 г. 0 мес. 0 дн.</v>
      </c>
      <c r="W1843" s="22"/>
      <c r="X1843" s="72"/>
    </row>
    <row r="1844" spans="1:24" ht="35.1" customHeight="1" x14ac:dyDescent="0.25">
      <c r="A1844" s="12">
        <f t="shared" si="90"/>
        <v>1843</v>
      </c>
      <c r="B1844" s="12"/>
      <c r="C1844" s="20"/>
      <c r="D1844" s="18"/>
      <c r="H1844" s="12" t="str">
        <f t="shared" si="91"/>
        <v>0 г. 0 мес. 0 дн.</v>
      </c>
      <c r="V1844" s="12" t="str">
        <f t="shared" si="92"/>
        <v>0 г. 0 мес. 0 дн.</v>
      </c>
      <c r="W1844" s="22"/>
      <c r="X1844" s="72"/>
    </row>
    <row r="1845" spans="1:24" ht="35.1" customHeight="1" x14ac:dyDescent="0.25">
      <c r="A1845" s="12">
        <f t="shared" si="90"/>
        <v>1844</v>
      </c>
      <c r="B1845" s="12"/>
      <c r="C1845" s="20"/>
      <c r="D1845" s="18"/>
      <c r="H1845" s="12" t="str">
        <f t="shared" si="91"/>
        <v>0 г. 0 мес. 0 дн.</v>
      </c>
      <c r="V1845" s="12" t="str">
        <f t="shared" si="92"/>
        <v>0 г. 0 мес. 0 дн.</v>
      </c>
      <c r="W1845" s="22"/>
      <c r="X1845" s="72"/>
    </row>
    <row r="1846" spans="1:24" ht="35.1" customHeight="1" x14ac:dyDescent="0.25">
      <c r="A1846" s="12">
        <f t="shared" si="90"/>
        <v>1845</v>
      </c>
      <c r="B1846" s="12"/>
      <c r="C1846" s="20"/>
      <c r="D1846" s="18"/>
      <c r="H1846" s="12" t="str">
        <f t="shared" si="91"/>
        <v>0 г. 0 мес. 0 дн.</v>
      </c>
      <c r="V1846" s="12" t="str">
        <f t="shared" si="92"/>
        <v>0 г. 0 мес. 0 дн.</v>
      </c>
      <c r="W1846" s="22"/>
      <c r="X1846" s="72"/>
    </row>
    <row r="1847" spans="1:24" ht="35.1" customHeight="1" x14ac:dyDescent="0.25">
      <c r="A1847" s="12">
        <f t="shared" si="90"/>
        <v>1846</v>
      </c>
      <c r="B1847" s="12"/>
      <c r="C1847" s="20"/>
      <c r="D1847" s="18"/>
      <c r="H1847" s="12" t="str">
        <f t="shared" si="91"/>
        <v>0 г. 0 мес. 0 дн.</v>
      </c>
      <c r="V1847" s="12" t="str">
        <f t="shared" si="92"/>
        <v>0 г. 0 мес. 0 дн.</v>
      </c>
      <c r="W1847" s="22"/>
      <c r="X1847" s="72"/>
    </row>
    <row r="1848" spans="1:24" ht="35.1" customHeight="1" x14ac:dyDescent="0.25">
      <c r="A1848" s="12">
        <f t="shared" si="90"/>
        <v>1847</v>
      </c>
      <c r="B1848" s="12"/>
      <c r="C1848" s="20"/>
      <c r="D1848" s="18"/>
      <c r="H1848" s="12" t="str">
        <f t="shared" si="91"/>
        <v>0 г. 0 мес. 0 дн.</v>
      </c>
      <c r="V1848" s="12" t="str">
        <f t="shared" si="92"/>
        <v>0 г. 0 мес. 0 дн.</v>
      </c>
      <c r="W1848" s="22"/>
      <c r="X1848" s="72"/>
    </row>
    <row r="1849" spans="1:24" ht="35.1" customHeight="1" x14ac:dyDescent="0.25">
      <c r="A1849" s="12">
        <f t="shared" si="90"/>
        <v>1848</v>
      </c>
      <c r="B1849" s="12"/>
      <c r="C1849" s="20"/>
      <c r="D1849" s="18"/>
      <c r="H1849" s="12" t="str">
        <f t="shared" si="91"/>
        <v>0 г. 0 мес. 0 дн.</v>
      </c>
      <c r="V1849" s="12" t="str">
        <f t="shared" si="92"/>
        <v>0 г. 0 мес. 0 дн.</v>
      </c>
      <c r="W1849" s="22"/>
      <c r="X1849" s="72"/>
    </row>
    <row r="1850" spans="1:24" ht="35.1" customHeight="1" x14ac:dyDescent="0.25">
      <c r="A1850" s="12">
        <f t="shared" si="90"/>
        <v>1849</v>
      </c>
      <c r="B1850" s="12"/>
      <c r="C1850" s="20"/>
      <c r="D1850" s="18"/>
      <c r="H1850" s="12" t="str">
        <f t="shared" si="91"/>
        <v>0 г. 0 мес. 0 дн.</v>
      </c>
      <c r="V1850" s="12" t="str">
        <f t="shared" si="92"/>
        <v>0 г. 0 мес. 0 дн.</v>
      </c>
      <c r="W1850" s="22"/>
      <c r="X1850" s="72"/>
    </row>
    <row r="1851" spans="1:24" ht="35.1" customHeight="1" x14ac:dyDescent="0.25">
      <c r="A1851" s="12">
        <f t="shared" si="90"/>
        <v>1850</v>
      </c>
      <c r="B1851" s="12"/>
      <c r="C1851" s="20"/>
      <c r="D1851" s="18"/>
      <c r="H1851" s="12" t="str">
        <f t="shared" si="91"/>
        <v>0 г. 0 мес. 0 дн.</v>
      </c>
      <c r="V1851" s="12" t="str">
        <f t="shared" si="92"/>
        <v>0 г. 0 мес. 0 дн.</v>
      </c>
      <c r="W1851" s="22"/>
      <c r="X1851" s="72"/>
    </row>
    <row r="1852" spans="1:24" ht="35.1" customHeight="1" x14ac:dyDescent="0.25">
      <c r="A1852" s="12">
        <f t="shared" si="90"/>
        <v>1851</v>
      </c>
      <c r="B1852" s="12"/>
      <c r="C1852" s="20"/>
      <c r="D1852" s="18"/>
      <c r="H1852" s="12" t="str">
        <f t="shared" si="91"/>
        <v>0 г. 0 мес. 0 дн.</v>
      </c>
      <c r="V1852" s="12" t="str">
        <f t="shared" si="92"/>
        <v>0 г. 0 мес. 0 дн.</v>
      </c>
      <c r="W1852" s="22"/>
      <c r="X1852" s="72"/>
    </row>
    <row r="1853" spans="1:24" ht="35.1" customHeight="1" x14ac:dyDescent="0.25">
      <c r="A1853" s="12">
        <f t="shared" si="90"/>
        <v>1852</v>
      </c>
      <c r="B1853" s="12"/>
      <c r="C1853" s="20"/>
      <c r="D1853" s="18"/>
      <c r="H1853" s="12" t="str">
        <f t="shared" si="91"/>
        <v>0 г. 0 мес. 0 дн.</v>
      </c>
      <c r="V1853" s="12" t="str">
        <f t="shared" si="92"/>
        <v>0 г. 0 мес. 0 дн.</v>
      </c>
      <c r="W1853" s="22"/>
      <c r="X1853" s="72"/>
    </row>
    <row r="1854" spans="1:24" ht="35.1" customHeight="1" x14ac:dyDescent="0.25">
      <c r="A1854" s="12">
        <f t="shared" si="90"/>
        <v>1853</v>
      </c>
      <c r="B1854" s="12"/>
      <c r="C1854" s="20"/>
      <c r="D1854" s="18"/>
      <c r="H1854" s="12" t="str">
        <f t="shared" si="91"/>
        <v>0 г. 0 мес. 0 дн.</v>
      </c>
      <c r="V1854" s="12" t="str">
        <f t="shared" si="92"/>
        <v>0 г. 0 мес. 0 дн.</v>
      </c>
      <c r="W1854" s="22"/>
      <c r="X1854" s="72"/>
    </row>
    <row r="1855" spans="1:24" ht="35.1" customHeight="1" x14ac:dyDescent="0.25">
      <c r="A1855" s="12">
        <f t="shared" si="90"/>
        <v>1854</v>
      </c>
      <c r="B1855" s="12"/>
      <c r="C1855" s="20"/>
      <c r="D1855" s="18"/>
      <c r="H1855" s="12" t="str">
        <f t="shared" si="91"/>
        <v>0 г. 0 мес. 0 дн.</v>
      </c>
      <c r="V1855" s="12" t="str">
        <f t="shared" si="92"/>
        <v>0 г. 0 мес. 0 дн.</v>
      </c>
      <c r="W1855" s="22"/>
      <c r="X1855" s="72"/>
    </row>
    <row r="1856" spans="1:24" ht="35.1" customHeight="1" x14ac:dyDescent="0.25">
      <c r="A1856" s="12">
        <f t="shared" si="90"/>
        <v>1855</v>
      </c>
      <c r="B1856" s="12"/>
      <c r="C1856" s="20"/>
      <c r="D1856" s="18"/>
      <c r="H1856" s="12" t="str">
        <f t="shared" si="91"/>
        <v>0 г. 0 мес. 0 дн.</v>
      </c>
      <c r="V1856" s="12" t="str">
        <f t="shared" si="92"/>
        <v>0 г. 0 мес. 0 дн.</v>
      </c>
      <c r="W1856" s="22"/>
      <c r="X1856" s="72"/>
    </row>
    <row r="1857" spans="1:24" ht="35.1" customHeight="1" x14ac:dyDescent="0.25">
      <c r="A1857" s="12">
        <f t="shared" ref="A1857:A1920" si="93">ROW(A1856)</f>
        <v>1856</v>
      </c>
      <c r="B1857" s="12"/>
      <c r="C1857" s="20"/>
      <c r="D1857" s="18"/>
      <c r="H1857" s="12" t="str">
        <f t="shared" si="91"/>
        <v>0 г. 0 мес. 0 дн.</v>
      </c>
      <c r="V1857" s="12" t="str">
        <f t="shared" si="92"/>
        <v>0 г. 0 мес. 0 дн.</v>
      </c>
      <c r="W1857" s="22"/>
      <c r="X1857" s="72"/>
    </row>
    <row r="1858" spans="1:24" ht="35.1" customHeight="1" x14ac:dyDescent="0.25">
      <c r="A1858" s="12">
        <f t="shared" si="93"/>
        <v>1857</v>
      </c>
      <c r="B1858" s="12"/>
      <c r="C1858" s="20"/>
      <c r="D1858" s="18"/>
      <c r="H1858" s="12" t="str">
        <f t="shared" si="91"/>
        <v>0 г. 0 мес. 0 дн.</v>
      </c>
      <c r="V1858" s="12" t="str">
        <f t="shared" si="92"/>
        <v>0 г. 0 мес. 0 дн.</v>
      </c>
      <c r="W1858" s="22"/>
      <c r="X1858" s="72"/>
    </row>
    <row r="1859" spans="1:24" ht="35.1" customHeight="1" x14ac:dyDescent="0.25">
      <c r="A1859" s="12">
        <f t="shared" si="93"/>
        <v>1858</v>
      </c>
      <c r="B1859" s="12"/>
      <c r="C1859" s="20"/>
      <c r="D1859" s="18"/>
      <c r="H1859" s="12" t="str">
        <f t="shared" si="91"/>
        <v>0 г. 0 мес. 0 дн.</v>
      </c>
      <c r="V1859" s="12" t="str">
        <f t="shared" si="92"/>
        <v>0 г. 0 мес. 0 дн.</v>
      </c>
      <c r="W1859" s="22"/>
      <c r="X1859" s="72"/>
    </row>
    <row r="1860" spans="1:24" ht="35.1" customHeight="1" x14ac:dyDescent="0.25">
      <c r="A1860" s="12">
        <f t="shared" si="93"/>
        <v>1859</v>
      </c>
      <c r="B1860" s="12"/>
      <c r="C1860" s="20"/>
      <c r="D1860" s="18"/>
      <c r="H1860" s="12" t="str">
        <f t="shared" si="91"/>
        <v>0 г. 0 мес. 0 дн.</v>
      </c>
      <c r="V1860" s="12" t="str">
        <f t="shared" si="92"/>
        <v>0 г. 0 мес. 0 дн.</v>
      </c>
      <c r="W1860" s="22"/>
      <c r="X1860" s="72"/>
    </row>
    <row r="1861" spans="1:24" ht="35.1" customHeight="1" x14ac:dyDescent="0.25">
      <c r="A1861" s="12">
        <f t="shared" si="93"/>
        <v>1860</v>
      </c>
      <c r="B1861" s="12"/>
      <c r="C1861" s="20"/>
      <c r="D1861" s="18"/>
      <c r="H1861" s="12" t="str">
        <f t="shared" si="91"/>
        <v>0 г. 0 мес. 0 дн.</v>
      </c>
      <c r="V1861" s="12" t="str">
        <f t="shared" si="92"/>
        <v>0 г. 0 мес. 0 дн.</v>
      </c>
      <c r="W1861" s="22"/>
      <c r="X1861" s="72"/>
    </row>
    <row r="1862" spans="1:24" ht="35.1" customHeight="1" x14ac:dyDescent="0.25">
      <c r="A1862" s="12">
        <f t="shared" si="93"/>
        <v>1861</v>
      </c>
      <c r="B1862" s="12"/>
      <c r="C1862" s="20"/>
      <c r="D1862" s="18"/>
      <c r="H1862" s="12" t="str">
        <f t="shared" ref="H1862:H1925" si="94">DATEDIF(G1862,D1862,"y") &amp; " г. " &amp; DATEDIF(G1862,D1862,"ym") &amp; " мес. " &amp; DATEDIF(G1862,D1862,"md") &amp; " дн."</f>
        <v>0 г. 0 мес. 0 дн.</v>
      </c>
      <c r="V1862" s="12" t="str">
        <f t="shared" si="92"/>
        <v>0 г. 0 мес. 0 дн.</v>
      </c>
      <c r="W1862" s="22"/>
      <c r="X1862" s="72"/>
    </row>
    <row r="1863" spans="1:24" ht="35.1" customHeight="1" x14ac:dyDescent="0.25">
      <c r="A1863" s="12">
        <f t="shared" si="93"/>
        <v>1862</v>
      </c>
      <c r="B1863" s="12"/>
      <c r="C1863" s="20"/>
      <c r="D1863" s="18"/>
      <c r="H1863" s="12" t="str">
        <f t="shared" si="94"/>
        <v>0 г. 0 мес. 0 дн.</v>
      </c>
      <c r="V1863" s="12" t="str">
        <f t="shared" si="92"/>
        <v>0 г. 0 мес. 0 дн.</v>
      </c>
      <c r="W1863" s="22"/>
      <c r="X1863" s="72"/>
    </row>
    <row r="1864" spans="1:24" ht="35.1" customHeight="1" x14ac:dyDescent="0.25">
      <c r="A1864" s="12">
        <f t="shared" si="93"/>
        <v>1863</v>
      </c>
      <c r="B1864" s="12"/>
      <c r="C1864" s="20"/>
      <c r="D1864" s="18"/>
      <c r="H1864" s="12" t="str">
        <f t="shared" si="94"/>
        <v>0 г. 0 мес. 0 дн.</v>
      </c>
      <c r="V1864" s="12" t="str">
        <f t="shared" si="92"/>
        <v>0 г. 0 мес. 0 дн.</v>
      </c>
      <c r="W1864" s="22"/>
      <c r="X1864" s="72"/>
    </row>
    <row r="1865" spans="1:24" ht="35.1" customHeight="1" x14ac:dyDescent="0.25">
      <c r="A1865" s="12">
        <f t="shared" si="93"/>
        <v>1864</v>
      </c>
      <c r="B1865" s="12"/>
      <c r="C1865" s="20"/>
      <c r="D1865" s="18"/>
      <c r="H1865" s="12" t="str">
        <f t="shared" si="94"/>
        <v>0 г. 0 мес. 0 дн.</v>
      </c>
      <c r="V1865" s="12" t="str">
        <f t="shared" si="92"/>
        <v>0 г. 0 мес. 0 дн.</v>
      </c>
      <c r="W1865" s="22"/>
      <c r="X1865" s="72"/>
    </row>
    <row r="1866" spans="1:24" ht="35.1" customHeight="1" x14ac:dyDescent="0.25">
      <c r="A1866" s="12">
        <f t="shared" si="93"/>
        <v>1865</v>
      </c>
      <c r="B1866" s="12"/>
      <c r="C1866" s="20"/>
      <c r="D1866" s="18"/>
      <c r="H1866" s="12" t="str">
        <f t="shared" si="94"/>
        <v>0 г. 0 мес. 0 дн.</v>
      </c>
      <c r="V1866" s="12" t="str">
        <f t="shared" si="92"/>
        <v>0 г. 0 мес. 0 дн.</v>
      </c>
      <c r="W1866" s="22"/>
      <c r="X1866" s="72"/>
    </row>
    <row r="1867" spans="1:24" ht="35.1" customHeight="1" x14ac:dyDescent="0.25">
      <c r="A1867" s="12">
        <f t="shared" si="93"/>
        <v>1866</v>
      </c>
      <c r="B1867" s="12"/>
      <c r="C1867" s="20"/>
      <c r="D1867" s="18"/>
      <c r="H1867" s="12" t="str">
        <f t="shared" si="94"/>
        <v>0 г. 0 мес. 0 дн.</v>
      </c>
      <c r="V1867" s="12" t="str">
        <f t="shared" si="92"/>
        <v>0 г. 0 мес. 0 дн.</v>
      </c>
      <c r="W1867" s="22"/>
      <c r="X1867" s="72"/>
    </row>
    <row r="1868" spans="1:24" ht="35.1" customHeight="1" x14ac:dyDescent="0.25">
      <c r="A1868" s="12">
        <f t="shared" si="93"/>
        <v>1867</v>
      </c>
      <c r="B1868" s="12"/>
      <c r="C1868" s="20"/>
      <c r="D1868" s="18"/>
      <c r="H1868" s="12" t="str">
        <f t="shared" si="94"/>
        <v>0 г. 0 мес. 0 дн.</v>
      </c>
      <c r="V1868" s="12" t="str">
        <f t="shared" si="92"/>
        <v>0 г. 0 мес. 0 дн.</v>
      </c>
      <c r="W1868" s="22"/>
      <c r="X1868" s="72"/>
    </row>
    <row r="1869" spans="1:24" ht="35.1" customHeight="1" x14ac:dyDescent="0.25">
      <c r="A1869" s="12">
        <f t="shared" si="93"/>
        <v>1868</v>
      </c>
      <c r="B1869" s="12"/>
      <c r="C1869" s="20"/>
      <c r="D1869" s="18"/>
      <c r="H1869" s="12" t="str">
        <f t="shared" si="94"/>
        <v>0 г. 0 мес. 0 дн.</v>
      </c>
      <c r="V1869" s="12" t="str">
        <f t="shared" si="92"/>
        <v>0 г. 0 мес. 0 дн.</v>
      </c>
      <c r="W1869" s="22"/>
      <c r="X1869" s="72"/>
    </row>
    <row r="1870" spans="1:24" ht="35.1" customHeight="1" x14ac:dyDescent="0.25">
      <c r="A1870" s="12">
        <f t="shared" si="93"/>
        <v>1869</v>
      </c>
      <c r="B1870" s="12"/>
      <c r="C1870" s="20"/>
      <c r="D1870" s="18"/>
      <c r="H1870" s="12" t="str">
        <f t="shared" si="94"/>
        <v>0 г. 0 мес. 0 дн.</v>
      </c>
      <c r="V1870" s="12" t="str">
        <f t="shared" si="92"/>
        <v>0 г. 0 мес. 0 дн.</v>
      </c>
      <c r="W1870" s="22"/>
      <c r="X1870" s="72"/>
    </row>
    <row r="1871" spans="1:24" ht="35.1" customHeight="1" x14ac:dyDescent="0.25">
      <c r="A1871" s="12">
        <f t="shared" si="93"/>
        <v>1870</v>
      </c>
      <c r="B1871" s="12"/>
      <c r="C1871" s="20"/>
      <c r="D1871" s="18"/>
      <c r="H1871" s="12" t="str">
        <f t="shared" si="94"/>
        <v>0 г. 0 мес. 0 дн.</v>
      </c>
      <c r="V1871" s="12" t="str">
        <f t="shared" si="92"/>
        <v>0 г. 0 мес. 0 дн.</v>
      </c>
      <c r="W1871" s="22"/>
      <c r="X1871" s="72"/>
    </row>
    <row r="1872" spans="1:24" ht="35.1" customHeight="1" x14ac:dyDescent="0.25">
      <c r="A1872" s="12">
        <f t="shared" si="93"/>
        <v>1871</v>
      </c>
      <c r="B1872" s="12"/>
      <c r="C1872" s="20"/>
      <c r="D1872" s="18"/>
      <c r="H1872" s="12" t="str">
        <f t="shared" si="94"/>
        <v>0 г. 0 мес. 0 дн.</v>
      </c>
      <c r="V1872" s="12" t="str">
        <f t="shared" si="92"/>
        <v>0 г. 0 мес. 0 дн.</v>
      </c>
      <c r="W1872" s="22"/>
      <c r="X1872" s="72"/>
    </row>
    <row r="1873" spans="1:24" ht="35.1" customHeight="1" x14ac:dyDescent="0.25">
      <c r="A1873" s="12">
        <f t="shared" si="93"/>
        <v>1872</v>
      </c>
      <c r="B1873" s="12"/>
      <c r="C1873" s="20"/>
      <c r="D1873" s="18"/>
      <c r="H1873" s="12" t="str">
        <f t="shared" si="94"/>
        <v>0 г. 0 мес. 0 дн.</v>
      </c>
      <c r="V1873" s="12" t="str">
        <f t="shared" si="92"/>
        <v>0 г. 0 мес. 0 дн.</v>
      </c>
      <c r="W1873" s="22"/>
      <c r="X1873" s="72"/>
    </row>
    <row r="1874" spans="1:24" ht="35.1" customHeight="1" x14ac:dyDescent="0.25">
      <c r="A1874" s="12">
        <f t="shared" si="93"/>
        <v>1873</v>
      </c>
      <c r="B1874" s="12"/>
      <c r="C1874" s="20"/>
      <c r="D1874" s="18"/>
      <c r="H1874" s="12" t="str">
        <f t="shared" si="94"/>
        <v>0 г. 0 мес. 0 дн.</v>
      </c>
      <c r="V1874" s="12" t="str">
        <f t="shared" si="92"/>
        <v>0 г. 0 мес. 0 дн.</v>
      </c>
      <c r="W1874" s="22"/>
      <c r="X1874" s="72"/>
    </row>
    <row r="1875" spans="1:24" ht="35.1" customHeight="1" x14ac:dyDescent="0.25">
      <c r="A1875" s="12">
        <f t="shared" si="93"/>
        <v>1874</v>
      </c>
      <c r="B1875" s="12"/>
      <c r="C1875" s="20"/>
      <c r="D1875" s="18"/>
      <c r="H1875" s="12" t="str">
        <f t="shared" si="94"/>
        <v>0 г. 0 мес. 0 дн.</v>
      </c>
      <c r="V1875" s="12" t="str">
        <f t="shared" si="92"/>
        <v>0 г. 0 мес. 0 дн.</v>
      </c>
      <c r="W1875" s="22"/>
      <c r="X1875" s="72"/>
    </row>
    <row r="1876" spans="1:24" ht="35.1" customHeight="1" x14ac:dyDescent="0.25">
      <c r="A1876" s="12">
        <f t="shared" si="93"/>
        <v>1875</v>
      </c>
      <c r="B1876" s="12"/>
      <c r="C1876" s="20"/>
      <c r="D1876" s="18"/>
      <c r="H1876" s="12" t="str">
        <f t="shared" si="94"/>
        <v>0 г. 0 мес. 0 дн.</v>
      </c>
      <c r="V1876" s="12" t="str">
        <f t="shared" si="92"/>
        <v>0 г. 0 мес. 0 дн.</v>
      </c>
      <c r="W1876" s="22"/>
      <c r="X1876" s="72"/>
    </row>
    <row r="1877" spans="1:24" ht="35.1" customHeight="1" x14ac:dyDescent="0.25">
      <c r="A1877" s="12">
        <f t="shared" si="93"/>
        <v>1876</v>
      </c>
      <c r="B1877" s="12"/>
      <c r="C1877" s="20"/>
      <c r="D1877" s="18"/>
      <c r="H1877" s="12" t="str">
        <f t="shared" si="94"/>
        <v>0 г. 0 мес. 0 дн.</v>
      </c>
      <c r="V1877" s="12" t="str">
        <f t="shared" si="92"/>
        <v>0 г. 0 мес. 0 дн.</v>
      </c>
      <c r="W1877" s="22"/>
      <c r="X1877" s="72"/>
    </row>
    <row r="1878" spans="1:24" ht="35.1" customHeight="1" x14ac:dyDescent="0.25">
      <c r="A1878" s="12">
        <f t="shared" si="93"/>
        <v>1877</v>
      </c>
      <c r="B1878" s="12"/>
      <c r="C1878" s="20"/>
      <c r="D1878" s="18"/>
      <c r="H1878" s="12" t="str">
        <f t="shared" si="94"/>
        <v>0 г. 0 мес. 0 дн.</v>
      </c>
      <c r="V1878" s="12" t="str">
        <f t="shared" si="92"/>
        <v>0 г. 0 мес. 0 дн.</v>
      </c>
      <c r="W1878" s="22"/>
      <c r="X1878" s="72"/>
    </row>
    <row r="1879" spans="1:24" ht="35.1" customHeight="1" x14ac:dyDescent="0.25">
      <c r="A1879" s="12">
        <f t="shared" si="93"/>
        <v>1878</v>
      </c>
      <c r="B1879" s="12"/>
      <c r="C1879" s="20"/>
      <c r="D1879" s="18"/>
      <c r="H1879" s="12" t="str">
        <f t="shared" si="94"/>
        <v>0 г. 0 мес. 0 дн.</v>
      </c>
      <c r="V1879" s="12" t="str">
        <f t="shared" si="92"/>
        <v>0 г. 0 мес. 0 дн.</v>
      </c>
      <c r="W1879" s="22"/>
      <c r="X1879" s="72"/>
    </row>
    <row r="1880" spans="1:24" ht="35.1" customHeight="1" x14ac:dyDescent="0.25">
      <c r="A1880" s="12">
        <f t="shared" si="93"/>
        <v>1879</v>
      </c>
      <c r="B1880" s="12"/>
      <c r="C1880" s="20"/>
      <c r="D1880" s="18"/>
      <c r="H1880" s="12" t="str">
        <f t="shared" si="94"/>
        <v>0 г. 0 мес. 0 дн.</v>
      </c>
      <c r="V1880" s="12" t="str">
        <f t="shared" ref="V1880:V1943" si="95">DATEDIF(D1880,T1880,"y") &amp; " г. " &amp; DATEDIF(D1880,T1880,"ym") &amp; " мес. " &amp; DATEDIF(D1880,T1880,"md") &amp; " дн."</f>
        <v>0 г. 0 мес. 0 дн.</v>
      </c>
      <c r="W1880" s="22"/>
      <c r="X1880" s="72"/>
    </row>
    <row r="1881" spans="1:24" ht="35.1" customHeight="1" x14ac:dyDescent="0.25">
      <c r="A1881" s="12">
        <f t="shared" si="93"/>
        <v>1880</v>
      </c>
      <c r="B1881" s="12"/>
      <c r="C1881" s="20"/>
      <c r="D1881" s="18"/>
      <c r="H1881" s="12" t="str">
        <f t="shared" si="94"/>
        <v>0 г. 0 мес. 0 дн.</v>
      </c>
      <c r="V1881" s="12" t="str">
        <f t="shared" si="95"/>
        <v>0 г. 0 мес. 0 дн.</v>
      </c>
      <c r="W1881" s="22"/>
      <c r="X1881" s="72"/>
    </row>
    <row r="1882" spans="1:24" ht="35.1" customHeight="1" x14ac:dyDescent="0.25">
      <c r="A1882" s="12">
        <f t="shared" si="93"/>
        <v>1881</v>
      </c>
      <c r="B1882" s="12"/>
      <c r="C1882" s="20"/>
      <c r="D1882" s="18"/>
      <c r="H1882" s="12" t="str">
        <f t="shared" si="94"/>
        <v>0 г. 0 мес. 0 дн.</v>
      </c>
      <c r="V1882" s="12" t="str">
        <f t="shared" si="95"/>
        <v>0 г. 0 мес. 0 дн.</v>
      </c>
      <c r="W1882" s="22"/>
      <c r="X1882" s="72"/>
    </row>
    <row r="1883" spans="1:24" ht="35.1" customHeight="1" x14ac:dyDescent="0.25">
      <c r="A1883" s="12">
        <f t="shared" si="93"/>
        <v>1882</v>
      </c>
      <c r="B1883" s="12"/>
      <c r="C1883" s="20"/>
      <c r="D1883" s="18"/>
      <c r="H1883" s="12" t="str">
        <f t="shared" si="94"/>
        <v>0 г. 0 мес. 0 дн.</v>
      </c>
      <c r="V1883" s="12" t="str">
        <f t="shared" si="95"/>
        <v>0 г. 0 мес. 0 дн.</v>
      </c>
      <c r="W1883" s="22"/>
      <c r="X1883" s="72"/>
    </row>
    <row r="1884" spans="1:24" ht="35.1" customHeight="1" x14ac:dyDescent="0.25">
      <c r="A1884" s="12">
        <f t="shared" si="93"/>
        <v>1883</v>
      </c>
      <c r="B1884" s="12"/>
      <c r="C1884" s="20"/>
      <c r="D1884" s="18"/>
      <c r="H1884" s="12" t="str">
        <f t="shared" si="94"/>
        <v>0 г. 0 мес. 0 дн.</v>
      </c>
      <c r="V1884" s="12" t="str">
        <f t="shared" si="95"/>
        <v>0 г. 0 мес. 0 дн.</v>
      </c>
      <c r="W1884" s="22"/>
      <c r="X1884" s="72"/>
    </row>
    <row r="1885" spans="1:24" ht="35.1" customHeight="1" x14ac:dyDescent="0.25">
      <c r="A1885" s="12">
        <f t="shared" si="93"/>
        <v>1884</v>
      </c>
      <c r="B1885" s="12"/>
      <c r="C1885" s="20"/>
      <c r="D1885" s="18"/>
      <c r="H1885" s="12" t="str">
        <f t="shared" si="94"/>
        <v>0 г. 0 мес. 0 дн.</v>
      </c>
      <c r="V1885" s="12" t="str">
        <f t="shared" si="95"/>
        <v>0 г. 0 мес. 0 дн.</v>
      </c>
      <c r="W1885" s="22"/>
      <c r="X1885" s="72"/>
    </row>
    <row r="1886" spans="1:24" ht="35.1" customHeight="1" x14ac:dyDescent="0.25">
      <c r="A1886" s="12">
        <f t="shared" si="93"/>
        <v>1885</v>
      </c>
      <c r="B1886" s="12"/>
      <c r="C1886" s="20"/>
      <c r="D1886" s="18"/>
      <c r="H1886" s="12" t="str">
        <f t="shared" si="94"/>
        <v>0 г. 0 мес. 0 дн.</v>
      </c>
      <c r="V1886" s="12" t="str">
        <f t="shared" si="95"/>
        <v>0 г. 0 мес. 0 дн.</v>
      </c>
      <c r="W1886" s="22"/>
      <c r="X1886" s="72"/>
    </row>
    <row r="1887" spans="1:24" ht="35.1" customHeight="1" x14ac:dyDescent="0.25">
      <c r="A1887" s="12">
        <f t="shared" si="93"/>
        <v>1886</v>
      </c>
      <c r="B1887" s="12"/>
      <c r="C1887" s="20"/>
      <c r="D1887" s="18"/>
      <c r="H1887" s="12" t="str">
        <f t="shared" si="94"/>
        <v>0 г. 0 мес. 0 дн.</v>
      </c>
      <c r="V1887" s="12" t="str">
        <f t="shared" si="95"/>
        <v>0 г. 0 мес. 0 дн.</v>
      </c>
      <c r="W1887" s="22"/>
      <c r="X1887" s="72"/>
    </row>
    <row r="1888" spans="1:24" ht="35.1" customHeight="1" x14ac:dyDescent="0.25">
      <c r="A1888" s="12">
        <f t="shared" si="93"/>
        <v>1887</v>
      </c>
      <c r="B1888" s="12"/>
      <c r="C1888" s="20"/>
      <c r="D1888" s="18"/>
      <c r="H1888" s="12" t="str">
        <f t="shared" si="94"/>
        <v>0 г. 0 мес. 0 дн.</v>
      </c>
      <c r="V1888" s="12" t="str">
        <f t="shared" si="95"/>
        <v>0 г. 0 мес. 0 дн.</v>
      </c>
      <c r="W1888" s="22"/>
      <c r="X1888" s="72"/>
    </row>
    <row r="1889" spans="1:24" ht="35.1" customHeight="1" x14ac:dyDescent="0.25">
      <c r="A1889" s="12">
        <f t="shared" si="93"/>
        <v>1888</v>
      </c>
      <c r="B1889" s="12"/>
      <c r="C1889" s="20"/>
      <c r="D1889" s="18"/>
      <c r="H1889" s="12" t="str">
        <f t="shared" si="94"/>
        <v>0 г. 0 мес. 0 дн.</v>
      </c>
      <c r="V1889" s="12" t="str">
        <f t="shared" si="95"/>
        <v>0 г. 0 мес. 0 дн.</v>
      </c>
      <c r="W1889" s="22"/>
      <c r="X1889" s="72"/>
    </row>
    <row r="1890" spans="1:24" ht="35.1" customHeight="1" x14ac:dyDescent="0.25">
      <c r="A1890" s="12">
        <f t="shared" si="93"/>
        <v>1889</v>
      </c>
      <c r="B1890" s="12"/>
      <c r="C1890" s="20"/>
      <c r="D1890" s="18"/>
      <c r="H1890" s="12" t="str">
        <f t="shared" si="94"/>
        <v>0 г. 0 мес. 0 дн.</v>
      </c>
      <c r="V1890" s="12" t="str">
        <f t="shared" si="95"/>
        <v>0 г. 0 мес. 0 дн.</v>
      </c>
      <c r="W1890" s="22"/>
      <c r="X1890" s="72"/>
    </row>
    <row r="1891" spans="1:24" ht="35.1" customHeight="1" x14ac:dyDescent="0.25">
      <c r="A1891" s="12">
        <f t="shared" si="93"/>
        <v>1890</v>
      </c>
      <c r="B1891" s="12"/>
      <c r="C1891" s="20"/>
      <c r="D1891" s="18"/>
      <c r="H1891" s="12" t="str">
        <f t="shared" si="94"/>
        <v>0 г. 0 мес. 0 дн.</v>
      </c>
      <c r="V1891" s="12" t="str">
        <f t="shared" si="95"/>
        <v>0 г. 0 мес. 0 дн.</v>
      </c>
      <c r="W1891" s="22"/>
      <c r="X1891" s="72"/>
    </row>
    <row r="1892" spans="1:24" ht="35.1" customHeight="1" x14ac:dyDescent="0.25">
      <c r="A1892" s="12">
        <f t="shared" si="93"/>
        <v>1891</v>
      </c>
      <c r="B1892" s="12"/>
      <c r="C1892" s="20"/>
      <c r="D1892" s="18"/>
      <c r="H1892" s="12" t="str">
        <f t="shared" si="94"/>
        <v>0 г. 0 мес. 0 дн.</v>
      </c>
      <c r="V1892" s="12" t="str">
        <f t="shared" si="95"/>
        <v>0 г. 0 мес. 0 дн.</v>
      </c>
      <c r="W1892" s="22"/>
      <c r="X1892" s="72"/>
    </row>
    <row r="1893" spans="1:24" ht="35.1" customHeight="1" x14ac:dyDescent="0.25">
      <c r="A1893" s="12">
        <f t="shared" si="93"/>
        <v>1892</v>
      </c>
      <c r="B1893" s="12"/>
      <c r="C1893" s="20"/>
      <c r="D1893" s="18"/>
      <c r="H1893" s="12" t="str">
        <f t="shared" si="94"/>
        <v>0 г. 0 мес. 0 дн.</v>
      </c>
      <c r="V1893" s="12" t="str">
        <f t="shared" si="95"/>
        <v>0 г. 0 мес. 0 дн.</v>
      </c>
      <c r="W1893" s="22"/>
      <c r="X1893" s="72"/>
    </row>
    <row r="1894" spans="1:24" ht="35.1" customHeight="1" x14ac:dyDescent="0.25">
      <c r="A1894" s="12">
        <f t="shared" si="93"/>
        <v>1893</v>
      </c>
      <c r="B1894" s="12"/>
      <c r="C1894" s="20"/>
      <c r="D1894" s="18"/>
      <c r="H1894" s="12" t="str">
        <f t="shared" si="94"/>
        <v>0 г. 0 мес. 0 дн.</v>
      </c>
      <c r="V1894" s="12" t="str">
        <f t="shared" si="95"/>
        <v>0 г. 0 мес. 0 дн.</v>
      </c>
      <c r="W1894" s="22"/>
      <c r="X1894" s="72"/>
    </row>
    <row r="1895" spans="1:24" ht="35.1" customHeight="1" x14ac:dyDescent="0.25">
      <c r="A1895" s="12">
        <f t="shared" si="93"/>
        <v>1894</v>
      </c>
      <c r="B1895" s="12"/>
      <c r="C1895" s="20"/>
      <c r="D1895" s="18"/>
      <c r="H1895" s="12" t="str">
        <f t="shared" si="94"/>
        <v>0 г. 0 мес. 0 дн.</v>
      </c>
      <c r="V1895" s="12" t="str">
        <f t="shared" si="95"/>
        <v>0 г. 0 мес. 0 дн.</v>
      </c>
      <c r="W1895" s="22"/>
      <c r="X1895" s="72"/>
    </row>
    <row r="1896" spans="1:24" ht="35.1" customHeight="1" x14ac:dyDescent="0.25">
      <c r="A1896" s="12">
        <f t="shared" si="93"/>
        <v>1895</v>
      </c>
      <c r="B1896" s="12"/>
      <c r="C1896" s="20"/>
      <c r="D1896" s="18"/>
      <c r="H1896" s="12" t="str">
        <f t="shared" si="94"/>
        <v>0 г. 0 мес. 0 дн.</v>
      </c>
      <c r="V1896" s="12" t="str">
        <f t="shared" si="95"/>
        <v>0 г. 0 мес. 0 дн.</v>
      </c>
      <c r="W1896" s="22"/>
      <c r="X1896" s="72"/>
    </row>
    <row r="1897" spans="1:24" ht="35.1" customHeight="1" x14ac:dyDescent="0.25">
      <c r="A1897" s="12">
        <f t="shared" si="93"/>
        <v>1896</v>
      </c>
      <c r="B1897" s="12"/>
      <c r="C1897" s="20"/>
      <c r="D1897" s="18"/>
      <c r="H1897" s="12" t="str">
        <f t="shared" si="94"/>
        <v>0 г. 0 мес. 0 дн.</v>
      </c>
      <c r="V1897" s="12" t="str">
        <f t="shared" si="95"/>
        <v>0 г. 0 мес. 0 дн.</v>
      </c>
      <c r="W1897" s="22"/>
      <c r="X1897" s="72"/>
    </row>
    <row r="1898" spans="1:24" ht="35.1" customHeight="1" x14ac:dyDescent="0.25">
      <c r="A1898" s="12">
        <f t="shared" si="93"/>
        <v>1897</v>
      </c>
      <c r="B1898" s="12"/>
      <c r="C1898" s="20"/>
      <c r="D1898" s="18"/>
      <c r="H1898" s="12" t="str">
        <f t="shared" si="94"/>
        <v>0 г. 0 мес. 0 дн.</v>
      </c>
      <c r="V1898" s="12" t="str">
        <f t="shared" si="95"/>
        <v>0 г. 0 мес. 0 дн.</v>
      </c>
      <c r="W1898" s="22"/>
      <c r="X1898" s="72"/>
    </row>
    <row r="1899" spans="1:24" ht="35.1" customHeight="1" x14ac:dyDescent="0.25">
      <c r="A1899" s="12">
        <f t="shared" si="93"/>
        <v>1898</v>
      </c>
      <c r="B1899" s="12"/>
      <c r="C1899" s="20"/>
      <c r="D1899" s="18"/>
      <c r="H1899" s="12" t="str">
        <f t="shared" si="94"/>
        <v>0 г. 0 мес. 0 дн.</v>
      </c>
      <c r="V1899" s="12" t="str">
        <f t="shared" si="95"/>
        <v>0 г. 0 мес. 0 дн.</v>
      </c>
      <c r="W1899" s="22"/>
      <c r="X1899" s="72"/>
    </row>
    <row r="1900" spans="1:24" ht="35.1" customHeight="1" x14ac:dyDescent="0.25">
      <c r="A1900" s="12">
        <f t="shared" si="93"/>
        <v>1899</v>
      </c>
      <c r="B1900" s="12"/>
      <c r="C1900" s="20"/>
      <c r="D1900" s="18"/>
      <c r="H1900" s="12" t="str">
        <f t="shared" si="94"/>
        <v>0 г. 0 мес. 0 дн.</v>
      </c>
      <c r="V1900" s="12" t="str">
        <f t="shared" si="95"/>
        <v>0 г. 0 мес. 0 дн.</v>
      </c>
      <c r="W1900" s="22"/>
      <c r="X1900" s="72"/>
    </row>
    <row r="1901" spans="1:24" ht="35.1" customHeight="1" x14ac:dyDescent="0.25">
      <c r="A1901" s="12">
        <f t="shared" si="93"/>
        <v>1900</v>
      </c>
      <c r="B1901" s="12"/>
      <c r="C1901" s="20"/>
      <c r="D1901" s="18"/>
      <c r="H1901" s="12" t="str">
        <f t="shared" si="94"/>
        <v>0 г. 0 мес. 0 дн.</v>
      </c>
      <c r="V1901" s="12" t="str">
        <f t="shared" si="95"/>
        <v>0 г. 0 мес. 0 дн.</v>
      </c>
      <c r="W1901" s="22"/>
      <c r="X1901" s="72"/>
    </row>
    <row r="1902" spans="1:24" ht="35.1" customHeight="1" x14ac:dyDescent="0.25">
      <c r="A1902" s="12">
        <f t="shared" si="93"/>
        <v>1901</v>
      </c>
      <c r="B1902" s="12"/>
      <c r="C1902" s="20"/>
      <c r="D1902" s="18"/>
      <c r="H1902" s="12" t="str">
        <f t="shared" si="94"/>
        <v>0 г. 0 мес. 0 дн.</v>
      </c>
      <c r="V1902" s="12" t="str">
        <f t="shared" si="95"/>
        <v>0 г. 0 мес. 0 дн.</v>
      </c>
      <c r="W1902" s="22"/>
      <c r="X1902" s="72"/>
    </row>
    <row r="1903" spans="1:24" ht="35.1" customHeight="1" x14ac:dyDescent="0.25">
      <c r="A1903" s="12">
        <f t="shared" si="93"/>
        <v>1902</v>
      </c>
      <c r="B1903" s="12"/>
      <c r="C1903" s="20"/>
      <c r="D1903" s="18"/>
      <c r="H1903" s="12" t="str">
        <f t="shared" si="94"/>
        <v>0 г. 0 мес. 0 дн.</v>
      </c>
      <c r="V1903" s="12" t="str">
        <f t="shared" si="95"/>
        <v>0 г. 0 мес. 0 дн.</v>
      </c>
      <c r="W1903" s="22"/>
      <c r="X1903" s="72"/>
    </row>
    <row r="1904" spans="1:24" ht="35.1" customHeight="1" x14ac:dyDescent="0.25">
      <c r="A1904" s="12">
        <f t="shared" si="93"/>
        <v>1903</v>
      </c>
      <c r="B1904" s="12"/>
      <c r="C1904" s="20"/>
      <c r="D1904" s="18"/>
      <c r="H1904" s="12" t="str">
        <f t="shared" si="94"/>
        <v>0 г. 0 мес. 0 дн.</v>
      </c>
      <c r="V1904" s="12" t="str">
        <f t="shared" si="95"/>
        <v>0 г. 0 мес. 0 дн.</v>
      </c>
      <c r="W1904" s="22"/>
      <c r="X1904" s="72"/>
    </row>
    <row r="1905" spans="1:24" ht="35.1" customHeight="1" x14ac:dyDescent="0.25">
      <c r="A1905" s="12">
        <f t="shared" si="93"/>
        <v>1904</v>
      </c>
      <c r="B1905" s="12"/>
      <c r="C1905" s="20"/>
      <c r="D1905" s="18"/>
      <c r="H1905" s="12" t="str">
        <f t="shared" si="94"/>
        <v>0 г. 0 мес. 0 дн.</v>
      </c>
      <c r="V1905" s="12" t="str">
        <f t="shared" si="95"/>
        <v>0 г. 0 мес. 0 дн.</v>
      </c>
      <c r="W1905" s="22"/>
      <c r="X1905" s="72"/>
    </row>
    <row r="1906" spans="1:24" ht="35.1" customHeight="1" x14ac:dyDescent="0.25">
      <c r="A1906" s="12">
        <f t="shared" si="93"/>
        <v>1905</v>
      </c>
      <c r="B1906" s="12"/>
      <c r="C1906" s="20"/>
      <c r="D1906" s="18"/>
      <c r="H1906" s="12" t="str">
        <f t="shared" si="94"/>
        <v>0 г. 0 мес. 0 дн.</v>
      </c>
      <c r="V1906" s="12" t="str">
        <f t="shared" si="95"/>
        <v>0 г. 0 мес. 0 дн.</v>
      </c>
      <c r="W1906" s="22"/>
      <c r="X1906" s="72"/>
    </row>
    <row r="1907" spans="1:24" ht="35.1" customHeight="1" x14ac:dyDescent="0.25">
      <c r="A1907" s="12">
        <f t="shared" si="93"/>
        <v>1906</v>
      </c>
      <c r="B1907" s="12"/>
      <c r="C1907" s="20"/>
      <c r="D1907" s="18"/>
      <c r="H1907" s="12" t="str">
        <f t="shared" si="94"/>
        <v>0 г. 0 мес. 0 дн.</v>
      </c>
      <c r="V1907" s="12" t="str">
        <f t="shared" si="95"/>
        <v>0 г. 0 мес. 0 дн.</v>
      </c>
      <c r="W1907" s="22"/>
      <c r="X1907" s="72"/>
    </row>
    <row r="1908" spans="1:24" ht="35.1" customHeight="1" x14ac:dyDescent="0.25">
      <c r="A1908" s="12">
        <f t="shared" si="93"/>
        <v>1907</v>
      </c>
      <c r="B1908" s="12"/>
      <c r="C1908" s="20"/>
      <c r="D1908" s="18"/>
      <c r="H1908" s="12" t="str">
        <f t="shared" si="94"/>
        <v>0 г. 0 мес. 0 дн.</v>
      </c>
      <c r="V1908" s="12" t="str">
        <f t="shared" si="95"/>
        <v>0 г. 0 мес. 0 дн.</v>
      </c>
      <c r="W1908" s="22"/>
      <c r="X1908" s="72"/>
    </row>
    <row r="1909" spans="1:24" ht="35.1" customHeight="1" x14ac:dyDescent="0.25">
      <c r="A1909" s="12">
        <f t="shared" si="93"/>
        <v>1908</v>
      </c>
      <c r="B1909" s="12"/>
      <c r="C1909" s="20"/>
      <c r="D1909" s="18"/>
      <c r="H1909" s="12" t="str">
        <f t="shared" si="94"/>
        <v>0 г. 0 мес. 0 дн.</v>
      </c>
      <c r="V1909" s="12" t="str">
        <f t="shared" si="95"/>
        <v>0 г. 0 мес. 0 дн.</v>
      </c>
      <c r="W1909" s="22"/>
      <c r="X1909" s="72"/>
    </row>
    <row r="1910" spans="1:24" ht="35.1" customHeight="1" x14ac:dyDescent="0.25">
      <c r="A1910" s="12">
        <f t="shared" si="93"/>
        <v>1909</v>
      </c>
      <c r="B1910" s="12"/>
      <c r="C1910" s="20"/>
      <c r="D1910" s="18"/>
      <c r="H1910" s="12" t="str">
        <f t="shared" si="94"/>
        <v>0 г. 0 мес. 0 дн.</v>
      </c>
      <c r="V1910" s="12" t="str">
        <f t="shared" si="95"/>
        <v>0 г. 0 мес. 0 дн.</v>
      </c>
      <c r="W1910" s="22"/>
      <c r="X1910" s="72"/>
    </row>
    <row r="1911" spans="1:24" ht="35.1" customHeight="1" x14ac:dyDescent="0.25">
      <c r="A1911" s="12">
        <f t="shared" si="93"/>
        <v>1910</v>
      </c>
      <c r="B1911" s="12"/>
      <c r="C1911" s="20"/>
      <c r="D1911" s="18"/>
      <c r="H1911" s="12" t="str">
        <f t="shared" si="94"/>
        <v>0 г. 0 мес. 0 дн.</v>
      </c>
      <c r="V1911" s="12" t="str">
        <f t="shared" si="95"/>
        <v>0 г. 0 мес. 0 дн.</v>
      </c>
      <c r="W1911" s="22"/>
      <c r="X1911" s="72"/>
    </row>
    <row r="1912" spans="1:24" ht="35.1" customHeight="1" x14ac:dyDescent="0.25">
      <c r="A1912" s="12">
        <f t="shared" si="93"/>
        <v>1911</v>
      </c>
      <c r="B1912" s="12"/>
      <c r="C1912" s="20"/>
      <c r="D1912" s="18"/>
      <c r="H1912" s="12" t="str">
        <f t="shared" si="94"/>
        <v>0 г. 0 мес. 0 дн.</v>
      </c>
      <c r="V1912" s="12" t="str">
        <f t="shared" si="95"/>
        <v>0 г. 0 мес. 0 дн.</v>
      </c>
      <c r="W1912" s="22"/>
      <c r="X1912" s="72"/>
    </row>
    <row r="1913" spans="1:24" ht="35.1" customHeight="1" x14ac:dyDescent="0.25">
      <c r="A1913" s="12">
        <f t="shared" si="93"/>
        <v>1912</v>
      </c>
      <c r="B1913" s="12"/>
      <c r="C1913" s="20"/>
      <c r="D1913" s="18"/>
      <c r="H1913" s="12" t="str">
        <f t="shared" si="94"/>
        <v>0 г. 0 мес. 0 дн.</v>
      </c>
      <c r="V1913" s="12" t="str">
        <f t="shared" si="95"/>
        <v>0 г. 0 мес. 0 дн.</v>
      </c>
      <c r="W1913" s="22"/>
      <c r="X1913" s="72"/>
    </row>
    <row r="1914" spans="1:24" ht="35.1" customHeight="1" x14ac:dyDescent="0.25">
      <c r="A1914" s="12">
        <f t="shared" si="93"/>
        <v>1913</v>
      </c>
      <c r="B1914" s="12"/>
      <c r="C1914" s="20"/>
      <c r="D1914" s="18"/>
      <c r="H1914" s="12" t="str">
        <f t="shared" si="94"/>
        <v>0 г. 0 мес. 0 дн.</v>
      </c>
      <c r="V1914" s="12" t="str">
        <f t="shared" si="95"/>
        <v>0 г. 0 мес. 0 дн.</v>
      </c>
      <c r="W1914" s="22"/>
      <c r="X1914" s="72"/>
    </row>
    <row r="1915" spans="1:24" ht="35.1" customHeight="1" x14ac:dyDescent="0.25">
      <c r="A1915" s="12">
        <f t="shared" si="93"/>
        <v>1914</v>
      </c>
      <c r="B1915" s="12"/>
      <c r="C1915" s="20"/>
      <c r="D1915" s="18"/>
      <c r="H1915" s="12" t="str">
        <f t="shared" si="94"/>
        <v>0 г. 0 мес. 0 дн.</v>
      </c>
      <c r="V1915" s="12" t="str">
        <f t="shared" si="95"/>
        <v>0 г. 0 мес. 0 дн.</v>
      </c>
      <c r="W1915" s="22"/>
      <c r="X1915" s="72"/>
    </row>
    <row r="1916" spans="1:24" ht="35.1" customHeight="1" x14ac:dyDescent="0.25">
      <c r="A1916" s="12">
        <f t="shared" si="93"/>
        <v>1915</v>
      </c>
      <c r="B1916" s="12"/>
      <c r="C1916" s="20"/>
      <c r="D1916" s="18"/>
      <c r="H1916" s="12" t="str">
        <f t="shared" si="94"/>
        <v>0 г. 0 мес. 0 дн.</v>
      </c>
      <c r="V1916" s="12" t="str">
        <f t="shared" si="95"/>
        <v>0 г. 0 мес. 0 дн.</v>
      </c>
      <c r="W1916" s="22"/>
      <c r="X1916" s="72"/>
    </row>
    <row r="1917" spans="1:24" ht="35.1" customHeight="1" x14ac:dyDescent="0.25">
      <c r="A1917" s="12">
        <f t="shared" si="93"/>
        <v>1916</v>
      </c>
      <c r="B1917" s="12"/>
      <c r="C1917" s="20"/>
      <c r="D1917" s="18"/>
      <c r="H1917" s="12" t="str">
        <f t="shared" si="94"/>
        <v>0 г. 0 мес. 0 дн.</v>
      </c>
      <c r="V1917" s="12" t="str">
        <f t="shared" si="95"/>
        <v>0 г. 0 мес. 0 дн.</v>
      </c>
      <c r="W1917" s="22"/>
      <c r="X1917" s="72"/>
    </row>
    <row r="1918" spans="1:24" ht="35.1" customHeight="1" x14ac:dyDescent="0.25">
      <c r="A1918" s="12">
        <f t="shared" si="93"/>
        <v>1917</v>
      </c>
      <c r="B1918" s="12"/>
      <c r="C1918" s="20"/>
      <c r="D1918" s="18"/>
      <c r="H1918" s="12" t="str">
        <f t="shared" si="94"/>
        <v>0 г. 0 мес. 0 дн.</v>
      </c>
      <c r="V1918" s="12" t="str">
        <f t="shared" si="95"/>
        <v>0 г. 0 мес. 0 дн.</v>
      </c>
      <c r="W1918" s="22"/>
      <c r="X1918" s="72"/>
    </row>
    <row r="1919" spans="1:24" ht="35.1" customHeight="1" x14ac:dyDescent="0.25">
      <c r="A1919" s="12">
        <f t="shared" si="93"/>
        <v>1918</v>
      </c>
      <c r="B1919" s="12"/>
      <c r="C1919" s="20"/>
      <c r="D1919" s="18"/>
      <c r="H1919" s="12" t="str">
        <f t="shared" si="94"/>
        <v>0 г. 0 мес. 0 дн.</v>
      </c>
      <c r="V1919" s="12" t="str">
        <f t="shared" si="95"/>
        <v>0 г. 0 мес. 0 дн.</v>
      </c>
      <c r="W1919" s="22"/>
      <c r="X1919" s="72"/>
    </row>
    <row r="1920" spans="1:24" ht="35.1" customHeight="1" x14ac:dyDescent="0.25">
      <c r="A1920" s="12">
        <f t="shared" si="93"/>
        <v>1919</v>
      </c>
      <c r="B1920" s="12"/>
      <c r="C1920" s="20"/>
      <c r="D1920" s="18"/>
      <c r="H1920" s="12" t="str">
        <f t="shared" si="94"/>
        <v>0 г. 0 мес. 0 дн.</v>
      </c>
      <c r="V1920" s="12" t="str">
        <f t="shared" si="95"/>
        <v>0 г. 0 мес. 0 дн.</v>
      </c>
      <c r="W1920" s="22"/>
      <c r="X1920" s="72"/>
    </row>
    <row r="1921" spans="1:24" ht="35.1" customHeight="1" x14ac:dyDescent="0.25">
      <c r="A1921" s="12">
        <f t="shared" ref="A1921:A1984" si="96">ROW(A1920)</f>
        <v>1920</v>
      </c>
      <c r="B1921" s="12"/>
      <c r="C1921" s="20"/>
      <c r="D1921" s="18"/>
      <c r="H1921" s="12" t="str">
        <f t="shared" si="94"/>
        <v>0 г. 0 мес. 0 дн.</v>
      </c>
      <c r="V1921" s="12" t="str">
        <f t="shared" si="95"/>
        <v>0 г. 0 мес. 0 дн.</v>
      </c>
      <c r="W1921" s="22"/>
      <c r="X1921" s="72"/>
    </row>
    <row r="1922" spans="1:24" ht="35.1" customHeight="1" x14ac:dyDescent="0.25">
      <c r="A1922" s="12">
        <f t="shared" si="96"/>
        <v>1921</v>
      </c>
      <c r="B1922" s="12"/>
      <c r="C1922" s="20"/>
      <c r="D1922" s="18"/>
      <c r="H1922" s="12" t="str">
        <f t="shared" si="94"/>
        <v>0 г. 0 мес. 0 дн.</v>
      </c>
      <c r="V1922" s="12" t="str">
        <f t="shared" si="95"/>
        <v>0 г. 0 мес. 0 дн.</v>
      </c>
      <c r="W1922" s="22"/>
      <c r="X1922" s="72"/>
    </row>
    <row r="1923" spans="1:24" ht="35.1" customHeight="1" x14ac:dyDescent="0.25">
      <c r="A1923" s="12">
        <f t="shared" si="96"/>
        <v>1922</v>
      </c>
      <c r="B1923" s="12"/>
      <c r="C1923" s="20"/>
      <c r="D1923" s="18"/>
      <c r="H1923" s="12" t="str">
        <f t="shared" si="94"/>
        <v>0 г. 0 мес. 0 дн.</v>
      </c>
      <c r="V1923" s="12" t="str">
        <f t="shared" si="95"/>
        <v>0 г. 0 мес. 0 дн.</v>
      </c>
      <c r="W1923" s="22"/>
      <c r="X1923" s="72"/>
    </row>
    <row r="1924" spans="1:24" ht="35.1" customHeight="1" x14ac:dyDescent="0.25">
      <c r="A1924" s="12">
        <f t="shared" si="96"/>
        <v>1923</v>
      </c>
      <c r="B1924" s="12"/>
      <c r="C1924" s="20"/>
      <c r="D1924" s="18"/>
      <c r="H1924" s="12" t="str">
        <f t="shared" si="94"/>
        <v>0 г. 0 мес. 0 дн.</v>
      </c>
      <c r="V1924" s="12" t="str">
        <f t="shared" si="95"/>
        <v>0 г. 0 мес. 0 дн.</v>
      </c>
      <c r="W1924" s="22"/>
      <c r="X1924" s="72"/>
    </row>
    <row r="1925" spans="1:24" ht="35.1" customHeight="1" x14ac:dyDescent="0.25">
      <c r="A1925" s="12">
        <f t="shared" si="96"/>
        <v>1924</v>
      </c>
      <c r="B1925" s="12"/>
      <c r="C1925" s="20"/>
      <c r="D1925" s="18"/>
      <c r="H1925" s="12" t="str">
        <f t="shared" si="94"/>
        <v>0 г. 0 мес. 0 дн.</v>
      </c>
      <c r="V1925" s="12" t="str">
        <f t="shared" si="95"/>
        <v>0 г. 0 мес. 0 дн.</v>
      </c>
      <c r="W1925" s="22"/>
      <c r="X1925" s="72"/>
    </row>
    <row r="1926" spans="1:24" ht="35.1" customHeight="1" x14ac:dyDescent="0.25">
      <c r="A1926" s="12">
        <f t="shared" si="96"/>
        <v>1925</v>
      </c>
      <c r="B1926" s="12"/>
      <c r="C1926" s="20"/>
      <c r="D1926" s="18"/>
      <c r="H1926" s="12" t="str">
        <f t="shared" ref="H1926:H1989" si="97">DATEDIF(G1926,D1926,"y") &amp; " г. " &amp; DATEDIF(G1926,D1926,"ym") &amp; " мес. " &amp; DATEDIF(G1926,D1926,"md") &amp; " дн."</f>
        <v>0 г. 0 мес. 0 дн.</v>
      </c>
      <c r="V1926" s="12" t="str">
        <f t="shared" si="95"/>
        <v>0 г. 0 мес. 0 дн.</v>
      </c>
      <c r="W1926" s="22"/>
      <c r="X1926" s="72"/>
    </row>
    <row r="1927" spans="1:24" ht="35.1" customHeight="1" x14ac:dyDescent="0.25">
      <c r="A1927" s="12">
        <f t="shared" si="96"/>
        <v>1926</v>
      </c>
      <c r="B1927" s="12"/>
      <c r="C1927" s="20"/>
      <c r="D1927" s="18"/>
      <c r="H1927" s="12" t="str">
        <f t="shared" si="97"/>
        <v>0 г. 0 мес. 0 дн.</v>
      </c>
      <c r="V1927" s="12" t="str">
        <f t="shared" si="95"/>
        <v>0 г. 0 мес. 0 дн.</v>
      </c>
      <c r="W1927" s="22"/>
      <c r="X1927" s="72"/>
    </row>
    <row r="1928" spans="1:24" ht="35.1" customHeight="1" x14ac:dyDescent="0.25">
      <c r="A1928" s="12">
        <f t="shared" si="96"/>
        <v>1927</v>
      </c>
      <c r="B1928" s="12"/>
      <c r="C1928" s="20"/>
      <c r="D1928" s="18"/>
      <c r="H1928" s="12" t="str">
        <f t="shared" si="97"/>
        <v>0 г. 0 мес. 0 дн.</v>
      </c>
      <c r="V1928" s="12" t="str">
        <f t="shared" si="95"/>
        <v>0 г. 0 мес. 0 дн.</v>
      </c>
      <c r="W1928" s="22"/>
      <c r="X1928" s="72"/>
    </row>
    <row r="1929" spans="1:24" ht="35.1" customHeight="1" x14ac:dyDescent="0.25">
      <c r="A1929" s="12">
        <f t="shared" si="96"/>
        <v>1928</v>
      </c>
      <c r="B1929" s="12"/>
      <c r="C1929" s="20"/>
      <c r="D1929" s="18"/>
      <c r="H1929" s="12" t="str">
        <f t="shared" si="97"/>
        <v>0 г. 0 мес. 0 дн.</v>
      </c>
      <c r="V1929" s="12" t="str">
        <f t="shared" si="95"/>
        <v>0 г. 0 мес. 0 дн.</v>
      </c>
      <c r="W1929" s="22"/>
      <c r="X1929" s="72"/>
    </row>
    <row r="1930" spans="1:24" ht="35.1" customHeight="1" x14ac:dyDescent="0.25">
      <c r="A1930" s="12">
        <f t="shared" si="96"/>
        <v>1929</v>
      </c>
      <c r="B1930" s="12"/>
      <c r="C1930" s="20"/>
      <c r="D1930" s="18"/>
      <c r="H1930" s="12" t="str">
        <f t="shared" si="97"/>
        <v>0 г. 0 мес. 0 дн.</v>
      </c>
      <c r="V1930" s="12" t="str">
        <f t="shared" si="95"/>
        <v>0 г. 0 мес. 0 дн.</v>
      </c>
      <c r="W1930" s="22"/>
      <c r="X1930" s="72"/>
    </row>
    <row r="1931" spans="1:24" ht="35.1" customHeight="1" x14ac:dyDescent="0.25">
      <c r="A1931" s="12">
        <f t="shared" si="96"/>
        <v>1930</v>
      </c>
      <c r="B1931" s="12"/>
      <c r="C1931" s="20"/>
      <c r="D1931" s="18"/>
      <c r="H1931" s="12" t="str">
        <f t="shared" si="97"/>
        <v>0 г. 0 мес. 0 дн.</v>
      </c>
      <c r="V1931" s="12" t="str">
        <f t="shared" si="95"/>
        <v>0 г. 0 мес. 0 дн.</v>
      </c>
      <c r="W1931" s="22"/>
      <c r="X1931" s="72"/>
    </row>
    <row r="1932" spans="1:24" ht="35.1" customHeight="1" x14ac:dyDescent="0.25">
      <c r="A1932" s="12">
        <f t="shared" si="96"/>
        <v>1931</v>
      </c>
      <c r="B1932" s="12"/>
      <c r="C1932" s="20"/>
      <c r="D1932" s="18"/>
      <c r="H1932" s="12" t="str">
        <f t="shared" si="97"/>
        <v>0 г. 0 мес. 0 дн.</v>
      </c>
      <c r="V1932" s="12" t="str">
        <f t="shared" si="95"/>
        <v>0 г. 0 мес. 0 дн.</v>
      </c>
      <c r="W1932" s="22"/>
      <c r="X1932" s="72"/>
    </row>
    <row r="1933" spans="1:24" ht="35.1" customHeight="1" x14ac:dyDescent="0.25">
      <c r="A1933" s="12">
        <f t="shared" si="96"/>
        <v>1932</v>
      </c>
      <c r="B1933" s="12"/>
      <c r="C1933" s="20"/>
      <c r="D1933" s="18"/>
      <c r="H1933" s="12" t="str">
        <f t="shared" si="97"/>
        <v>0 г. 0 мес. 0 дн.</v>
      </c>
      <c r="V1933" s="12" t="str">
        <f t="shared" si="95"/>
        <v>0 г. 0 мес. 0 дн.</v>
      </c>
      <c r="W1933" s="22"/>
      <c r="X1933" s="72"/>
    </row>
    <row r="1934" spans="1:24" ht="35.1" customHeight="1" x14ac:dyDescent="0.25">
      <c r="A1934" s="12">
        <f t="shared" si="96"/>
        <v>1933</v>
      </c>
      <c r="B1934" s="12"/>
      <c r="C1934" s="20"/>
      <c r="D1934" s="18"/>
      <c r="H1934" s="12" t="str">
        <f t="shared" si="97"/>
        <v>0 г. 0 мес. 0 дн.</v>
      </c>
      <c r="V1934" s="12" t="str">
        <f t="shared" si="95"/>
        <v>0 г. 0 мес. 0 дн.</v>
      </c>
      <c r="W1934" s="22"/>
      <c r="X1934" s="72"/>
    </row>
    <row r="1935" spans="1:24" ht="35.1" customHeight="1" x14ac:dyDescent="0.25">
      <c r="A1935" s="12">
        <f t="shared" si="96"/>
        <v>1934</v>
      </c>
      <c r="B1935" s="12"/>
      <c r="C1935" s="20"/>
      <c r="D1935" s="18"/>
      <c r="H1935" s="12" t="str">
        <f t="shared" si="97"/>
        <v>0 г. 0 мес. 0 дн.</v>
      </c>
      <c r="V1935" s="12" t="str">
        <f t="shared" si="95"/>
        <v>0 г. 0 мес. 0 дн.</v>
      </c>
      <c r="W1935" s="22"/>
      <c r="X1935" s="72"/>
    </row>
    <row r="1936" spans="1:24" ht="35.1" customHeight="1" x14ac:dyDescent="0.25">
      <c r="A1936" s="12">
        <f t="shared" si="96"/>
        <v>1935</v>
      </c>
      <c r="B1936" s="12"/>
      <c r="C1936" s="20"/>
      <c r="D1936" s="18"/>
      <c r="H1936" s="12" t="str">
        <f t="shared" si="97"/>
        <v>0 г. 0 мес. 0 дн.</v>
      </c>
      <c r="V1936" s="12" t="str">
        <f t="shared" si="95"/>
        <v>0 г. 0 мес. 0 дн.</v>
      </c>
      <c r="W1936" s="22"/>
      <c r="X1936" s="72"/>
    </row>
    <row r="1937" spans="1:24" ht="35.1" customHeight="1" x14ac:dyDescent="0.25">
      <c r="A1937" s="12">
        <f t="shared" si="96"/>
        <v>1936</v>
      </c>
      <c r="B1937" s="12"/>
      <c r="C1937" s="20"/>
      <c r="D1937" s="18"/>
      <c r="H1937" s="12" t="str">
        <f t="shared" si="97"/>
        <v>0 г. 0 мес. 0 дн.</v>
      </c>
      <c r="V1937" s="12" t="str">
        <f t="shared" si="95"/>
        <v>0 г. 0 мес. 0 дн.</v>
      </c>
      <c r="W1937" s="22"/>
      <c r="X1937" s="72"/>
    </row>
    <row r="1938" spans="1:24" ht="35.1" customHeight="1" x14ac:dyDescent="0.25">
      <c r="A1938" s="12">
        <f t="shared" si="96"/>
        <v>1937</v>
      </c>
      <c r="B1938" s="12"/>
      <c r="C1938" s="20"/>
      <c r="D1938" s="18"/>
      <c r="H1938" s="12" t="str">
        <f t="shared" si="97"/>
        <v>0 г. 0 мес. 0 дн.</v>
      </c>
      <c r="V1938" s="12" t="str">
        <f t="shared" si="95"/>
        <v>0 г. 0 мес. 0 дн.</v>
      </c>
      <c r="W1938" s="22"/>
      <c r="X1938" s="72"/>
    </row>
    <row r="1939" spans="1:24" ht="35.1" customHeight="1" x14ac:dyDescent="0.25">
      <c r="A1939" s="12">
        <f t="shared" si="96"/>
        <v>1938</v>
      </c>
      <c r="B1939" s="12"/>
      <c r="C1939" s="20"/>
      <c r="D1939" s="18"/>
      <c r="H1939" s="12" t="str">
        <f t="shared" si="97"/>
        <v>0 г. 0 мес. 0 дн.</v>
      </c>
      <c r="V1939" s="12" t="str">
        <f t="shared" si="95"/>
        <v>0 г. 0 мес. 0 дн.</v>
      </c>
      <c r="W1939" s="22"/>
      <c r="X1939" s="72"/>
    </row>
    <row r="1940" spans="1:24" ht="35.1" customHeight="1" x14ac:dyDescent="0.25">
      <c r="A1940" s="12">
        <f t="shared" si="96"/>
        <v>1939</v>
      </c>
      <c r="B1940" s="12"/>
      <c r="C1940" s="20"/>
      <c r="D1940" s="18"/>
      <c r="H1940" s="12" t="str">
        <f t="shared" si="97"/>
        <v>0 г. 0 мес. 0 дн.</v>
      </c>
      <c r="V1940" s="12" t="str">
        <f t="shared" si="95"/>
        <v>0 г. 0 мес. 0 дн.</v>
      </c>
      <c r="W1940" s="22"/>
      <c r="X1940" s="72"/>
    </row>
    <row r="1941" spans="1:24" ht="35.1" customHeight="1" x14ac:dyDescent="0.25">
      <c r="A1941" s="12">
        <f t="shared" si="96"/>
        <v>1940</v>
      </c>
      <c r="B1941" s="12"/>
      <c r="C1941" s="20"/>
      <c r="D1941" s="18"/>
      <c r="H1941" s="12" t="str">
        <f t="shared" si="97"/>
        <v>0 г. 0 мес. 0 дн.</v>
      </c>
      <c r="V1941" s="12" t="str">
        <f t="shared" si="95"/>
        <v>0 г. 0 мес. 0 дн.</v>
      </c>
      <c r="W1941" s="22"/>
      <c r="X1941" s="72"/>
    </row>
    <row r="1942" spans="1:24" ht="35.1" customHeight="1" x14ac:dyDescent="0.25">
      <c r="A1942" s="12">
        <f t="shared" si="96"/>
        <v>1941</v>
      </c>
      <c r="B1942" s="12"/>
      <c r="C1942" s="20"/>
      <c r="D1942" s="18"/>
      <c r="H1942" s="12" t="str">
        <f t="shared" si="97"/>
        <v>0 г. 0 мес. 0 дн.</v>
      </c>
      <c r="V1942" s="12" t="str">
        <f t="shared" si="95"/>
        <v>0 г. 0 мес. 0 дн.</v>
      </c>
      <c r="W1942" s="22"/>
      <c r="X1942" s="72"/>
    </row>
    <row r="1943" spans="1:24" ht="35.1" customHeight="1" x14ac:dyDescent="0.25">
      <c r="A1943" s="12">
        <f t="shared" si="96"/>
        <v>1942</v>
      </c>
      <c r="B1943" s="12"/>
      <c r="C1943" s="20"/>
      <c r="D1943" s="18"/>
      <c r="H1943" s="12" t="str">
        <f t="shared" si="97"/>
        <v>0 г. 0 мес. 0 дн.</v>
      </c>
      <c r="V1943" s="12" t="str">
        <f t="shared" si="95"/>
        <v>0 г. 0 мес. 0 дн.</v>
      </c>
      <c r="W1943" s="22"/>
      <c r="X1943" s="72"/>
    </row>
    <row r="1944" spans="1:24" ht="35.1" customHeight="1" x14ac:dyDescent="0.25">
      <c r="A1944" s="12">
        <f t="shared" si="96"/>
        <v>1943</v>
      </c>
      <c r="B1944" s="12"/>
      <c r="C1944" s="20"/>
      <c r="D1944" s="18"/>
      <c r="H1944" s="12" t="str">
        <f t="shared" si="97"/>
        <v>0 г. 0 мес. 0 дн.</v>
      </c>
      <c r="V1944" s="12" t="str">
        <f t="shared" ref="V1944:V2007" si="98">DATEDIF(D1944,T1944,"y") &amp; " г. " &amp; DATEDIF(D1944,T1944,"ym") &amp; " мес. " &amp; DATEDIF(D1944,T1944,"md") &amp; " дн."</f>
        <v>0 г. 0 мес. 0 дн.</v>
      </c>
      <c r="W1944" s="22"/>
      <c r="X1944" s="72"/>
    </row>
    <row r="1945" spans="1:24" ht="35.1" customHeight="1" x14ac:dyDescent="0.25">
      <c r="A1945" s="12">
        <f t="shared" si="96"/>
        <v>1944</v>
      </c>
      <c r="B1945" s="12"/>
      <c r="C1945" s="20"/>
      <c r="D1945" s="18"/>
      <c r="H1945" s="12" t="str">
        <f t="shared" si="97"/>
        <v>0 г. 0 мес. 0 дн.</v>
      </c>
      <c r="V1945" s="12" t="str">
        <f t="shared" si="98"/>
        <v>0 г. 0 мес. 0 дн.</v>
      </c>
      <c r="W1945" s="22"/>
      <c r="X1945" s="72"/>
    </row>
    <row r="1946" spans="1:24" ht="35.1" customHeight="1" x14ac:dyDescent="0.25">
      <c r="A1946" s="12">
        <f t="shared" si="96"/>
        <v>1945</v>
      </c>
      <c r="B1946" s="12"/>
      <c r="C1946" s="20"/>
      <c r="D1946" s="18"/>
      <c r="H1946" s="12" t="str">
        <f t="shared" si="97"/>
        <v>0 г. 0 мес. 0 дн.</v>
      </c>
      <c r="V1946" s="12" t="str">
        <f t="shared" si="98"/>
        <v>0 г. 0 мес. 0 дн.</v>
      </c>
      <c r="W1946" s="22"/>
      <c r="X1946" s="72"/>
    </row>
    <row r="1947" spans="1:24" ht="35.1" customHeight="1" x14ac:dyDescent="0.25">
      <c r="A1947" s="12">
        <f t="shared" si="96"/>
        <v>1946</v>
      </c>
      <c r="B1947" s="12"/>
      <c r="C1947" s="20"/>
      <c r="D1947" s="18"/>
      <c r="H1947" s="12" t="str">
        <f t="shared" si="97"/>
        <v>0 г. 0 мес. 0 дн.</v>
      </c>
      <c r="V1947" s="12" t="str">
        <f t="shared" si="98"/>
        <v>0 г. 0 мес. 0 дн.</v>
      </c>
      <c r="W1947" s="22"/>
      <c r="X1947" s="72"/>
    </row>
    <row r="1948" spans="1:24" ht="35.1" customHeight="1" x14ac:dyDescent="0.25">
      <c r="A1948" s="12">
        <f t="shared" si="96"/>
        <v>1947</v>
      </c>
      <c r="B1948" s="12"/>
      <c r="C1948" s="20"/>
      <c r="D1948" s="18"/>
      <c r="H1948" s="12" t="str">
        <f t="shared" si="97"/>
        <v>0 г. 0 мес. 0 дн.</v>
      </c>
      <c r="V1948" s="12" t="str">
        <f t="shared" si="98"/>
        <v>0 г. 0 мес. 0 дн.</v>
      </c>
      <c r="W1948" s="22"/>
      <c r="X1948" s="72"/>
    </row>
    <row r="1949" spans="1:24" ht="35.1" customHeight="1" x14ac:dyDescent="0.25">
      <c r="A1949" s="12">
        <f t="shared" si="96"/>
        <v>1948</v>
      </c>
      <c r="B1949" s="12"/>
      <c r="C1949" s="20"/>
      <c r="D1949" s="18"/>
      <c r="H1949" s="12" t="str">
        <f t="shared" si="97"/>
        <v>0 г. 0 мес. 0 дн.</v>
      </c>
      <c r="V1949" s="12" t="str">
        <f t="shared" si="98"/>
        <v>0 г. 0 мес. 0 дн.</v>
      </c>
      <c r="W1949" s="22"/>
      <c r="X1949" s="72"/>
    </row>
    <row r="1950" spans="1:24" ht="35.1" customHeight="1" x14ac:dyDescent="0.25">
      <c r="A1950" s="12">
        <f t="shared" si="96"/>
        <v>1949</v>
      </c>
      <c r="B1950" s="12"/>
      <c r="C1950" s="20"/>
      <c r="D1950" s="18"/>
      <c r="H1950" s="12" t="str">
        <f t="shared" si="97"/>
        <v>0 г. 0 мес. 0 дн.</v>
      </c>
      <c r="V1950" s="12" t="str">
        <f t="shared" si="98"/>
        <v>0 г. 0 мес. 0 дн.</v>
      </c>
      <c r="W1950" s="22"/>
      <c r="X1950" s="72"/>
    </row>
    <row r="1951" spans="1:24" ht="35.1" customHeight="1" x14ac:dyDescent="0.25">
      <c r="A1951" s="12">
        <f t="shared" si="96"/>
        <v>1950</v>
      </c>
      <c r="B1951" s="12"/>
      <c r="C1951" s="20"/>
      <c r="D1951" s="18"/>
      <c r="H1951" s="12" t="str">
        <f t="shared" si="97"/>
        <v>0 г. 0 мес. 0 дн.</v>
      </c>
      <c r="V1951" s="12" t="str">
        <f t="shared" si="98"/>
        <v>0 г. 0 мес. 0 дн.</v>
      </c>
      <c r="W1951" s="22"/>
      <c r="X1951" s="72"/>
    </row>
    <row r="1952" spans="1:24" ht="35.1" customHeight="1" x14ac:dyDescent="0.25">
      <c r="A1952" s="12">
        <f t="shared" si="96"/>
        <v>1951</v>
      </c>
      <c r="B1952" s="12"/>
      <c r="C1952" s="20"/>
      <c r="D1952" s="18"/>
      <c r="H1952" s="12" t="str">
        <f t="shared" si="97"/>
        <v>0 г. 0 мес. 0 дн.</v>
      </c>
      <c r="V1952" s="12" t="str">
        <f t="shared" si="98"/>
        <v>0 г. 0 мес. 0 дн.</v>
      </c>
      <c r="W1952" s="22"/>
      <c r="X1952" s="72"/>
    </row>
    <row r="1953" spans="1:24" ht="35.1" customHeight="1" x14ac:dyDescent="0.25">
      <c r="A1953" s="12">
        <f t="shared" si="96"/>
        <v>1952</v>
      </c>
      <c r="B1953" s="12"/>
      <c r="C1953" s="20"/>
      <c r="D1953" s="18"/>
      <c r="H1953" s="12" t="str">
        <f t="shared" si="97"/>
        <v>0 г. 0 мес. 0 дн.</v>
      </c>
      <c r="V1953" s="12" t="str">
        <f t="shared" si="98"/>
        <v>0 г. 0 мес. 0 дн.</v>
      </c>
      <c r="W1953" s="22"/>
      <c r="X1953" s="72"/>
    </row>
    <row r="1954" spans="1:24" ht="35.1" customHeight="1" x14ac:dyDescent="0.25">
      <c r="A1954" s="12">
        <f t="shared" si="96"/>
        <v>1953</v>
      </c>
      <c r="B1954" s="12"/>
      <c r="C1954" s="20"/>
      <c r="D1954" s="18"/>
      <c r="H1954" s="12" t="str">
        <f t="shared" si="97"/>
        <v>0 г. 0 мес. 0 дн.</v>
      </c>
      <c r="V1954" s="12" t="str">
        <f t="shared" si="98"/>
        <v>0 г. 0 мес. 0 дн.</v>
      </c>
      <c r="W1954" s="22"/>
      <c r="X1954" s="72"/>
    </row>
    <row r="1955" spans="1:24" ht="35.1" customHeight="1" x14ac:dyDescent="0.25">
      <c r="A1955" s="12">
        <f t="shared" si="96"/>
        <v>1954</v>
      </c>
      <c r="B1955" s="12"/>
      <c r="C1955" s="20"/>
      <c r="D1955" s="18"/>
      <c r="H1955" s="12" t="str">
        <f t="shared" si="97"/>
        <v>0 г. 0 мес. 0 дн.</v>
      </c>
      <c r="V1955" s="12" t="str">
        <f t="shared" si="98"/>
        <v>0 г. 0 мес. 0 дн.</v>
      </c>
      <c r="W1955" s="22"/>
      <c r="X1955" s="72"/>
    </row>
    <row r="1956" spans="1:24" ht="35.1" customHeight="1" x14ac:dyDescent="0.25">
      <c r="A1956" s="12">
        <f t="shared" si="96"/>
        <v>1955</v>
      </c>
      <c r="B1956" s="12"/>
      <c r="C1956" s="20"/>
      <c r="D1956" s="18"/>
      <c r="H1956" s="12" t="str">
        <f t="shared" si="97"/>
        <v>0 г. 0 мес. 0 дн.</v>
      </c>
      <c r="V1956" s="12" t="str">
        <f t="shared" si="98"/>
        <v>0 г. 0 мес. 0 дн.</v>
      </c>
      <c r="W1956" s="22"/>
      <c r="X1956" s="72"/>
    </row>
    <row r="1957" spans="1:24" ht="35.1" customHeight="1" x14ac:dyDescent="0.25">
      <c r="A1957" s="12">
        <f t="shared" si="96"/>
        <v>1956</v>
      </c>
      <c r="B1957" s="12"/>
      <c r="C1957" s="20"/>
      <c r="D1957" s="18"/>
      <c r="H1957" s="12" t="str">
        <f t="shared" si="97"/>
        <v>0 г. 0 мес. 0 дн.</v>
      </c>
      <c r="V1957" s="12" t="str">
        <f t="shared" si="98"/>
        <v>0 г. 0 мес. 0 дн.</v>
      </c>
      <c r="W1957" s="22"/>
      <c r="X1957" s="72"/>
    </row>
    <row r="1958" spans="1:24" ht="35.1" customHeight="1" x14ac:dyDescent="0.25">
      <c r="A1958" s="12">
        <f t="shared" si="96"/>
        <v>1957</v>
      </c>
      <c r="B1958" s="12"/>
      <c r="C1958" s="20"/>
      <c r="D1958" s="18"/>
      <c r="H1958" s="12" t="str">
        <f t="shared" si="97"/>
        <v>0 г. 0 мес. 0 дн.</v>
      </c>
      <c r="V1958" s="12" t="str">
        <f t="shared" si="98"/>
        <v>0 г. 0 мес. 0 дн.</v>
      </c>
      <c r="W1958" s="22"/>
      <c r="X1958" s="72"/>
    </row>
    <row r="1959" spans="1:24" ht="35.1" customHeight="1" x14ac:dyDescent="0.25">
      <c r="A1959" s="12">
        <f t="shared" si="96"/>
        <v>1958</v>
      </c>
      <c r="B1959" s="12"/>
      <c r="C1959" s="20"/>
      <c r="D1959" s="18"/>
      <c r="H1959" s="12" t="str">
        <f t="shared" si="97"/>
        <v>0 г. 0 мес. 0 дн.</v>
      </c>
      <c r="V1959" s="12" t="str">
        <f t="shared" si="98"/>
        <v>0 г. 0 мес. 0 дн.</v>
      </c>
      <c r="W1959" s="22"/>
      <c r="X1959" s="72"/>
    </row>
    <row r="1960" spans="1:24" ht="35.1" customHeight="1" x14ac:dyDescent="0.25">
      <c r="A1960" s="12">
        <f t="shared" si="96"/>
        <v>1959</v>
      </c>
      <c r="B1960" s="12"/>
      <c r="C1960" s="20"/>
      <c r="D1960" s="18"/>
      <c r="H1960" s="12" t="str">
        <f t="shared" si="97"/>
        <v>0 г. 0 мес. 0 дн.</v>
      </c>
      <c r="V1960" s="12" t="str">
        <f t="shared" si="98"/>
        <v>0 г. 0 мес. 0 дн.</v>
      </c>
      <c r="W1960" s="22"/>
      <c r="X1960" s="72"/>
    </row>
    <row r="1961" spans="1:24" ht="35.1" customHeight="1" x14ac:dyDescent="0.25">
      <c r="A1961" s="12">
        <f t="shared" si="96"/>
        <v>1960</v>
      </c>
      <c r="B1961" s="12"/>
      <c r="C1961" s="20"/>
      <c r="D1961" s="18"/>
      <c r="H1961" s="12" t="str">
        <f t="shared" si="97"/>
        <v>0 г. 0 мес. 0 дн.</v>
      </c>
      <c r="V1961" s="12" t="str">
        <f t="shared" si="98"/>
        <v>0 г. 0 мес. 0 дн.</v>
      </c>
      <c r="W1961" s="22"/>
      <c r="X1961" s="72"/>
    </row>
    <row r="1962" spans="1:24" ht="35.1" customHeight="1" x14ac:dyDescent="0.25">
      <c r="A1962" s="12">
        <f t="shared" si="96"/>
        <v>1961</v>
      </c>
      <c r="B1962" s="12"/>
      <c r="C1962" s="20"/>
      <c r="D1962" s="18"/>
      <c r="H1962" s="12" t="str">
        <f t="shared" si="97"/>
        <v>0 г. 0 мес. 0 дн.</v>
      </c>
      <c r="V1962" s="12" t="str">
        <f t="shared" si="98"/>
        <v>0 г. 0 мес. 0 дн.</v>
      </c>
      <c r="W1962" s="22"/>
      <c r="X1962" s="72"/>
    </row>
    <row r="1963" spans="1:24" ht="35.1" customHeight="1" x14ac:dyDescent="0.25">
      <c r="A1963" s="12">
        <f t="shared" si="96"/>
        <v>1962</v>
      </c>
      <c r="B1963" s="12"/>
      <c r="C1963" s="20"/>
      <c r="D1963" s="18"/>
      <c r="H1963" s="12" t="str">
        <f t="shared" si="97"/>
        <v>0 г. 0 мес. 0 дн.</v>
      </c>
      <c r="V1963" s="12" t="str">
        <f t="shared" si="98"/>
        <v>0 г. 0 мес. 0 дн.</v>
      </c>
      <c r="W1963" s="22"/>
      <c r="X1963" s="72"/>
    </row>
    <row r="1964" spans="1:24" ht="35.1" customHeight="1" x14ac:dyDescent="0.25">
      <c r="A1964" s="12">
        <f t="shared" si="96"/>
        <v>1963</v>
      </c>
      <c r="B1964" s="12"/>
      <c r="C1964" s="20"/>
      <c r="D1964" s="18"/>
      <c r="H1964" s="12" t="str">
        <f t="shared" si="97"/>
        <v>0 г. 0 мес. 0 дн.</v>
      </c>
      <c r="V1964" s="12" t="str">
        <f t="shared" si="98"/>
        <v>0 г. 0 мес. 0 дн.</v>
      </c>
      <c r="W1964" s="22"/>
      <c r="X1964" s="72"/>
    </row>
    <row r="1965" spans="1:24" ht="35.1" customHeight="1" x14ac:dyDescent="0.25">
      <c r="A1965" s="12">
        <f t="shared" si="96"/>
        <v>1964</v>
      </c>
      <c r="B1965" s="12"/>
      <c r="C1965" s="20"/>
      <c r="D1965" s="18"/>
      <c r="H1965" s="12" t="str">
        <f t="shared" si="97"/>
        <v>0 г. 0 мес. 0 дн.</v>
      </c>
      <c r="V1965" s="12" t="str">
        <f t="shared" si="98"/>
        <v>0 г. 0 мес. 0 дн.</v>
      </c>
      <c r="W1965" s="22"/>
      <c r="X1965" s="72"/>
    </row>
    <row r="1966" spans="1:24" ht="35.1" customHeight="1" x14ac:dyDescent="0.25">
      <c r="A1966" s="12">
        <f t="shared" si="96"/>
        <v>1965</v>
      </c>
      <c r="B1966" s="12"/>
      <c r="C1966" s="20"/>
      <c r="D1966" s="18"/>
      <c r="H1966" s="12" t="str">
        <f t="shared" si="97"/>
        <v>0 г. 0 мес. 0 дн.</v>
      </c>
      <c r="V1966" s="12" t="str">
        <f t="shared" si="98"/>
        <v>0 г. 0 мес. 0 дн.</v>
      </c>
      <c r="W1966" s="22"/>
      <c r="X1966" s="72"/>
    </row>
    <row r="1967" spans="1:24" ht="35.1" customHeight="1" x14ac:dyDescent="0.25">
      <c r="A1967" s="12">
        <f t="shared" si="96"/>
        <v>1966</v>
      </c>
      <c r="B1967" s="12"/>
      <c r="C1967" s="20"/>
      <c r="D1967" s="18"/>
      <c r="H1967" s="12" t="str">
        <f t="shared" si="97"/>
        <v>0 г. 0 мес. 0 дн.</v>
      </c>
      <c r="V1967" s="12" t="str">
        <f t="shared" si="98"/>
        <v>0 г. 0 мес. 0 дн.</v>
      </c>
      <c r="W1967" s="22"/>
      <c r="X1967" s="72"/>
    </row>
    <row r="1968" spans="1:24" ht="35.1" customHeight="1" x14ac:dyDescent="0.25">
      <c r="A1968" s="12">
        <f t="shared" si="96"/>
        <v>1967</v>
      </c>
      <c r="B1968" s="12"/>
      <c r="C1968" s="20"/>
      <c r="D1968" s="18"/>
      <c r="H1968" s="12" t="str">
        <f t="shared" si="97"/>
        <v>0 г. 0 мес. 0 дн.</v>
      </c>
      <c r="V1968" s="12" t="str">
        <f t="shared" si="98"/>
        <v>0 г. 0 мес. 0 дн.</v>
      </c>
      <c r="W1968" s="22"/>
      <c r="X1968" s="72"/>
    </row>
    <row r="1969" spans="1:24" ht="35.1" customHeight="1" x14ac:dyDescent="0.25">
      <c r="A1969" s="12">
        <f t="shared" si="96"/>
        <v>1968</v>
      </c>
      <c r="B1969" s="12"/>
      <c r="C1969" s="20"/>
      <c r="D1969" s="18"/>
      <c r="H1969" s="12" t="str">
        <f t="shared" si="97"/>
        <v>0 г. 0 мес. 0 дн.</v>
      </c>
      <c r="V1969" s="12" t="str">
        <f t="shared" si="98"/>
        <v>0 г. 0 мес. 0 дн.</v>
      </c>
      <c r="W1969" s="22"/>
      <c r="X1969" s="72"/>
    </row>
    <row r="1970" spans="1:24" ht="35.1" customHeight="1" x14ac:dyDescent="0.25">
      <c r="A1970" s="12">
        <f t="shared" si="96"/>
        <v>1969</v>
      </c>
      <c r="B1970" s="12"/>
      <c r="C1970" s="20"/>
      <c r="D1970" s="18"/>
      <c r="H1970" s="12" t="str">
        <f t="shared" si="97"/>
        <v>0 г. 0 мес. 0 дн.</v>
      </c>
      <c r="V1970" s="12" t="str">
        <f t="shared" si="98"/>
        <v>0 г. 0 мес. 0 дн.</v>
      </c>
      <c r="W1970" s="22"/>
      <c r="X1970" s="72"/>
    </row>
    <row r="1971" spans="1:24" ht="35.1" customHeight="1" x14ac:dyDescent="0.25">
      <c r="A1971" s="12">
        <f t="shared" si="96"/>
        <v>1970</v>
      </c>
      <c r="B1971" s="12"/>
      <c r="C1971" s="20"/>
      <c r="D1971" s="18"/>
      <c r="H1971" s="12" t="str">
        <f t="shared" si="97"/>
        <v>0 г. 0 мес. 0 дн.</v>
      </c>
      <c r="V1971" s="12" t="str">
        <f t="shared" si="98"/>
        <v>0 г. 0 мес. 0 дн.</v>
      </c>
      <c r="W1971" s="22"/>
      <c r="X1971" s="72"/>
    </row>
    <row r="1972" spans="1:24" ht="35.1" customHeight="1" x14ac:dyDescent="0.25">
      <c r="A1972" s="12">
        <f t="shared" si="96"/>
        <v>1971</v>
      </c>
      <c r="B1972" s="12"/>
      <c r="C1972" s="20"/>
      <c r="D1972" s="18"/>
      <c r="H1972" s="12" t="str">
        <f t="shared" si="97"/>
        <v>0 г. 0 мес. 0 дн.</v>
      </c>
      <c r="V1972" s="12" t="str">
        <f t="shared" si="98"/>
        <v>0 г. 0 мес. 0 дн.</v>
      </c>
      <c r="W1972" s="22"/>
      <c r="X1972" s="72"/>
    </row>
    <row r="1973" spans="1:24" ht="35.1" customHeight="1" x14ac:dyDescent="0.25">
      <c r="A1973" s="12">
        <f t="shared" si="96"/>
        <v>1972</v>
      </c>
      <c r="B1973" s="12"/>
      <c r="C1973" s="20"/>
      <c r="D1973" s="18"/>
      <c r="H1973" s="12" t="str">
        <f t="shared" si="97"/>
        <v>0 г. 0 мес. 0 дн.</v>
      </c>
      <c r="V1973" s="12" t="str">
        <f t="shared" si="98"/>
        <v>0 г. 0 мес. 0 дн.</v>
      </c>
      <c r="W1973" s="22"/>
      <c r="X1973" s="72"/>
    </row>
    <row r="1974" spans="1:24" ht="35.1" customHeight="1" x14ac:dyDescent="0.25">
      <c r="A1974" s="12">
        <f t="shared" si="96"/>
        <v>1973</v>
      </c>
      <c r="B1974" s="12"/>
      <c r="C1974" s="20"/>
      <c r="D1974" s="18"/>
      <c r="H1974" s="12" t="str">
        <f t="shared" si="97"/>
        <v>0 г. 0 мес. 0 дн.</v>
      </c>
      <c r="V1974" s="12" t="str">
        <f t="shared" si="98"/>
        <v>0 г. 0 мес. 0 дн.</v>
      </c>
      <c r="W1974" s="22"/>
      <c r="X1974" s="72"/>
    </row>
    <row r="1975" spans="1:24" ht="35.1" customHeight="1" x14ac:dyDescent="0.25">
      <c r="A1975" s="12">
        <f t="shared" si="96"/>
        <v>1974</v>
      </c>
      <c r="B1975" s="12"/>
      <c r="C1975" s="20"/>
      <c r="D1975" s="18"/>
      <c r="H1975" s="12" t="str">
        <f t="shared" si="97"/>
        <v>0 г. 0 мес. 0 дн.</v>
      </c>
      <c r="V1975" s="12" t="str">
        <f t="shared" si="98"/>
        <v>0 г. 0 мес. 0 дн.</v>
      </c>
      <c r="W1975" s="22"/>
      <c r="X1975" s="72"/>
    </row>
    <row r="1976" spans="1:24" ht="35.1" customHeight="1" x14ac:dyDescent="0.25">
      <c r="A1976" s="12">
        <f t="shared" si="96"/>
        <v>1975</v>
      </c>
      <c r="B1976" s="12"/>
      <c r="C1976" s="20"/>
      <c r="D1976" s="18"/>
      <c r="H1976" s="12" t="str">
        <f t="shared" si="97"/>
        <v>0 г. 0 мес. 0 дн.</v>
      </c>
      <c r="V1976" s="12" t="str">
        <f t="shared" si="98"/>
        <v>0 г. 0 мес. 0 дн.</v>
      </c>
      <c r="W1976" s="22"/>
      <c r="X1976" s="72"/>
    </row>
    <row r="1977" spans="1:24" ht="35.1" customHeight="1" x14ac:dyDescent="0.25">
      <c r="A1977" s="12">
        <f t="shared" si="96"/>
        <v>1976</v>
      </c>
      <c r="B1977" s="12"/>
      <c r="C1977" s="20"/>
      <c r="D1977" s="18"/>
      <c r="H1977" s="12" t="str">
        <f t="shared" si="97"/>
        <v>0 г. 0 мес. 0 дн.</v>
      </c>
      <c r="V1977" s="12" t="str">
        <f t="shared" si="98"/>
        <v>0 г. 0 мес. 0 дн.</v>
      </c>
      <c r="W1977" s="22"/>
      <c r="X1977" s="72"/>
    </row>
    <row r="1978" spans="1:24" ht="35.1" customHeight="1" x14ac:dyDescent="0.25">
      <c r="A1978" s="12">
        <f t="shared" si="96"/>
        <v>1977</v>
      </c>
      <c r="B1978" s="12"/>
      <c r="C1978" s="20"/>
      <c r="D1978" s="18"/>
      <c r="H1978" s="12" t="str">
        <f t="shared" si="97"/>
        <v>0 г. 0 мес. 0 дн.</v>
      </c>
      <c r="V1978" s="12" t="str">
        <f t="shared" si="98"/>
        <v>0 г. 0 мес. 0 дн.</v>
      </c>
      <c r="W1978" s="22"/>
      <c r="X1978" s="72"/>
    </row>
    <row r="1979" spans="1:24" ht="35.1" customHeight="1" x14ac:dyDescent="0.25">
      <c r="A1979" s="12">
        <f t="shared" si="96"/>
        <v>1978</v>
      </c>
      <c r="B1979" s="12"/>
      <c r="C1979" s="20"/>
      <c r="D1979" s="18"/>
      <c r="H1979" s="12" t="str">
        <f t="shared" si="97"/>
        <v>0 г. 0 мес. 0 дн.</v>
      </c>
      <c r="V1979" s="12" t="str">
        <f t="shared" si="98"/>
        <v>0 г. 0 мес. 0 дн.</v>
      </c>
      <c r="W1979" s="22"/>
      <c r="X1979" s="72"/>
    </row>
    <row r="1980" spans="1:24" ht="35.1" customHeight="1" x14ac:dyDescent="0.25">
      <c r="A1980" s="12">
        <f t="shared" si="96"/>
        <v>1979</v>
      </c>
      <c r="B1980" s="12"/>
      <c r="C1980" s="20"/>
      <c r="D1980" s="18"/>
      <c r="H1980" s="12" t="str">
        <f t="shared" si="97"/>
        <v>0 г. 0 мес. 0 дн.</v>
      </c>
      <c r="V1980" s="12" t="str">
        <f t="shared" si="98"/>
        <v>0 г. 0 мес. 0 дн.</v>
      </c>
      <c r="W1980" s="22"/>
      <c r="X1980" s="72"/>
    </row>
    <row r="1981" spans="1:24" ht="35.1" customHeight="1" x14ac:dyDescent="0.25">
      <c r="A1981" s="12">
        <f t="shared" si="96"/>
        <v>1980</v>
      </c>
      <c r="B1981" s="12"/>
      <c r="C1981" s="20"/>
      <c r="D1981" s="18"/>
      <c r="H1981" s="12" t="str">
        <f t="shared" si="97"/>
        <v>0 г. 0 мес. 0 дн.</v>
      </c>
      <c r="V1981" s="12" t="str">
        <f t="shared" si="98"/>
        <v>0 г. 0 мес. 0 дн.</v>
      </c>
      <c r="W1981" s="22"/>
      <c r="X1981" s="72"/>
    </row>
    <row r="1982" spans="1:24" ht="35.1" customHeight="1" x14ac:dyDescent="0.25">
      <c r="A1982" s="12">
        <f t="shared" si="96"/>
        <v>1981</v>
      </c>
      <c r="B1982" s="12"/>
      <c r="C1982" s="20"/>
      <c r="D1982" s="18"/>
      <c r="H1982" s="12" t="str">
        <f t="shared" si="97"/>
        <v>0 г. 0 мес. 0 дн.</v>
      </c>
      <c r="V1982" s="12" t="str">
        <f t="shared" si="98"/>
        <v>0 г. 0 мес. 0 дн.</v>
      </c>
      <c r="W1982" s="22"/>
      <c r="X1982" s="72"/>
    </row>
    <row r="1983" spans="1:24" ht="35.1" customHeight="1" x14ac:dyDescent="0.25">
      <c r="A1983" s="12">
        <f t="shared" si="96"/>
        <v>1982</v>
      </c>
      <c r="B1983" s="12"/>
      <c r="C1983" s="20"/>
      <c r="D1983" s="18"/>
      <c r="H1983" s="12" t="str">
        <f t="shared" si="97"/>
        <v>0 г. 0 мес. 0 дн.</v>
      </c>
      <c r="V1983" s="12" t="str">
        <f t="shared" si="98"/>
        <v>0 г. 0 мес. 0 дн.</v>
      </c>
      <c r="W1983" s="22"/>
      <c r="X1983" s="72"/>
    </row>
    <row r="1984" spans="1:24" ht="35.1" customHeight="1" x14ac:dyDescent="0.25">
      <c r="A1984" s="12">
        <f t="shared" si="96"/>
        <v>1983</v>
      </c>
      <c r="B1984" s="12"/>
      <c r="C1984" s="20"/>
      <c r="D1984" s="18"/>
      <c r="H1984" s="12" t="str">
        <f t="shared" si="97"/>
        <v>0 г. 0 мес. 0 дн.</v>
      </c>
      <c r="V1984" s="12" t="str">
        <f t="shared" si="98"/>
        <v>0 г. 0 мес. 0 дн.</v>
      </c>
      <c r="W1984" s="22"/>
      <c r="X1984" s="72"/>
    </row>
    <row r="1985" spans="1:24" ht="35.1" customHeight="1" x14ac:dyDescent="0.25">
      <c r="A1985" s="12">
        <f t="shared" ref="A1985:A2048" si="99">ROW(A1984)</f>
        <v>1984</v>
      </c>
      <c r="B1985" s="12"/>
      <c r="C1985" s="20"/>
      <c r="D1985" s="18"/>
      <c r="H1985" s="12" t="str">
        <f t="shared" si="97"/>
        <v>0 г. 0 мес. 0 дн.</v>
      </c>
      <c r="V1985" s="12" t="str">
        <f t="shared" si="98"/>
        <v>0 г. 0 мес. 0 дн.</v>
      </c>
      <c r="W1985" s="22"/>
      <c r="X1985" s="72"/>
    </row>
    <row r="1986" spans="1:24" ht="35.1" customHeight="1" x14ac:dyDescent="0.25">
      <c r="A1986" s="12">
        <f t="shared" si="99"/>
        <v>1985</v>
      </c>
      <c r="B1986" s="12"/>
      <c r="C1986" s="20"/>
      <c r="D1986" s="18"/>
      <c r="H1986" s="12" t="str">
        <f t="shared" si="97"/>
        <v>0 г. 0 мес. 0 дн.</v>
      </c>
      <c r="V1986" s="12" t="str">
        <f t="shared" si="98"/>
        <v>0 г. 0 мес. 0 дн.</v>
      </c>
      <c r="W1986" s="22"/>
      <c r="X1986" s="72"/>
    </row>
    <row r="1987" spans="1:24" ht="35.1" customHeight="1" x14ac:dyDescent="0.25">
      <c r="A1987" s="12">
        <f t="shared" si="99"/>
        <v>1986</v>
      </c>
      <c r="B1987" s="12"/>
      <c r="C1987" s="20"/>
      <c r="D1987" s="18"/>
      <c r="H1987" s="12" t="str">
        <f t="shared" si="97"/>
        <v>0 г. 0 мес. 0 дн.</v>
      </c>
      <c r="V1987" s="12" t="str">
        <f t="shared" si="98"/>
        <v>0 г. 0 мес. 0 дн.</v>
      </c>
      <c r="W1987" s="22"/>
      <c r="X1987" s="72"/>
    </row>
    <row r="1988" spans="1:24" ht="35.1" customHeight="1" x14ac:dyDescent="0.25">
      <c r="A1988" s="12">
        <f t="shared" si="99"/>
        <v>1987</v>
      </c>
      <c r="B1988" s="12"/>
      <c r="C1988" s="20"/>
      <c r="D1988" s="18"/>
      <c r="H1988" s="12" t="str">
        <f t="shared" si="97"/>
        <v>0 г. 0 мес. 0 дн.</v>
      </c>
      <c r="V1988" s="12" t="str">
        <f t="shared" si="98"/>
        <v>0 г. 0 мес. 0 дн.</v>
      </c>
      <c r="W1988" s="22"/>
      <c r="X1988" s="72"/>
    </row>
    <row r="1989" spans="1:24" ht="35.1" customHeight="1" x14ac:dyDescent="0.25">
      <c r="A1989" s="12">
        <f t="shared" si="99"/>
        <v>1988</v>
      </c>
      <c r="B1989" s="12"/>
      <c r="C1989" s="20"/>
      <c r="D1989" s="18"/>
      <c r="H1989" s="12" t="str">
        <f t="shared" si="97"/>
        <v>0 г. 0 мес. 0 дн.</v>
      </c>
      <c r="V1989" s="12" t="str">
        <f t="shared" si="98"/>
        <v>0 г. 0 мес. 0 дн.</v>
      </c>
      <c r="W1989" s="22"/>
      <c r="X1989" s="72"/>
    </row>
    <row r="1990" spans="1:24" ht="35.1" customHeight="1" x14ac:dyDescent="0.25">
      <c r="A1990" s="12">
        <f t="shared" si="99"/>
        <v>1989</v>
      </c>
      <c r="B1990" s="12"/>
      <c r="C1990" s="20"/>
      <c r="D1990" s="18"/>
      <c r="H1990" s="12" t="str">
        <f t="shared" ref="H1990:H2053" si="100">DATEDIF(G1990,D1990,"y") &amp; " г. " &amp; DATEDIF(G1990,D1990,"ym") &amp; " мес. " &amp; DATEDIF(G1990,D1990,"md") &amp; " дн."</f>
        <v>0 г. 0 мес. 0 дн.</v>
      </c>
      <c r="V1990" s="12" t="str">
        <f t="shared" si="98"/>
        <v>0 г. 0 мес. 0 дн.</v>
      </c>
      <c r="W1990" s="22"/>
      <c r="X1990" s="72"/>
    </row>
    <row r="1991" spans="1:24" ht="35.1" customHeight="1" x14ac:dyDescent="0.25">
      <c r="A1991" s="12">
        <f t="shared" si="99"/>
        <v>1990</v>
      </c>
      <c r="B1991" s="12"/>
      <c r="C1991" s="20"/>
      <c r="D1991" s="18"/>
      <c r="H1991" s="12" t="str">
        <f t="shared" si="100"/>
        <v>0 г. 0 мес. 0 дн.</v>
      </c>
      <c r="V1991" s="12" t="str">
        <f t="shared" si="98"/>
        <v>0 г. 0 мес. 0 дн.</v>
      </c>
      <c r="W1991" s="22"/>
      <c r="X1991" s="72"/>
    </row>
    <row r="1992" spans="1:24" ht="35.1" customHeight="1" x14ac:dyDescent="0.25">
      <c r="A1992" s="12">
        <f t="shared" si="99"/>
        <v>1991</v>
      </c>
      <c r="B1992" s="12"/>
      <c r="C1992" s="20"/>
      <c r="D1992" s="18"/>
      <c r="H1992" s="12" t="str">
        <f t="shared" si="100"/>
        <v>0 г. 0 мес. 0 дн.</v>
      </c>
      <c r="V1992" s="12" t="str">
        <f t="shared" si="98"/>
        <v>0 г. 0 мес. 0 дн.</v>
      </c>
      <c r="W1992" s="22"/>
      <c r="X1992" s="72"/>
    </row>
    <row r="1993" spans="1:24" ht="35.1" customHeight="1" x14ac:dyDescent="0.25">
      <c r="A1993" s="12">
        <f t="shared" si="99"/>
        <v>1992</v>
      </c>
      <c r="B1993" s="12"/>
      <c r="C1993" s="20"/>
      <c r="D1993" s="18"/>
      <c r="H1993" s="12" t="str">
        <f t="shared" si="100"/>
        <v>0 г. 0 мес. 0 дн.</v>
      </c>
      <c r="V1993" s="12" t="str">
        <f t="shared" si="98"/>
        <v>0 г. 0 мес. 0 дн.</v>
      </c>
      <c r="W1993" s="22"/>
      <c r="X1993" s="72"/>
    </row>
    <row r="1994" spans="1:24" ht="35.1" customHeight="1" x14ac:dyDescent="0.25">
      <c r="A1994" s="12">
        <f t="shared" si="99"/>
        <v>1993</v>
      </c>
      <c r="B1994" s="12"/>
      <c r="C1994" s="20"/>
      <c r="D1994" s="18"/>
      <c r="H1994" s="12" t="str">
        <f t="shared" si="100"/>
        <v>0 г. 0 мес. 0 дн.</v>
      </c>
      <c r="V1994" s="12" t="str">
        <f t="shared" si="98"/>
        <v>0 г. 0 мес. 0 дн.</v>
      </c>
      <c r="W1994" s="22"/>
      <c r="X1994" s="72"/>
    </row>
    <row r="1995" spans="1:24" ht="35.1" customHeight="1" x14ac:dyDescent="0.25">
      <c r="A1995" s="12">
        <f t="shared" si="99"/>
        <v>1994</v>
      </c>
      <c r="B1995" s="12"/>
      <c r="C1995" s="20"/>
      <c r="D1995" s="18"/>
      <c r="H1995" s="12" t="str">
        <f t="shared" si="100"/>
        <v>0 г. 0 мес. 0 дн.</v>
      </c>
      <c r="V1995" s="12" t="str">
        <f t="shared" si="98"/>
        <v>0 г. 0 мес. 0 дн.</v>
      </c>
      <c r="W1995" s="22"/>
      <c r="X1995" s="72"/>
    </row>
    <row r="1996" spans="1:24" ht="35.1" customHeight="1" x14ac:dyDescent="0.25">
      <c r="A1996" s="12">
        <f t="shared" si="99"/>
        <v>1995</v>
      </c>
      <c r="B1996" s="12"/>
      <c r="C1996" s="20"/>
      <c r="D1996" s="18"/>
      <c r="H1996" s="12" t="str">
        <f t="shared" si="100"/>
        <v>0 г. 0 мес. 0 дн.</v>
      </c>
      <c r="V1996" s="12" t="str">
        <f t="shared" si="98"/>
        <v>0 г. 0 мес. 0 дн.</v>
      </c>
      <c r="W1996" s="22"/>
      <c r="X1996" s="72"/>
    </row>
    <row r="1997" spans="1:24" ht="35.1" customHeight="1" x14ac:dyDescent="0.25">
      <c r="A1997" s="12">
        <f t="shared" si="99"/>
        <v>1996</v>
      </c>
      <c r="B1997" s="12"/>
      <c r="C1997" s="20"/>
      <c r="D1997" s="18"/>
      <c r="H1997" s="12" t="str">
        <f t="shared" si="100"/>
        <v>0 г. 0 мес. 0 дн.</v>
      </c>
      <c r="V1997" s="12" t="str">
        <f t="shared" si="98"/>
        <v>0 г. 0 мес. 0 дн.</v>
      </c>
      <c r="W1997" s="22"/>
      <c r="X1997" s="72"/>
    </row>
    <row r="1998" spans="1:24" ht="35.1" customHeight="1" x14ac:dyDescent="0.25">
      <c r="A1998" s="12">
        <f t="shared" si="99"/>
        <v>1997</v>
      </c>
      <c r="B1998" s="12"/>
      <c r="C1998" s="20"/>
      <c r="D1998" s="18"/>
      <c r="H1998" s="12" t="str">
        <f t="shared" si="100"/>
        <v>0 г. 0 мес. 0 дн.</v>
      </c>
      <c r="V1998" s="12" t="str">
        <f t="shared" si="98"/>
        <v>0 г. 0 мес. 0 дн.</v>
      </c>
      <c r="W1998" s="22"/>
      <c r="X1998" s="72"/>
    </row>
    <row r="1999" spans="1:24" ht="35.1" customHeight="1" x14ac:dyDescent="0.25">
      <c r="A1999" s="12">
        <f t="shared" si="99"/>
        <v>1998</v>
      </c>
      <c r="B1999" s="12"/>
      <c r="C1999" s="20"/>
      <c r="D1999" s="18"/>
      <c r="H1999" s="12" t="str">
        <f t="shared" si="100"/>
        <v>0 г. 0 мес. 0 дн.</v>
      </c>
      <c r="V1999" s="12" t="str">
        <f t="shared" si="98"/>
        <v>0 г. 0 мес. 0 дн.</v>
      </c>
      <c r="W1999" s="22"/>
      <c r="X1999" s="72"/>
    </row>
    <row r="2000" spans="1:24" ht="35.1" customHeight="1" x14ac:dyDescent="0.25">
      <c r="A2000" s="12">
        <f t="shared" si="99"/>
        <v>1999</v>
      </c>
      <c r="B2000" s="12"/>
      <c r="C2000" s="20"/>
      <c r="D2000" s="18"/>
      <c r="H2000" s="12" t="str">
        <f t="shared" si="100"/>
        <v>0 г. 0 мес. 0 дн.</v>
      </c>
      <c r="V2000" s="12" t="str">
        <f t="shared" si="98"/>
        <v>0 г. 0 мес. 0 дн.</v>
      </c>
      <c r="W2000" s="22"/>
      <c r="X2000" s="72"/>
    </row>
    <row r="2001" spans="1:24" ht="35.1" customHeight="1" x14ac:dyDescent="0.25">
      <c r="A2001" s="12">
        <f t="shared" si="99"/>
        <v>2000</v>
      </c>
      <c r="B2001" s="12"/>
      <c r="C2001" s="20"/>
      <c r="D2001" s="18"/>
      <c r="H2001" s="12" t="str">
        <f t="shared" si="100"/>
        <v>0 г. 0 мес. 0 дн.</v>
      </c>
      <c r="V2001" s="12" t="str">
        <f t="shared" si="98"/>
        <v>0 г. 0 мес. 0 дн.</v>
      </c>
      <c r="W2001" s="22"/>
      <c r="X2001" s="72"/>
    </row>
    <row r="2002" spans="1:24" ht="35.1" customHeight="1" x14ac:dyDescent="0.25">
      <c r="A2002" s="12">
        <f t="shared" si="99"/>
        <v>2001</v>
      </c>
      <c r="B2002" s="12"/>
      <c r="C2002" s="20"/>
      <c r="D2002" s="18"/>
      <c r="H2002" s="12" t="str">
        <f t="shared" si="100"/>
        <v>0 г. 0 мес. 0 дн.</v>
      </c>
      <c r="V2002" s="12" t="str">
        <f t="shared" si="98"/>
        <v>0 г. 0 мес. 0 дн.</v>
      </c>
      <c r="W2002" s="22"/>
      <c r="X2002" s="72"/>
    </row>
    <row r="2003" spans="1:24" ht="35.1" customHeight="1" x14ac:dyDescent="0.25">
      <c r="A2003" s="12">
        <f t="shared" si="99"/>
        <v>2002</v>
      </c>
      <c r="B2003" s="12"/>
      <c r="C2003" s="20"/>
      <c r="D2003" s="18"/>
      <c r="H2003" s="12" t="str">
        <f t="shared" si="100"/>
        <v>0 г. 0 мес. 0 дн.</v>
      </c>
      <c r="V2003" s="12" t="str">
        <f t="shared" si="98"/>
        <v>0 г. 0 мес. 0 дн.</v>
      </c>
      <c r="W2003" s="22"/>
      <c r="X2003" s="72"/>
    </row>
    <row r="2004" spans="1:24" ht="35.1" customHeight="1" x14ac:dyDescent="0.25">
      <c r="A2004" s="12">
        <f t="shared" si="99"/>
        <v>2003</v>
      </c>
      <c r="B2004" s="12"/>
      <c r="C2004" s="20"/>
      <c r="D2004" s="18"/>
      <c r="H2004" s="12" t="str">
        <f t="shared" si="100"/>
        <v>0 г. 0 мес. 0 дн.</v>
      </c>
      <c r="V2004" s="12" t="str">
        <f t="shared" si="98"/>
        <v>0 г. 0 мес. 0 дн.</v>
      </c>
      <c r="W2004" s="22"/>
      <c r="X2004" s="72"/>
    </row>
    <row r="2005" spans="1:24" ht="35.1" customHeight="1" x14ac:dyDescent="0.25">
      <c r="A2005" s="12">
        <f t="shared" si="99"/>
        <v>2004</v>
      </c>
      <c r="B2005" s="12"/>
      <c r="C2005" s="20"/>
      <c r="D2005" s="18"/>
      <c r="H2005" s="12" t="str">
        <f t="shared" si="100"/>
        <v>0 г. 0 мес. 0 дн.</v>
      </c>
      <c r="V2005" s="12" t="str">
        <f t="shared" si="98"/>
        <v>0 г. 0 мес. 0 дн.</v>
      </c>
      <c r="W2005" s="22"/>
      <c r="X2005" s="72"/>
    </row>
    <row r="2006" spans="1:24" ht="35.1" customHeight="1" x14ac:dyDescent="0.25">
      <c r="A2006" s="12">
        <f t="shared" si="99"/>
        <v>2005</v>
      </c>
      <c r="B2006" s="12"/>
      <c r="C2006" s="20"/>
      <c r="D2006" s="18"/>
      <c r="H2006" s="12" t="str">
        <f t="shared" si="100"/>
        <v>0 г. 0 мес. 0 дн.</v>
      </c>
      <c r="V2006" s="12" t="str">
        <f t="shared" si="98"/>
        <v>0 г. 0 мес. 0 дн.</v>
      </c>
      <c r="W2006" s="22"/>
      <c r="X2006" s="72"/>
    </row>
    <row r="2007" spans="1:24" ht="35.1" customHeight="1" x14ac:dyDescent="0.25">
      <c r="A2007" s="12">
        <f t="shared" si="99"/>
        <v>2006</v>
      </c>
      <c r="B2007" s="12"/>
      <c r="C2007" s="20"/>
      <c r="D2007" s="18"/>
      <c r="H2007" s="12" t="str">
        <f t="shared" si="100"/>
        <v>0 г. 0 мес. 0 дн.</v>
      </c>
      <c r="V2007" s="12" t="str">
        <f t="shared" si="98"/>
        <v>0 г. 0 мес. 0 дн.</v>
      </c>
      <c r="W2007" s="22"/>
      <c r="X2007" s="72"/>
    </row>
    <row r="2008" spans="1:24" ht="35.1" customHeight="1" x14ac:dyDescent="0.25">
      <c r="A2008" s="12">
        <f t="shared" si="99"/>
        <v>2007</v>
      </c>
      <c r="B2008" s="12"/>
      <c r="C2008" s="20"/>
      <c r="D2008" s="18"/>
      <c r="H2008" s="12" t="str">
        <f t="shared" si="100"/>
        <v>0 г. 0 мес. 0 дн.</v>
      </c>
      <c r="V2008" s="12" t="str">
        <f t="shared" ref="V2008:V2071" si="101">DATEDIF(D2008,T2008,"y") &amp; " г. " &amp; DATEDIF(D2008,T2008,"ym") &amp; " мес. " &amp; DATEDIF(D2008,T2008,"md") &amp; " дн."</f>
        <v>0 г. 0 мес. 0 дн.</v>
      </c>
      <c r="W2008" s="22"/>
      <c r="X2008" s="72"/>
    </row>
    <row r="2009" spans="1:24" ht="35.1" customHeight="1" x14ac:dyDescent="0.25">
      <c r="A2009" s="12">
        <f t="shared" si="99"/>
        <v>2008</v>
      </c>
      <c r="B2009" s="12"/>
      <c r="C2009" s="20"/>
      <c r="D2009" s="18"/>
      <c r="H2009" s="12" t="str">
        <f t="shared" si="100"/>
        <v>0 г. 0 мес. 0 дн.</v>
      </c>
      <c r="V2009" s="12" t="str">
        <f t="shared" si="101"/>
        <v>0 г. 0 мес. 0 дн.</v>
      </c>
      <c r="W2009" s="22"/>
      <c r="X2009" s="72"/>
    </row>
    <row r="2010" spans="1:24" ht="35.1" customHeight="1" x14ac:dyDescent="0.25">
      <c r="A2010" s="12">
        <f t="shared" si="99"/>
        <v>2009</v>
      </c>
      <c r="B2010" s="12"/>
      <c r="C2010" s="20"/>
      <c r="D2010" s="18"/>
      <c r="H2010" s="12" t="str">
        <f t="shared" si="100"/>
        <v>0 г. 0 мес. 0 дн.</v>
      </c>
      <c r="V2010" s="12" t="str">
        <f t="shared" si="101"/>
        <v>0 г. 0 мес. 0 дн.</v>
      </c>
      <c r="W2010" s="22"/>
      <c r="X2010" s="72"/>
    </row>
    <row r="2011" spans="1:24" ht="35.1" customHeight="1" x14ac:dyDescent="0.25">
      <c r="A2011" s="12">
        <f t="shared" si="99"/>
        <v>2010</v>
      </c>
      <c r="B2011" s="12"/>
      <c r="C2011" s="20"/>
      <c r="D2011" s="18"/>
      <c r="H2011" s="12" t="str">
        <f t="shared" si="100"/>
        <v>0 г. 0 мес. 0 дн.</v>
      </c>
      <c r="V2011" s="12" t="str">
        <f t="shared" si="101"/>
        <v>0 г. 0 мес. 0 дн.</v>
      </c>
      <c r="W2011" s="22"/>
      <c r="X2011" s="72"/>
    </row>
    <row r="2012" spans="1:24" ht="35.1" customHeight="1" x14ac:dyDescent="0.25">
      <c r="A2012" s="12">
        <f t="shared" si="99"/>
        <v>2011</v>
      </c>
      <c r="B2012" s="12"/>
      <c r="C2012" s="20"/>
      <c r="D2012" s="18"/>
      <c r="H2012" s="12" t="str">
        <f t="shared" si="100"/>
        <v>0 г. 0 мес. 0 дн.</v>
      </c>
      <c r="V2012" s="12" t="str">
        <f t="shared" si="101"/>
        <v>0 г. 0 мес. 0 дн.</v>
      </c>
      <c r="W2012" s="22"/>
      <c r="X2012" s="72"/>
    </row>
    <row r="2013" spans="1:24" ht="35.1" customHeight="1" x14ac:dyDescent="0.25">
      <c r="A2013" s="12">
        <f t="shared" si="99"/>
        <v>2012</v>
      </c>
      <c r="B2013" s="12"/>
      <c r="C2013" s="20"/>
      <c r="D2013" s="18"/>
      <c r="H2013" s="12" t="str">
        <f t="shared" si="100"/>
        <v>0 г. 0 мес. 0 дн.</v>
      </c>
      <c r="V2013" s="12" t="str">
        <f t="shared" si="101"/>
        <v>0 г. 0 мес. 0 дн.</v>
      </c>
      <c r="W2013" s="22"/>
      <c r="X2013" s="72"/>
    </row>
    <row r="2014" spans="1:24" ht="35.1" customHeight="1" x14ac:dyDescent="0.25">
      <c r="A2014" s="12">
        <f t="shared" si="99"/>
        <v>2013</v>
      </c>
      <c r="B2014" s="12"/>
      <c r="C2014" s="20"/>
      <c r="D2014" s="18"/>
      <c r="H2014" s="12" t="str">
        <f t="shared" si="100"/>
        <v>0 г. 0 мес. 0 дн.</v>
      </c>
      <c r="V2014" s="12" t="str">
        <f t="shared" si="101"/>
        <v>0 г. 0 мес. 0 дн.</v>
      </c>
      <c r="W2014" s="22"/>
      <c r="X2014" s="72"/>
    </row>
    <row r="2015" spans="1:24" ht="35.1" customHeight="1" x14ac:dyDescent="0.25">
      <c r="A2015" s="12">
        <f t="shared" si="99"/>
        <v>2014</v>
      </c>
      <c r="B2015" s="12"/>
      <c r="C2015" s="20"/>
      <c r="D2015" s="18"/>
      <c r="H2015" s="12" t="str">
        <f t="shared" si="100"/>
        <v>0 г. 0 мес. 0 дн.</v>
      </c>
      <c r="V2015" s="12" t="str">
        <f t="shared" si="101"/>
        <v>0 г. 0 мес. 0 дн.</v>
      </c>
      <c r="W2015" s="22"/>
      <c r="X2015" s="72"/>
    </row>
    <row r="2016" spans="1:24" ht="35.1" customHeight="1" x14ac:dyDescent="0.25">
      <c r="A2016" s="12">
        <f t="shared" si="99"/>
        <v>2015</v>
      </c>
      <c r="B2016" s="12"/>
      <c r="C2016" s="20"/>
      <c r="D2016" s="18"/>
      <c r="H2016" s="12" t="str">
        <f t="shared" si="100"/>
        <v>0 г. 0 мес. 0 дн.</v>
      </c>
      <c r="V2016" s="12" t="str">
        <f t="shared" si="101"/>
        <v>0 г. 0 мес. 0 дн.</v>
      </c>
      <c r="W2016" s="22"/>
      <c r="X2016" s="72"/>
    </row>
    <row r="2017" spans="1:24" ht="35.1" customHeight="1" x14ac:dyDescent="0.25">
      <c r="A2017" s="12">
        <f t="shared" si="99"/>
        <v>2016</v>
      </c>
      <c r="B2017" s="12"/>
      <c r="C2017" s="20"/>
      <c r="D2017" s="18"/>
      <c r="H2017" s="12" t="str">
        <f t="shared" si="100"/>
        <v>0 г. 0 мес. 0 дн.</v>
      </c>
      <c r="V2017" s="12" t="str">
        <f t="shared" si="101"/>
        <v>0 г. 0 мес. 0 дн.</v>
      </c>
      <c r="W2017" s="22"/>
      <c r="X2017" s="72"/>
    </row>
    <row r="2018" spans="1:24" ht="35.1" customHeight="1" x14ac:dyDescent="0.25">
      <c r="A2018" s="12">
        <f t="shared" si="99"/>
        <v>2017</v>
      </c>
      <c r="B2018" s="12"/>
      <c r="C2018" s="20"/>
      <c r="D2018" s="18"/>
      <c r="H2018" s="12" t="str">
        <f t="shared" si="100"/>
        <v>0 г. 0 мес. 0 дн.</v>
      </c>
      <c r="V2018" s="12" t="str">
        <f t="shared" si="101"/>
        <v>0 г. 0 мес. 0 дн.</v>
      </c>
      <c r="W2018" s="22"/>
      <c r="X2018" s="72"/>
    </row>
    <row r="2019" spans="1:24" ht="35.1" customHeight="1" x14ac:dyDescent="0.25">
      <c r="A2019" s="12">
        <f t="shared" si="99"/>
        <v>2018</v>
      </c>
      <c r="B2019" s="12"/>
      <c r="C2019" s="20"/>
      <c r="D2019" s="18"/>
      <c r="H2019" s="12" t="str">
        <f t="shared" si="100"/>
        <v>0 г. 0 мес. 0 дн.</v>
      </c>
      <c r="V2019" s="12" t="str">
        <f t="shared" si="101"/>
        <v>0 г. 0 мес. 0 дн.</v>
      </c>
      <c r="W2019" s="22"/>
      <c r="X2019" s="72"/>
    </row>
    <row r="2020" spans="1:24" ht="35.1" customHeight="1" x14ac:dyDescent="0.25">
      <c r="A2020" s="12">
        <f t="shared" si="99"/>
        <v>2019</v>
      </c>
      <c r="B2020" s="12"/>
      <c r="C2020" s="20"/>
      <c r="D2020" s="18"/>
      <c r="H2020" s="12" t="str">
        <f t="shared" si="100"/>
        <v>0 г. 0 мес. 0 дн.</v>
      </c>
      <c r="V2020" s="12" t="str">
        <f t="shared" si="101"/>
        <v>0 г. 0 мес. 0 дн.</v>
      </c>
      <c r="W2020" s="22"/>
      <c r="X2020" s="72"/>
    </row>
    <row r="2021" spans="1:24" ht="35.1" customHeight="1" x14ac:dyDescent="0.25">
      <c r="A2021" s="12">
        <f t="shared" si="99"/>
        <v>2020</v>
      </c>
      <c r="B2021" s="12"/>
      <c r="C2021" s="20"/>
      <c r="D2021" s="18"/>
      <c r="H2021" s="12" t="str">
        <f t="shared" si="100"/>
        <v>0 г. 0 мес. 0 дн.</v>
      </c>
      <c r="V2021" s="12" t="str">
        <f t="shared" si="101"/>
        <v>0 г. 0 мес. 0 дн.</v>
      </c>
      <c r="W2021" s="22"/>
      <c r="X2021" s="72"/>
    </row>
    <row r="2022" spans="1:24" ht="35.1" customHeight="1" x14ac:dyDescent="0.25">
      <c r="A2022" s="12">
        <f t="shared" si="99"/>
        <v>2021</v>
      </c>
      <c r="B2022" s="12"/>
      <c r="C2022" s="20"/>
      <c r="D2022" s="18"/>
      <c r="H2022" s="12" t="str">
        <f t="shared" si="100"/>
        <v>0 г. 0 мес. 0 дн.</v>
      </c>
      <c r="V2022" s="12" t="str">
        <f t="shared" si="101"/>
        <v>0 г. 0 мес. 0 дн.</v>
      </c>
      <c r="W2022" s="22"/>
      <c r="X2022" s="72"/>
    </row>
    <row r="2023" spans="1:24" ht="35.1" customHeight="1" x14ac:dyDescent="0.25">
      <c r="A2023" s="12">
        <f t="shared" si="99"/>
        <v>2022</v>
      </c>
      <c r="B2023" s="12"/>
      <c r="C2023" s="20"/>
      <c r="D2023" s="18"/>
      <c r="H2023" s="12" t="str">
        <f t="shared" si="100"/>
        <v>0 г. 0 мес. 0 дн.</v>
      </c>
      <c r="V2023" s="12" t="str">
        <f t="shared" si="101"/>
        <v>0 г. 0 мес. 0 дн.</v>
      </c>
      <c r="W2023" s="22"/>
      <c r="X2023" s="72"/>
    </row>
    <row r="2024" spans="1:24" ht="35.1" customHeight="1" x14ac:dyDescent="0.25">
      <c r="A2024" s="12">
        <f t="shared" si="99"/>
        <v>2023</v>
      </c>
      <c r="B2024" s="12"/>
      <c r="C2024" s="20"/>
      <c r="D2024" s="18"/>
      <c r="H2024" s="12" t="str">
        <f t="shared" si="100"/>
        <v>0 г. 0 мес. 0 дн.</v>
      </c>
      <c r="V2024" s="12" t="str">
        <f t="shared" si="101"/>
        <v>0 г. 0 мес. 0 дн.</v>
      </c>
      <c r="W2024" s="22"/>
      <c r="X2024" s="72"/>
    </row>
    <row r="2025" spans="1:24" ht="35.1" customHeight="1" x14ac:dyDescent="0.25">
      <c r="A2025" s="12">
        <f t="shared" si="99"/>
        <v>2024</v>
      </c>
      <c r="B2025" s="12"/>
      <c r="C2025" s="20"/>
      <c r="D2025" s="18"/>
      <c r="H2025" s="12" t="str">
        <f t="shared" si="100"/>
        <v>0 г. 0 мес. 0 дн.</v>
      </c>
      <c r="V2025" s="12" t="str">
        <f t="shared" si="101"/>
        <v>0 г. 0 мес. 0 дн.</v>
      </c>
      <c r="W2025" s="22"/>
      <c r="X2025" s="72"/>
    </row>
    <row r="2026" spans="1:24" ht="35.1" customHeight="1" x14ac:dyDescent="0.25">
      <c r="A2026" s="12">
        <f t="shared" si="99"/>
        <v>2025</v>
      </c>
      <c r="B2026" s="12"/>
      <c r="C2026" s="20"/>
      <c r="D2026" s="18"/>
      <c r="H2026" s="12" t="str">
        <f t="shared" si="100"/>
        <v>0 г. 0 мес. 0 дн.</v>
      </c>
      <c r="V2026" s="12" t="str">
        <f t="shared" si="101"/>
        <v>0 г. 0 мес. 0 дн.</v>
      </c>
      <c r="W2026" s="22"/>
      <c r="X2026" s="72"/>
    </row>
    <row r="2027" spans="1:24" ht="35.1" customHeight="1" x14ac:dyDescent="0.25">
      <c r="A2027" s="12">
        <f t="shared" si="99"/>
        <v>2026</v>
      </c>
      <c r="B2027" s="12"/>
      <c r="C2027" s="20"/>
      <c r="D2027" s="18"/>
      <c r="H2027" s="12" t="str">
        <f t="shared" si="100"/>
        <v>0 г. 0 мес. 0 дн.</v>
      </c>
      <c r="V2027" s="12" t="str">
        <f t="shared" si="101"/>
        <v>0 г. 0 мес. 0 дн.</v>
      </c>
      <c r="W2027" s="22"/>
      <c r="X2027" s="72"/>
    </row>
    <row r="2028" spans="1:24" ht="35.1" customHeight="1" x14ac:dyDescent="0.25">
      <c r="A2028" s="12">
        <f t="shared" si="99"/>
        <v>2027</v>
      </c>
      <c r="B2028" s="12"/>
      <c r="C2028" s="20"/>
      <c r="D2028" s="18"/>
      <c r="H2028" s="12" t="str">
        <f t="shared" si="100"/>
        <v>0 г. 0 мес. 0 дн.</v>
      </c>
      <c r="V2028" s="12" t="str">
        <f t="shared" si="101"/>
        <v>0 г. 0 мес. 0 дн.</v>
      </c>
      <c r="W2028" s="22"/>
      <c r="X2028" s="72"/>
    </row>
    <row r="2029" spans="1:24" ht="35.1" customHeight="1" x14ac:dyDescent="0.25">
      <c r="A2029" s="12">
        <f t="shared" si="99"/>
        <v>2028</v>
      </c>
      <c r="B2029" s="12"/>
      <c r="C2029" s="20"/>
      <c r="D2029" s="18"/>
      <c r="H2029" s="12" t="str">
        <f t="shared" si="100"/>
        <v>0 г. 0 мес. 0 дн.</v>
      </c>
      <c r="V2029" s="12" t="str">
        <f t="shared" si="101"/>
        <v>0 г. 0 мес. 0 дн.</v>
      </c>
      <c r="W2029" s="22"/>
      <c r="X2029" s="72"/>
    </row>
    <row r="2030" spans="1:24" ht="35.1" customHeight="1" x14ac:dyDescent="0.25">
      <c r="A2030" s="12">
        <f t="shared" si="99"/>
        <v>2029</v>
      </c>
      <c r="B2030" s="12"/>
      <c r="C2030" s="20"/>
      <c r="D2030" s="18"/>
      <c r="H2030" s="12" t="str">
        <f t="shared" si="100"/>
        <v>0 г. 0 мес. 0 дн.</v>
      </c>
      <c r="V2030" s="12" t="str">
        <f t="shared" si="101"/>
        <v>0 г. 0 мес. 0 дн.</v>
      </c>
      <c r="W2030" s="22"/>
      <c r="X2030" s="72"/>
    </row>
    <row r="2031" spans="1:24" ht="35.1" customHeight="1" x14ac:dyDescent="0.25">
      <c r="A2031" s="12">
        <f t="shared" si="99"/>
        <v>2030</v>
      </c>
      <c r="B2031" s="12"/>
      <c r="C2031" s="20"/>
      <c r="D2031" s="18"/>
      <c r="H2031" s="12" t="str">
        <f t="shared" si="100"/>
        <v>0 г. 0 мес. 0 дн.</v>
      </c>
      <c r="V2031" s="12" t="str">
        <f t="shared" si="101"/>
        <v>0 г. 0 мес. 0 дн.</v>
      </c>
      <c r="W2031" s="22"/>
      <c r="X2031" s="72"/>
    </row>
    <row r="2032" spans="1:24" ht="35.1" customHeight="1" x14ac:dyDescent="0.25">
      <c r="A2032" s="12">
        <f t="shared" si="99"/>
        <v>2031</v>
      </c>
      <c r="B2032" s="12"/>
      <c r="C2032" s="20"/>
      <c r="D2032" s="18"/>
      <c r="H2032" s="12" t="str">
        <f t="shared" si="100"/>
        <v>0 г. 0 мес. 0 дн.</v>
      </c>
      <c r="V2032" s="12" t="str">
        <f t="shared" si="101"/>
        <v>0 г. 0 мес. 0 дн.</v>
      </c>
      <c r="W2032" s="22"/>
      <c r="X2032" s="72"/>
    </row>
    <row r="2033" spans="1:24" ht="35.1" customHeight="1" x14ac:dyDescent="0.25">
      <c r="A2033" s="12">
        <f t="shared" si="99"/>
        <v>2032</v>
      </c>
      <c r="B2033" s="12"/>
      <c r="C2033" s="20"/>
      <c r="D2033" s="18"/>
      <c r="H2033" s="12" t="str">
        <f t="shared" si="100"/>
        <v>0 г. 0 мес. 0 дн.</v>
      </c>
      <c r="V2033" s="12" t="str">
        <f t="shared" si="101"/>
        <v>0 г. 0 мес. 0 дн.</v>
      </c>
      <c r="W2033" s="22"/>
      <c r="X2033" s="72"/>
    </row>
    <row r="2034" spans="1:24" ht="35.1" customHeight="1" x14ac:dyDescent="0.25">
      <c r="A2034" s="12">
        <f t="shared" si="99"/>
        <v>2033</v>
      </c>
      <c r="B2034" s="12"/>
      <c r="C2034" s="20"/>
      <c r="D2034" s="18"/>
      <c r="H2034" s="12" t="str">
        <f t="shared" si="100"/>
        <v>0 г. 0 мес. 0 дн.</v>
      </c>
      <c r="V2034" s="12" t="str">
        <f t="shared" si="101"/>
        <v>0 г. 0 мес. 0 дн.</v>
      </c>
      <c r="W2034" s="22"/>
      <c r="X2034" s="72"/>
    </row>
    <row r="2035" spans="1:24" ht="35.1" customHeight="1" x14ac:dyDescent="0.25">
      <c r="A2035" s="12">
        <f t="shared" si="99"/>
        <v>2034</v>
      </c>
      <c r="B2035" s="12"/>
      <c r="C2035" s="20"/>
      <c r="D2035" s="18"/>
      <c r="H2035" s="12" t="str">
        <f t="shared" si="100"/>
        <v>0 г. 0 мес. 0 дн.</v>
      </c>
      <c r="V2035" s="12" t="str">
        <f t="shared" si="101"/>
        <v>0 г. 0 мес. 0 дн.</v>
      </c>
      <c r="W2035" s="22"/>
      <c r="X2035" s="72"/>
    </row>
    <row r="2036" spans="1:24" ht="35.1" customHeight="1" x14ac:dyDescent="0.25">
      <c r="A2036" s="12">
        <f t="shared" si="99"/>
        <v>2035</v>
      </c>
      <c r="B2036" s="12"/>
      <c r="C2036" s="20"/>
      <c r="D2036" s="18"/>
      <c r="H2036" s="12" t="str">
        <f t="shared" si="100"/>
        <v>0 г. 0 мес. 0 дн.</v>
      </c>
      <c r="V2036" s="12" t="str">
        <f t="shared" si="101"/>
        <v>0 г. 0 мес. 0 дн.</v>
      </c>
      <c r="W2036" s="22"/>
      <c r="X2036" s="72"/>
    </row>
    <row r="2037" spans="1:24" ht="35.1" customHeight="1" x14ac:dyDescent="0.25">
      <c r="A2037" s="12">
        <f t="shared" si="99"/>
        <v>2036</v>
      </c>
      <c r="B2037" s="12"/>
      <c r="C2037" s="20"/>
      <c r="D2037" s="18"/>
      <c r="H2037" s="12" t="str">
        <f t="shared" si="100"/>
        <v>0 г. 0 мес. 0 дн.</v>
      </c>
      <c r="V2037" s="12" t="str">
        <f t="shared" si="101"/>
        <v>0 г. 0 мес. 0 дн.</v>
      </c>
      <c r="W2037" s="22"/>
      <c r="X2037" s="72"/>
    </row>
    <row r="2038" spans="1:24" ht="35.1" customHeight="1" x14ac:dyDescent="0.25">
      <c r="A2038" s="12">
        <f t="shared" si="99"/>
        <v>2037</v>
      </c>
      <c r="B2038" s="12"/>
      <c r="C2038" s="20"/>
      <c r="D2038" s="18"/>
      <c r="H2038" s="12" t="str">
        <f t="shared" si="100"/>
        <v>0 г. 0 мес. 0 дн.</v>
      </c>
      <c r="V2038" s="12" t="str">
        <f t="shared" si="101"/>
        <v>0 г. 0 мес. 0 дн.</v>
      </c>
      <c r="W2038" s="22"/>
      <c r="X2038" s="72"/>
    </row>
    <row r="2039" spans="1:24" ht="35.1" customHeight="1" x14ac:dyDescent="0.25">
      <c r="A2039" s="12">
        <f t="shared" si="99"/>
        <v>2038</v>
      </c>
      <c r="B2039" s="12"/>
      <c r="C2039" s="20"/>
      <c r="D2039" s="18"/>
      <c r="H2039" s="12" t="str">
        <f t="shared" si="100"/>
        <v>0 г. 0 мес. 0 дн.</v>
      </c>
      <c r="V2039" s="12" t="str">
        <f t="shared" si="101"/>
        <v>0 г. 0 мес. 0 дн.</v>
      </c>
      <c r="W2039" s="22"/>
      <c r="X2039" s="72"/>
    </row>
    <row r="2040" spans="1:24" ht="35.1" customHeight="1" x14ac:dyDescent="0.25">
      <c r="A2040" s="12">
        <f t="shared" si="99"/>
        <v>2039</v>
      </c>
      <c r="B2040" s="12"/>
      <c r="C2040" s="20"/>
      <c r="D2040" s="18"/>
      <c r="H2040" s="12" t="str">
        <f t="shared" si="100"/>
        <v>0 г. 0 мес. 0 дн.</v>
      </c>
      <c r="V2040" s="12" t="str">
        <f t="shared" si="101"/>
        <v>0 г. 0 мес. 0 дн.</v>
      </c>
      <c r="W2040" s="22"/>
      <c r="X2040" s="72"/>
    </row>
    <row r="2041" spans="1:24" ht="35.1" customHeight="1" x14ac:dyDescent="0.25">
      <c r="A2041" s="12">
        <f t="shared" si="99"/>
        <v>2040</v>
      </c>
      <c r="B2041" s="12"/>
      <c r="C2041" s="20"/>
      <c r="D2041" s="18"/>
      <c r="H2041" s="12" t="str">
        <f t="shared" si="100"/>
        <v>0 г. 0 мес. 0 дн.</v>
      </c>
      <c r="V2041" s="12" t="str">
        <f t="shared" si="101"/>
        <v>0 г. 0 мес. 0 дн.</v>
      </c>
      <c r="W2041" s="22"/>
      <c r="X2041" s="72"/>
    </row>
    <row r="2042" spans="1:24" ht="35.1" customHeight="1" x14ac:dyDescent="0.25">
      <c r="A2042" s="12">
        <f t="shared" si="99"/>
        <v>2041</v>
      </c>
      <c r="B2042" s="12"/>
      <c r="C2042" s="20"/>
      <c r="D2042" s="18"/>
      <c r="H2042" s="12" t="str">
        <f t="shared" si="100"/>
        <v>0 г. 0 мес. 0 дн.</v>
      </c>
      <c r="V2042" s="12" t="str">
        <f t="shared" si="101"/>
        <v>0 г. 0 мес. 0 дн.</v>
      </c>
      <c r="W2042" s="22"/>
      <c r="X2042" s="72"/>
    </row>
    <row r="2043" spans="1:24" ht="35.1" customHeight="1" x14ac:dyDescent="0.25">
      <c r="A2043" s="12">
        <f t="shared" si="99"/>
        <v>2042</v>
      </c>
      <c r="B2043" s="12"/>
      <c r="C2043" s="20"/>
      <c r="D2043" s="18"/>
      <c r="H2043" s="12" t="str">
        <f t="shared" si="100"/>
        <v>0 г. 0 мес. 0 дн.</v>
      </c>
      <c r="V2043" s="12" t="str">
        <f t="shared" si="101"/>
        <v>0 г. 0 мес. 0 дн.</v>
      </c>
      <c r="W2043" s="22"/>
      <c r="X2043" s="72"/>
    </row>
    <row r="2044" spans="1:24" ht="35.1" customHeight="1" x14ac:dyDescent="0.25">
      <c r="A2044" s="12">
        <f t="shared" si="99"/>
        <v>2043</v>
      </c>
      <c r="B2044" s="12"/>
      <c r="C2044" s="20"/>
      <c r="D2044" s="18"/>
      <c r="H2044" s="12" t="str">
        <f t="shared" si="100"/>
        <v>0 г. 0 мес. 0 дн.</v>
      </c>
      <c r="V2044" s="12" t="str">
        <f t="shared" si="101"/>
        <v>0 г. 0 мес. 0 дн.</v>
      </c>
      <c r="W2044" s="22"/>
      <c r="X2044" s="72"/>
    </row>
    <row r="2045" spans="1:24" ht="35.1" customHeight="1" x14ac:dyDescent="0.25">
      <c r="A2045" s="12">
        <f t="shared" si="99"/>
        <v>2044</v>
      </c>
      <c r="B2045" s="12"/>
      <c r="C2045" s="20"/>
      <c r="D2045" s="18"/>
      <c r="H2045" s="12" t="str">
        <f t="shared" si="100"/>
        <v>0 г. 0 мес. 0 дн.</v>
      </c>
      <c r="V2045" s="12" t="str">
        <f t="shared" si="101"/>
        <v>0 г. 0 мес. 0 дн.</v>
      </c>
      <c r="W2045" s="22"/>
      <c r="X2045" s="72"/>
    </row>
    <row r="2046" spans="1:24" ht="35.1" customHeight="1" x14ac:dyDescent="0.25">
      <c r="A2046" s="12">
        <f t="shared" si="99"/>
        <v>2045</v>
      </c>
      <c r="B2046" s="12"/>
      <c r="C2046" s="20"/>
      <c r="D2046" s="18"/>
      <c r="H2046" s="12" t="str">
        <f t="shared" si="100"/>
        <v>0 г. 0 мес. 0 дн.</v>
      </c>
      <c r="V2046" s="12" t="str">
        <f t="shared" si="101"/>
        <v>0 г. 0 мес. 0 дн.</v>
      </c>
      <c r="W2046" s="22"/>
      <c r="X2046" s="72"/>
    </row>
    <row r="2047" spans="1:24" ht="35.1" customHeight="1" x14ac:dyDescent="0.25">
      <c r="A2047" s="12">
        <f t="shared" si="99"/>
        <v>2046</v>
      </c>
      <c r="B2047" s="12"/>
      <c r="C2047" s="20"/>
      <c r="D2047" s="18"/>
      <c r="H2047" s="12" t="str">
        <f t="shared" si="100"/>
        <v>0 г. 0 мес. 0 дн.</v>
      </c>
      <c r="V2047" s="12" t="str">
        <f t="shared" si="101"/>
        <v>0 г. 0 мес. 0 дн.</v>
      </c>
      <c r="W2047" s="22"/>
      <c r="X2047" s="72"/>
    </row>
    <row r="2048" spans="1:24" ht="35.1" customHeight="1" x14ac:dyDescent="0.25">
      <c r="A2048" s="12">
        <f t="shared" si="99"/>
        <v>2047</v>
      </c>
      <c r="B2048" s="12"/>
      <c r="C2048" s="20"/>
      <c r="D2048" s="18"/>
      <c r="H2048" s="12" t="str">
        <f t="shared" si="100"/>
        <v>0 г. 0 мес. 0 дн.</v>
      </c>
      <c r="V2048" s="12" t="str">
        <f t="shared" si="101"/>
        <v>0 г. 0 мес. 0 дн.</v>
      </c>
      <c r="W2048" s="22"/>
      <c r="X2048" s="72"/>
    </row>
    <row r="2049" spans="1:24" ht="35.1" customHeight="1" x14ac:dyDescent="0.25">
      <c r="A2049" s="12">
        <f t="shared" ref="A2049:A2112" si="102">ROW(A2048)</f>
        <v>2048</v>
      </c>
      <c r="B2049" s="12"/>
      <c r="C2049" s="20"/>
      <c r="D2049" s="18"/>
      <c r="H2049" s="12" t="str">
        <f t="shared" si="100"/>
        <v>0 г. 0 мес. 0 дн.</v>
      </c>
      <c r="V2049" s="12" t="str">
        <f t="shared" si="101"/>
        <v>0 г. 0 мес. 0 дн.</v>
      </c>
      <c r="W2049" s="22"/>
      <c r="X2049" s="72"/>
    </row>
    <row r="2050" spans="1:24" ht="35.1" customHeight="1" x14ac:dyDescent="0.25">
      <c r="A2050" s="12">
        <f t="shared" si="102"/>
        <v>2049</v>
      </c>
      <c r="B2050" s="12"/>
      <c r="C2050" s="20"/>
      <c r="D2050" s="18"/>
      <c r="H2050" s="12" t="str">
        <f t="shared" si="100"/>
        <v>0 г. 0 мес. 0 дн.</v>
      </c>
      <c r="V2050" s="12" t="str">
        <f t="shared" si="101"/>
        <v>0 г. 0 мес. 0 дн.</v>
      </c>
      <c r="W2050" s="22"/>
      <c r="X2050" s="72"/>
    </row>
    <row r="2051" spans="1:24" ht="35.1" customHeight="1" x14ac:dyDescent="0.25">
      <c r="A2051" s="12">
        <f t="shared" si="102"/>
        <v>2050</v>
      </c>
      <c r="B2051" s="12"/>
      <c r="C2051" s="20"/>
      <c r="D2051" s="18"/>
      <c r="H2051" s="12" t="str">
        <f t="shared" si="100"/>
        <v>0 г. 0 мес. 0 дн.</v>
      </c>
      <c r="V2051" s="12" t="str">
        <f t="shared" si="101"/>
        <v>0 г. 0 мес. 0 дн.</v>
      </c>
      <c r="W2051" s="22"/>
      <c r="X2051" s="72"/>
    </row>
    <row r="2052" spans="1:24" ht="35.1" customHeight="1" x14ac:dyDescent="0.25">
      <c r="A2052" s="12">
        <f t="shared" si="102"/>
        <v>2051</v>
      </c>
      <c r="B2052" s="12"/>
      <c r="C2052" s="20"/>
      <c r="D2052" s="18"/>
      <c r="H2052" s="12" t="str">
        <f t="shared" si="100"/>
        <v>0 г. 0 мес. 0 дн.</v>
      </c>
      <c r="V2052" s="12" t="str">
        <f t="shared" si="101"/>
        <v>0 г. 0 мес. 0 дн.</v>
      </c>
      <c r="W2052" s="22"/>
      <c r="X2052" s="72"/>
    </row>
    <row r="2053" spans="1:24" ht="35.1" customHeight="1" x14ac:dyDescent="0.25">
      <c r="A2053" s="12">
        <f t="shared" si="102"/>
        <v>2052</v>
      </c>
      <c r="B2053" s="12"/>
      <c r="C2053" s="20"/>
      <c r="D2053" s="18"/>
      <c r="H2053" s="12" t="str">
        <f t="shared" si="100"/>
        <v>0 г. 0 мес. 0 дн.</v>
      </c>
      <c r="V2053" s="12" t="str">
        <f t="shared" si="101"/>
        <v>0 г. 0 мес. 0 дн.</v>
      </c>
      <c r="W2053" s="22"/>
      <c r="X2053" s="72"/>
    </row>
    <row r="2054" spans="1:24" ht="35.1" customHeight="1" x14ac:dyDescent="0.25">
      <c r="A2054" s="12">
        <f t="shared" si="102"/>
        <v>2053</v>
      </c>
      <c r="B2054" s="12"/>
      <c r="C2054" s="20"/>
      <c r="D2054" s="18"/>
      <c r="H2054" s="12" t="str">
        <f t="shared" ref="H2054:H2117" si="103">DATEDIF(G2054,D2054,"y") &amp; " г. " &amp; DATEDIF(G2054,D2054,"ym") &amp; " мес. " &amp; DATEDIF(G2054,D2054,"md") &amp; " дн."</f>
        <v>0 г. 0 мес. 0 дн.</v>
      </c>
      <c r="V2054" s="12" t="str">
        <f t="shared" si="101"/>
        <v>0 г. 0 мес. 0 дн.</v>
      </c>
      <c r="W2054" s="22"/>
      <c r="X2054" s="72"/>
    </row>
    <row r="2055" spans="1:24" ht="35.1" customHeight="1" x14ac:dyDescent="0.25">
      <c r="A2055" s="12">
        <f t="shared" si="102"/>
        <v>2054</v>
      </c>
      <c r="B2055" s="12"/>
      <c r="C2055" s="20"/>
      <c r="D2055" s="18"/>
      <c r="H2055" s="12" t="str">
        <f t="shared" si="103"/>
        <v>0 г. 0 мес. 0 дн.</v>
      </c>
      <c r="V2055" s="12" t="str">
        <f t="shared" si="101"/>
        <v>0 г. 0 мес. 0 дн.</v>
      </c>
      <c r="W2055" s="22"/>
      <c r="X2055" s="72"/>
    </row>
    <row r="2056" spans="1:24" ht="35.1" customHeight="1" x14ac:dyDescent="0.25">
      <c r="A2056" s="12">
        <f t="shared" si="102"/>
        <v>2055</v>
      </c>
      <c r="B2056" s="12"/>
      <c r="C2056" s="20"/>
      <c r="D2056" s="18"/>
      <c r="H2056" s="12" t="str">
        <f t="shared" si="103"/>
        <v>0 г. 0 мес. 0 дн.</v>
      </c>
      <c r="V2056" s="12" t="str">
        <f t="shared" si="101"/>
        <v>0 г. 0 мес. 0 дн.</v>
      </c>
      <c r="W2056" s="22"/>
      <c r="X2056" s="72"/>
    </row>
    <row r="2057" spans="1:24" ht="35.1" customHeight="1" x14ac:dyDescent="0.25">
      <c r="A2057" s="12">
        <f t="shared" si="102"/>
        <v>2056</v>
      </c>
      <c r="B2057" s="12"/>
      <c r="C2057" s="20"/>
      <c r="D2057" s="18"/>
      <c r="H2057" s="12" t="str">
        <f t="shared" si="103"/>
        <v>0 г. 0 мес. 0 дн.</v>
      </c>
      <c r="V2057" s="12" t="str">
        <f t="shared" si="101"/>
        <v>0 г. 0 мес. 0 дн.</v>
      </c>
      <c r="W2057" s="22"/>
      <c r="X2057" s="72"/>
    </row>
    <row r="2058" spans="1:24" ht="35.1" customHeight="1" x14ac:dyDescent="0.25">
      <c r="A2058" s="12">
        <f t="shared" si="102"/>
        <v>2057</v>
      </c>
      <c r="B2058" s="12"/>
      <c r="C2058" s="20"/>
      <c r="D2058" s="18"/>
      <c r="H2058" s="12" t="str">
        <f t="shared" si="103"/>
        <v>0 г. 0 мес. 0 дн.</v>
      </c>
      <c r="V2058" s="12" t="str">
        <f t="shared" si="101"/>
        <v>0 г. 0 мес. 0 дн.</v>
      </c>
      <c r="W2058" s="22"/>
      <c r="X2058" s="72"/>
    </row>
    <row r="2059" spans="1:24" ht="35.1" customHeight="1" x14ac:dyDescent="0.25">
      <c r="A2059" s="12">
        <f t="shared" si="102"/>
        <v>2058</v>
      </c>
      <c r="B2059" s="12"/>
      <c r="C2059" s="20"/>
      <c r="D2059" s="18"/>
      <c r="H2059" s="12" t="str">
        <f t="shared" si="103"/>
        <v>0 г. 0 мес. 0 дн.</v>
      </c>
      <c r="V2059" s="12" t="str">
        <f t="shared" si="101"/>
        <v>0 г. 0 мес. 0 дн.</v>
      </c>
      <c r="W2059" s="22"/>
      <c r="X2059" s="72"/>
    </row>
    <row r="2060" spans="1:24" ht="35.1" customHeight="1" x14ac:dyDescent="0.25">
      <c r="A2060" s="12">
        <f t="shared" si="102"/>
        <v>2059</v>
      </c>
      <c r="B2060" s="12"/>
      <c r="C2060" s="20"/>
      <c r="D2060" s="18"/>
      <c r="H2060" s="12" t="str">
        <f t="shared" si="103"/>
        <v>0 г. 0 мес. 0 дн.</v>
      </c>
      <c r="V2060" s="12" t="str">
        <f t="shared" si="101"/>
        <v>0 г. 0 мес. 0 дн.</v>
      </c>
      <c r="W2060" s="22"/>
      <c r="X2060" s="72"/>
    </row>
    <row r="2061" spans="1:24" ht="35.1" customHeight="1" x14ac:dyDescent="0.25">
      <c r="A2061" s="12">
        <f t="shared" si="102"/>
        <v>2060</v>
      </c>
      <c r="B2061" s="12"/>
      <c r="C2061" s="20"/>
      <c r="D2061" s="18"/>
      <c r="H2061" s="12" t="str">
        <f t="shared" si="103"/>
        <v>0 г. 0 мес. 0 дн.</v>
      </c>
      <c r="V2061" s="12" t="str">
        <f t="shared" si="101"/>
        <v>0 г. 0 мес. 0 дн.</v>
      </c>
      <c r="W2061" s="22"/>
      <c r="X2061" s="72"/>
    </row>
    <row r="2062" spans="1:24" ht="35.1" customHeight="1" x14ac:dyDescent="0.25">
      <c r="A2062" s="12">
        <f t="shared" si="102"/>
        <v>2061</v>
      </c>
      <c r="B2062" s="12"/>
      <c r="C2062" s="20"/>
      <c r="D2062" s="18"/>
      <c r="H2062" s="12" t="str">
        <f t="shared" si="103"/>
        <v>0 г. 0 мес. 0 дн.</v>
      </c>
      <c r="V2062" s="12" t="str">
        <f t="shared" si="101"/>
        <v>0 г. 0 мес. 0 дн.</v>
      </c>
      <c r="W2062" s="22"/>
      <c r="X2062" s="72"/>
    </row>
    <row r="2063" spans="1:24" ht="35.1" customHeight="1" x14ac:dyDescent="0.25">
      <c r="A2063" s="12">
        <f t="shared" si="102"/>
        <v>2062</v>
      </c>
      <c r="B2063" s="12"/>
      <c r="C2063" s="20"/>
      <c r="D2063" s="18"/>
      <c r="H2063" s="12" t="str">
        <f t="shared" si="103"/>
        <v>0 г. 0 мес. 0 дн.</v>
      </c>
      <c r="V2063" s="12" t="str">
        <f t="shared" si="101"/>
        <v>0 г. 0 мес. 0 дн.</v>
      </c>
      <c r="W2063" s="22"/>
      <c r="X2063" s="72"/>
    </row>
    <row r="2064" spans="1:24" ht="35.1" customHeight="1" x14ac:dyDescent="0.25">
      <c r="A2064" s="12">
        <f t="shared" si="102"/>
        <v>2063</v>
      </c>
      <c r="B2064" s="12"/>
      <c r="C2064" s="20"/>
      <c r="D2064" s="18"/>
      <c r="H2064" s="12" t="str">
        <f t="shared" si="103"/>
        <v>0 г. 0 мес. 0 дн.</v>
      </c>
      <c r="V2064" s="12" t="str">
        <f t="shared" si="101"/>
        <v>0 г. 0 мес. 0 дн.</v>
      </c>
      <c r="W2064" s="22"/>
      <c r="X2064" s="72"/>
    </row>
    <row r="2065" spans="1:24" ht="35.1" customHeight="1" x14ac:dyDescent="0.25">
      <c r="A2065" s="12">
        <f t="shared" si="102"/>
        <v>2064</v>
      </c>
      <c r="B2065" s="12"/>
      <c r="C2065" s="20"/>
      <c r="D2065" s="18"/>
      <c r="H2065" s="12" t="str">
        <f t="shared" si="103"/>
        <v>0 г. 0 мес. 0 дн.</v>
      </c>
      <c r="V2065" s="12" t="str">
        <f t="shared" si="101"/>
        <v>0 г. 0 мес. 0 дн.</v>
      </c>
      <c r="W2065" s="22"/>
      <c r="X2065" s="72"/>
    </row>
    <row r="2066" spans="1:24" ht="35.1" customHeight="1" x14ac:dyDescent="0.25">
      <c r="A2066" s="12">
        <f t="shared" si="102"/>
        <v>2065</v>
      </c>
      <c r="B2066" s="12"/>
      <c r="C2066" s="20"/>
      <c r="D2066" s="18"/>
      <c r="H2066" s="12" t="str">
        <f t="shared" si="103"/>
        <v>0 г. 0 мес. 0 дн.</v>
      </c>
      <c r="V2066" s="12" t="str">
        <f t="shared" si="101"/>
        <v>0 г. 0 мес. 0 дн.</v>
      </c>
      <c r="W2066" s="22"/>
      <c r="X2066" s="72"/>
    </row>
    <row r="2067" spans="1:24" ht="35.1" customHeight="1" x14ac:dyDescent="0.25">
      <c r="A2067" s="12">
        <f t="shared" si="102"/>
        <v>2066</v>
      </c>
      <c r="B2067" s="12"/>
      <c r="C2067" s="20"/>
      <c r="D2067" s="18"/>
      <c r="H2067" s="12" t="str">
        <f t="shared" si="103"/>
        <v>0 г. 0 мес. 0 дн.</v>
      </c>
      <c r="V2067" s="12" t="str">
        <f t="shared" si="101"/>
        <v>0 г. 0 мес. 0 дн.</v>
      </c>
      <c r="W2067" s="22"/>
      <c r="X2067" s="72"/>
    </row>
    <row r="2068" spans="1:24" ht="35.1" customHeight="1" x14ac:dyDescent="0.25">
      <c r="A2068" s="12">
        <f t="shared" si="102"/>
        <v>2067</v>
      </c>
      <c r="B2068" s="12"/>
      <c r="C2068" s="20"/>
      <c r="D2068" s="18"/>
      <c r="H2068" s="12" t="str">
        <f t="shared" si="103"/>
        <v>0 г. 0 мес. 0 дн.</v>
      </c>
      <c r="V2068" s="12" t="str">
        <f t="shared" si="101"/>
        <v>0 г. 0 мес. 0 дн.</v>
      </c>
      <c r="W2068" s="22"/>
      <c r="X2068" s="72"/>
    </row>
    <row r="2069" spans="1:24" ht="35.1" customHeight="1" x14ac:dyDescent="0.25">
      <c r="A2069" s="12">
        <f t="shared" si="102"/>
        <v>2068</v>
      </c>
      <c r="B2069" s="12"/>
      <c r="C2069" s="20"/>
      <c r="D2069" s="18"/>
      <c r="H2069" s="12" t="str">
        <f t="shared" si="103"/>
        <v>0 г. 0 мес. 0 дн.</v>
      </c>
      <c r="V2069" s="12" t="str">
        <f t="shared" si="101"/>
        <v>0 г. 0 мес. 0 дн.</v>
      </c>
      <c r="W2069" s="22"/>
      <c r="X2069" s="72"/>
    </row>
    <row r="2070" spans="1:24" ht="35.1" customHeight="1" x14ac:dyDescent="0.25">
      <c r="A2070" s="12">
        <f t="shared" si="102"/>
        <v>2069</v>
      </c>
      <c r="B2070" s="12"/>
      <c r="C2070" s="20"/>
      <c r="D2070" s="18"/>
      <c r="H2070" s="12" t="str">
        <f t="shared" si="103"/>
        <v>0 г. 0 мес. 0 дн.</v>
      </c>
      <c r="V2070" s="12" t="str">
        <f t="shared" si="101"/>
        <v>0 г. 0 мес. 0 дн.</v>
      </c>
      <c r="W2070" s="22"/>
      <c r="X2070" s="72"/>
    </row>
    <row r="2071" spans="1:24" ht="35.1" customHeight="1" x14ac:dyDescent="0.25">
      <c r="A2071" s="12">
        <f t="shared" si="102"/>
        <v>2070</v>
      </c>
      <c r="B2071" s="12"/>
      <c r="C2071" s="20"/>
      <c r="D2071" s="18"/>
      <c r="H2071" s="12" t="str">
        <f t="shared" si="103"/>
        <v>0 г. 0 мес. 0 дн.</v>
      </c>
      <c r="V2071" s="12" t="str">
        <f t="shared" si="101"/>
        <v>0 г. 0 мес. 0 дн.</v>
      </c>
      <c r="W2071" s="22"/>
      <c r="X2071" s="72"/>
    </row>
    <row r="2072" spans="1:24" ht="35.1" customHeight="1" x14ac:dyDescent="0.25">
      <c r="A2072" s="12">
        <f t="shared" si="102"/>
        <v>2071</v>
      </c>
      <c r="B2072" s="12"/>
      <c r="C2072" s="20"/>
      <c r="D2072" s="18"/>
      <c r="H2072" s="12" t="str">
        <f t="shared" si="103"/>
        <v>0 г. 0 мес. 0 дн.</v>
      </c>
      <c r="V2072" s="12" t="str">
        <f t="shared" ref="V2072:V2135" si="104">DATEDIF(D2072,T2072,"y") &amp; " г. " &amp; DATEDIF(D2072,T2072,"ym") &amp; " мес. " &amp; DATEDIF(D2072,T2072,"md") &amp; " дн."</f>
        <v>0 г. 0 мес. 0 дн.</v>
      </c>
      <c r="W2072" s="22"/>
      <c r="X2072" s="72"/>
    </row>
    <row r="2073" spans="1:24" ht="35.1" customHeight="1" x14ac:dyDescent="0.25">
      <c r="A2073" s="12">
        <f t="shared" si="102"/>
        <v>2072</v>
      </c>
      <c r="B2073" s="12"/>
      <c r="C2073" s="20"/>
      <c r="D2073" s="18"/>
      <c r="H2073" s="12" t="str">
        <f t="shared" si="103"/>
        <v>0 г. 0 мес. 0 дн.</v>
      </c>
      <c r="V2073" s="12" t="str">
        <f t="shared" si="104"/>
        <v>0 г. 0 мес. 0 дн.</v>
      </c>
      <c r="W2073" s="22"/>
      <c r="X2073" s="72"/>
    </row>
    <row r="2074" spans="1:24" ht="35.1" customHeight="1" x14ac:dyDescent="0.25">
      <c r="A2074" s="12">
        <f t="shared" si="102"/>
        <v>2073</v>
      </c>
      <c r="B2074" s="12"/>
      <c r="C2074" s="20"/>
      <c r="D2074" s="18"/>
      <c r="H2074" s="12" t="str">
        <f t="shared" si="103"/>
        <v>0 г. 0 мес. 0 дн.</v>
      </c>
      <c r="V2074" s="12" t="str">
        <f t="shared" si="104"/>
        <v>0 г. 0 мес. 0 дн.</v>
      </c>
      <c r="W2074" s="22"/>
      <c r="X2074" s="72"/>
    </row>
    <row r="2075" spans="1:24" ht="35.1" customHeight="1" x14ac:dyDescent="0.25">
      <c r="A2075" s="12">
        <f t="shared" si="102"/>
        <v>2074</v>
      </c>
      <c r="B2075" s="12"/>
      <c r="C2075" s="20"/>
      <c r="D2075" s="18"/>
      <c r="H2075" s="12" t="str">
        <f t="shared" si="103"/>
        <v>0 г. 0 мес. 0 дн.</v>
      </c>
      <c r="V2075" s="12" t="str">
        <f t="shared" si="104"/>
        <v>0 г. 0 мес. 0 дн.</v>
      </c>
      <c r="W2075" s="22"/>
      <c r="X2075" s="72"/>
    </row>
    <row r="2076" spans="1:24" ht="35.1" customHeight="1" x14ac:dyDescent="0.25">
      <c r="A2076" s="12">
        <f t="shared" si="102"/>
        <v>2075</v>
      </c>
      <c r="B2076" s="12"/>
      <c r="C2076" s="20"/>
      <c r="D2076" s="18"/>
      <c r="H2076" s="12" t="str">
        <f t="shared" si="103"/>
        <v>0 г. 0 мес. 0 дн.</v>
      </c>
      <c r="V2076" s="12" t="str">
        <f t="shared" si="104"/>
        <v>0 г. 0 мес. 0 дн.</v>
      </c>
      <c r="W2076" s="22"/>
      <c r="X2076" s="72"/>
    </row>
    <row r="2077" spans="1:24" ht="35.1" customHeight="1" x14ac:dyDescent="0.25">
      <c r="A2077" s="12">
        <f t="shared" si="102"/>
        <v>2076</v>
      </c>
      <c r="B2077" s="12"/>
      <c r="C2077" s="20"/>
      <c r="D2077" s="18"/>
      <c r="H2077" s="12" t="str">
        <f t="shared" si="103"/>
        <v>0 г. 0 мес. 0 дн.</v>
      </c>
      <c r="V2077" s="12" t="str">
        <f t="shared" si="104"/>
        <v>0 г. 0 мес. 0 дн.</v>
      </c>
      <c r="W2077" s="22"/>
      <c r="X2077" s="72"/>
    </row>
    <row r="2078" spans="1:24" ht="35.1" customHeight="1" x14ac:dyDescent="0.25">
      <c r="A2078" s="12">
        <f t="shared" si="102"/>
        <v>2077</v>
      </c>
      <c r="B2078" s="12"/>
      <c r="C2078" s="20"/>
      <c r="D2078" s="18"/>
      <c r="H2078" s="12" t="str">
        <f t="shared" si="103"/>
        <v>0 г. 0 мес. 0 дн.</v>
      </c>
      <c r="V2078" s="12" t="str">
        <f t="shared" si="104"/>
        <v>0 г. 0 мес. 0 дн.</v>
      </c>
      <c r="W2078" s="22"/>
      <c r="X2078" s="72"/>
    </row>
    <row r="2079" spans="1:24" ht="35.1" customHeight="1" x14ac:dyDescent="0.25">
      <c r="A2079" s="12">
        <f t="shared" si="102"/>
        <v>2078</v>
      </c>
      <c r="B2079" s="12"/>
      <c r="C2079" s="20"/>
      <c r="D2079" s="18"/>
      <c r="H2079" s="12" t="str">
        <f t="shared" si="103"/>
        <v>0 г. 0 мес. 0 дн.</v>
      </c>
      <c r="V2079" s="12" t="str">
        <f t="shared" si="104"/>
        <v>0 г. 0 мес. 0 дн.</v>
      </c>
      <c r="W2079" s="22"/>
      <c r="X2079" s="72"/>
    </row>
    <row r="2080" spans="1:24" ht="35.1" customHeight="1" x14ac:dyDescent="0.25">
      <c r="A2080" s="12">
        <f t="shared" si="102"/>
        <v>2079</v>
      </c>
      <c r="B2080" s="12"/>
      <c r="C2080" s="20"/>
      <c r="D2080" s="18"/>
      <c r="H2080" s="12" t="str">
        <f t="shared" si="103"/>
        <v>0 г. 0 мес. 0 дн.</v>
      </c>
      <c r="V2080" s="12" t="str">
        <f t="shared" si="104"/>
        <v>0 г. 0 мес. 0 дн.</v>
      </c>
      <c r="W2080" s="22"/>
      <c r="X2080" s="72"/>
    </row>
    <row r="2081" spans="1:24" ht="35.1" customHeight="1" x14ac:dyDescent="0.25">
      <c r="A2081" s="12">
        <f t="shared" si="102"/>
        <v>2080</v>
      </c>
      <c r="B2081" s="12"/>
      <c r="C2081" s="20"/>
      <c r="D2081" s="18"/>
      <c r="H2081" s="12" t="str">
        <f t="shared" si="103"/>
        <v>0 г. 0 мес. 0 дн.</v>
      </c>
      <c r="V2081" s="12" t="str">
        <f t="shared" si="104"/>
        <v>0 г. 0 мес. 0 дн.</v>
      </c>
      <c r="W2081" s="22"/>
      <c r="X2081" s="72"/>
    </row>
    <row r="2082" spans="1:24" ht="35.1" customHeight="1" x14ac:dyDescent="0.25">
      <c r="A2082" s="12">
        <f t="shared" si="102"/>
        <v>2081</v>
      </c>
      <c r="B2082" s="12"/>
      <c r="C2082" s="20"/>
      <c r="D2082" s="18"/>
      <c r="H2082" s="12" t="str">
        <f t="shared" si="103"/>
        <v>0 г. 0 мес. 0 дн.</v>
      </c>
      <c r="V2082" s="12" t="str">
        <f t="shared" si="104"/>
        <v>0 г. 0 мес. 0 дн.</v>
      </c>
      <c r="W2082" s="22"/>
      <c r="X2082" s="72"/>
    </row>
    <row r="2083" spans="1:24" ht="35.1" customHeight="1" x14ac:dyDescent="0.25">
      <c r="A2083" s="12">
        <f t="shared" si="102"/>
        <v>2082</v>
      </c>
      <c r="B2083" s="12"/>
      <c r="C2083" s="20"/>
      <c r="D2083" s="18"/>
      <c r="H2083" s="12" t="str">
        <f t="shared" si="103"/>
        <v>0 г. 0 мес. 0 дн.</v>
      </c>
      <c r="V2083" s="12" t="str">
        <f t="shared" si="104"/>
        <v>0 г. 0 мес. 0 дн.</v>
      </c>
      <c r="W2083" s="22"/>
      <c r="X2083" s="72"/>
    </row>
    <row r="2084" spans="1:24" ht="35.1" customHeight="1" x14ac:dyDescent="0.25">
      <c r="A2084" s="12">
        <f t="shared" si="102"/>
        <v>2083</v>
      </c>
      <c r="B2084" s="12"/>
      <c r="C2084" s="20"/>
      <c r="D2084" s="18"/>
      <c r="H2084" s="12" t="str">
        <f t="shared" si="103"/>
        <v>0 г. 0 мес. 0 дн.</v>
      </c>
      <c r="V2084" s="12" t="str">
        <f t="shared" si="104"/>
        <v>0 г. 0 мес. 0 дн.</v>
      </c>
      <c r="W2084" s="22"/>
      <c r="X2084" s="72"/>
    </row>
    <row r="2085" spans="1:24" ht="35.1" customHeight="1" x14ac:dyDescent="0.25">
      <c r="A2085" s="12">
        <f t="shared" si="102"/>
        <v>2084</v>
      </c>
      <c r="B2085" s="12"/>
      <c r="C2085" s="20"/>
      <c r="D2085" s="18"/>
      <c r="H2085" s="12" t="str">
        <f t="shared" si="103"/>
        <v>0 г. 0 мес. 0 дн.</v>
      </c>
      <c r="V2085" s="12" t="str">
        <f t="shared" si="104"/>
        <v>0 г. 0 мес. 0 дн.</v>
      </c>
      <c r="W2085" s="22"/>
      <c r="X2085" s="72"/>
    </row>
    <row r="2086" spans="1:24" ht="35.1" customHeight="1" x14ac:dyDescent="0.25">
      <c r="A2086" s="12">
        <f t="shared" si="102"/>
        <v>2085</v>
      </c>
      <c r="B2086" s="12"/>
      <c r="C2086" s="20"/>
      <c r="D2086" s="18"/>
      <c r="H2086" s="12" t="str">
        <f t="shared" si="103"/>
        <v>0 г. 0 мес. 0 дн.</v>
      </c>
      <c r="V2086" s="12" t="str">
        <f t="shared" si="104"/>
        <v>0 г. 0 мес. 0 дн.</v>
      </c>
      <c r="W2086" s="22"/>
      <c r="X2086" s="72"/>
    </row>
    <row r="2087" spans="1:24" ht="35.1" customHeight="1" x14ac:dyDescent="0.25">
      <c r="A2087" s="12">
        <f t="shared" si="102"/>
        <v>2086</v>
      </c>
      <c r="B2087" s="12"/>
      <c r="C2087" s="20"/>
      <c r="D2087" s="18"/>
      <c r="H2087" s="12" t="str">
        <f t="shared" si="103"/>
        <v>0 г. 0 мес. 0 дн.</v>
      </c>
      <c r="V2087" s="12" t="str">
        <f t="shared" si="104"/>
        <v>0 г. 0 мес. 0 дн.</v>
      </c>
      <c r="W2087" s="22"/>
      <c r="X2087" s="72"/>
    </row>
    <row r="2088" spans="1:24" ht="35.1" customHeight="1" x14ac:dyDescent="0.25">
      <c r="A2088" s="12">
        <f t="shared" si="102"/>
        <v>2087</v>
      </c>
      <c r="B2088" s="12"/>
      <c r="C2088" s="20"/>
      <c r="D2088" s="18"/>
      <c r="H2088" s="12" t="str">
        <f t="shared" si="103"/>
        <v>0 г. 0 мес. 0 дн.</v>
      </c>
      <c r="V2088" s="12" t="str">
        <f t="shared" si="104"/>
        <v>0 г. 0 мес. 0 дн.</v>
      </c>
      <c r="W2088" s="22"/>
      <c r="X2088" s="72"/>
    </row>
    <row r="2089" spans="1:24" ht="35.1" customHeight="1" x14ac:dyDescent="0.25">
      <c r="A2089" s="12">
        <f t="shared" si="102"/>
        <v>2088</v>
      </c>
      <c r="B2089" s="12"/>
      <c r="C2089" s="20"/>
      <c r="D2089" s="18"/>
      <c r="H2089" s="12" t="str">
        <f t="shared" si="103"/>
        <v>0 г. 0 мес. 0 дн.</v>
      </c>
      <c r="V2089" s="12" t="str">
        <f t="shared" si="104"/>
        <v>0 г. 0 мес. 0 дн.</v>
      </c>
      <c r="W2089" s="22"/>
      <c r="X2089" s="72"/>
    </row>
    <row r="2090" spans="1:24" ht="35.1" customHeight="1" x14ac:dyDescent="0.25">
      <c r="A2090" s="12">
        <f t="shared" si="102"/>
        <v>2089</v>
      </c>
      <c r="B2090" s="12"/>
      <c r="C2090" s="20"/>
      <c r="D2090" s="18"/>
      <c r="H2090" s="12" t="str">
        <f t="shared" si="103"/>
        <v>0 г. 0 мес. 0 дн.</v>
      </c>
      <c r="V2090" s="12" t="str">
        <f t="shared" si="104"/>
        <v>0 г. 0 мес. 0 дн.</v>
      </c>
      <c r="W2090" s="22"/>
      <c r="X2090" s="72"/>
    </row>
    <row r="2091" spans="1:24" ht="35.1" customHeight="1" x14ac:dyDescent="0.25">
      <c r="A2091" s="12">
        <f t="shared" si="102"/>
        <v>2090</v>
      </c>
      <c r="B2091" s="12"/>
      <c r="C2091" s="20"/>
      <c r="D2091" s="18"/>
      <c r="H2091" s="12" t="str">
        <f t="shared" si="103"/>
        <v>0 г. 0 мес. 0 дн.</v>
      </c>
      <c r="V2091" s="12" t="str">
        <f t="shared" si="104"/>
        <v>0 г. 0 мес. 0 дн.</v>
      </c>
      <c r="W2091" s="22"/>
      <c r="X2091" s="72"/>
    </row>
    <row r="2092" spans="1:24" ht="35.1" customHeight="1" x14ac:dyDescent="0.25">
      <c r="A2092" s="12">
        <f t="shared" si="102"/>
        <v>2091</v>
      </c>
      <c r="B2092" s="12"/>
      <c r="C2092" s="20"/>
      <c r="D2092" s="18"/>
      <c r="H2092" s="12" t="str">
        <f t="shared" si="103"/>
        <v>0 г. 0 мес. 0 дн.</v>
      </c>
      <c r="V2092" s="12" t="str">
        <f t="shared" si="104"/>
        <v>0 г. 0 мес. 0 дн.</v>
      </c>
      <c r="W2092" s="22"/>
      <c r="X2092" s="72"/>
    </row>
    <row r="2093" spans="1:24" ht="35.1" customHeight="1" x14ac:dyDescent="0.25">
      <c r="A2093" s="12">
        <f t="shared" si="102"/>
        <v>2092</v>
      </c>
      <c r="B2093" s="12"/>
      <c r="C2093" s="20"/>
      <c r="D2093" s="18"/>
      <c r="H2093" s="12" t="str">
        <f t="shared" si="103"/>
        <v>0 г. 0 мес. 0 дн.</v>
      </c>
      <c r="V2093" s="12" t="str">
        <f t="shared" si="104"/>
        <v>0 г. 0 мес. 0 дн.</v>
      </c>
      <c r="W2093" s="22"/>
      <c r="X2093" s="72"/>
    </row>
    <row r="2094" spans="1:24" ht="35.1" customHeight="1" x14ac:dyDescent="0.25">
      <c r="A2094" s="12">
        <f t="shared" si="102"/>
        <v>2093</v>
      </c>
      <c r="B2094" s="12"/>
      <c r="C2094" s="20"/>
      <c r="D2094" s="18"/>
      <c r="H2094" s="12" t="str">
        <f t="shared" si="103"/>
        <v>0 г. 0 мес. 0 дн.</v>
      </c>
      <c r="V2094" s="12" t="str">
        <f t="shared" si="104"/>
        <v>0 г. 0 мес. 0 дн.</v>
      </c>
      <c r="W2094" s="22"/>
      <c r="X2094" s="72"/>
    </row>
    <row r="2095" spans="1:24" ht="35.1" customHeight="1" x14ac:dyDescent="0.25">
      <c r="A2095" s="12">
        <f t="shared" si="102"/>
        <v>2094</v>
      </c>
      <c r="B2095" s="12"/>
      <c r="C2095" s="20"/>
      <c r="D2095" s="18"/>
      <c r="H2095" s="12" t="str">
        <f t="shared" si="103"/>
        <v>0 г. 0 мес. 0 дн.</v>
      </c>
      <c r="V2095" s="12" t="str">
        <f t="shared" si="104"/>
        <v>0 г. 0 мес. 0 дн.</v>
      </c>
      <c r="W2095" s="22"/>
      <c r="X2095" s="72"/>
    </row>
    <row r="2096" spans="1:24" ht="35.1" customHeight="1" x14ac:dyDescent="0.25">
      <c r="A2096" s="12">
        <f t="shared" si="102"/>
        <v>2095</v>
      </c>
      <c r="B2096" s="12"/>
      <c r="C2096" s="20"/>
      <c r="D2096" s="18"/>
      <c r="H2096" s="12" t="str">
        <f t="shared" si="103"/>
        <v>0 г. 0 мес. 0 дн.</v>
      </c>
      <c r="V2096" s="12" t="str">
        <f t="shared" si="104"/>
        <v>0 г. 0 мес. 0 дн.</v>
      </c>
      <c r="W2096" s="22"/>
      <c r="X2096" s="72"/>
    </row>
    <row r="2097" spans="1:24" ht="35.1" customHeight="1" x14ac:dyDescent="0.25">
      <c r="A2097" s="12">
        <f t="shared" si="102"/>
        <v>2096</v>
      </c>
      <c r="B2097" s="12"/>
      <c r="C2097" s="20"/>
      <c r="D2097" s="18"/>
      <c r="H2097" s="12" t="str">
        <f t="shared" si="103"/>
        <v>0 г. 0 мес. 0 дн.</v>
      </c>
      <c r="V2097" s="12" t="str">
        <f t="shared" si="104"/>
        <v>0 г. 0 мес. 0 дн.</v>
      </c>
      <c r="W2097" s="22"/>
      <c r="X2097" s="72"/>
    </row>
    <row r="2098" spans="1:24" ht="35.1" customHeight="1" x14ac:dyDescent="0.25">
      <c r="A2098" s="12">
        <f t="shared" si="102"/>
        <v>2097</v>
      </c>
      <c r="B2098" s="12"/>
      <c r="C2098" s="20"/>
      <c r="D2098" s="18"/>
      <c r="H2098" s="12" t="str">
        <f t="shared" si="103"/>
        <v>0 г. 0 мес. 0 дн.</v>
      </c>
      <c r="V2098" s="12" t="str">
        <f t="shared" si="104"/>
        <v>0 г. 0 мес. 0 дн.</v>
      </c>
      <c r="W2098" s="22"/>
      <c r="X2098" s="72"/>
    </row>
    <row r="2099" spans="1:24" ht="35.1" customHeight="1" x14ac:dyDescent="0.25">
      <c r="A2099" s="12">
        <f t="shared" si="102"/>
        <v>2098</v>
      </c>
      <c r="B2099" s="12"/>
      <c r="C2099" s="20"/>
      <c r="D2099" s="18"/>
      <c r="H2099" s="12" t="str">
        <f t="shared" si="103"/>
        <v>0 г. 0 мес. 0 дн.</v>
      </c>
      <c r="V2099" s="12" t="str">
        <f t="shared" si="104"/>
        <v>0 г. 0 мес. 0 дн.</v>
      </c>
      <c r="W2099" s="22"/>
      <c r="X2099" s="72"/>
    </row>
    <row r="2100" spans="1:24" ht="35.1" customHeight="1" x14ac:dyDescent="0.25">
      <c r="A2100" s="12">
        <f t="shared" si="102"/>
        <v>2099</v>
      </c>
      <c r="B2100" s="12"/>
      <c r="C2100" s="20"/>
      <c r="D2100" s="18"/>
      <c r="H2100" s="12" t="str">
        <f t="shared" si="103"/>
        <v>0 г. 0 мес. 0 дн.</v>
      </c>
      <c r="V2100" s="12" t="str">
        <f t="shared" si="104"/>
        <v>0 г. 0 мес. 0 дн.</v>
      </c>
      <c r="W2100" s="22"/>
      <c r="X2100" s="72"/>
    </row>
    <row r="2101" spans="1:24" ht="35.1" customHeight="1" x14ac:dyDescent="0.25">
      <c r="A2101" s="12">
        <f t="shared" si="102"/>
        <v>2100</v>
      </c>
      <c r="B2101" s="12"/>
      <c r="C2101" s="20"/>
      <c r="D2101" s="18"/>
      <c r="H2101" s="12" t="str">
        <f t="shared" si="103"/>
        <v>0 г. 0 мес. 0 дн.</v>
      </c>
      <c r="V2101" s="12" t="str">
        <f t="shared" si="104"/>
        <v>0 г. 0 мес. 0 дн.</v>
      </c>
      <c r="W2101" s="22"/>
      <c r="X2101" s="72"/>
    </row>
    <row r="2102" spans="1:24" ht="35.1" customHeight="1" x14ac:dyDescent="0.25">
      <c r="A2102" s="12">
        <f t="shared" si="102"/>
        <v>2101</v>
      </c>
      <c r="B2102" s="12"/>
      <c r="C2102" s="20"/>
      <c r="D2102" s="18"/>
      <c r="H2102" s="12" t="str">
        <f t="shared" si="103"/>
        <v>0 г. 0 мес. 0 дн.</v>
      </c>
      <c r="V2102" s="12" t="str">
        <f t="shared" si="104"/>
        <v>0 г. 0 мес. 0 дн.</v>
      </c>
      <c r="W2102" s="22"/>
      <c r="X2102" s="72"/>
    </row>
    <row r="2103" spans="1:24" ht="35.1" customHeight="1" x14ac:dyDescent="0.25">
      <c r="A2103" s="12">
        <f t="shared" si="102"/>
        <v>2102</v>
      </c>
      <c r="B2103" s="12"/>
      <c r="C2103" s="20"/>
      <c r="D2103" s="18"/>
      <c r="H2103" s="12" t="str">
        <f t="shared" si="103"/>
        <v>0 г. 0 мес. 0 дн.</v>
      </c>
      <c r="V2103" s="12" t="str">
        <f t="shared" si="104"/>
        <v>0 г. 0 мес. 0 дн.</v>
      </c>
      <c r="W2103" s="22"/>
      <c r="X2103" s="72"/>
    </row>
    <row r="2104" spans="1:24" ht="35.1" customHeight="1" x14ac:dyDescent="0.25">
      <c r="A2104" s="12">
        <f t="shared" si="102"/>
        <v>2103</v>
      </c>
      <c r="B2104" s="12"/>
      <c r="C2104" s="20"/>
      <c r="D2104" s="18"/>
      <c r="H2104" s="12" t="str">
        <f t="shared" si="103"/>
        <v>0 г. 0 мес. 0 дн.</v>
      </c>
      <c r="V2104" s="12" t="str">
        <f t="shared" si="104"/>
        <v>0 г. 0 мес. 0 дн.</v>
      </c>
      <c r="W2104" s="22"/>
      <c r="X2104" s="72"/>
    </row>
    <row r="2105" spans="1:24" ht="35.1" customHeight="1" x14ac:dyDescent="0.25">
      <c r="A2105" s="12">
        <f t="shared" si="102"/>
        <v>2104</v>
      </c>
      <c r="B2105" s="12"/>
      <c r="C2105" s="20"/>
      <c r="D2105" s="18"/>
      <c r="H2105" s="12" t="str">
        <f t="shared" si="103"/>
        <v>0 г. 0 мес. 0 дн.</v>
      </c>
      <c r="V2105" s="12" t="str">
        <f t="shared" si="104"/>
        <v>0 г. 0 мес. 0 дн.</v>
      </c>
      <c r="W2105" s="22"/>
      <c r="X2105" s="72"/>
    </row>
    <row r="2106" spans="1:24" ht="35.1" customHeight="1" x14ac:dyDescent="0.25">
      <c r="A2106" s="12">
        <f t="shared" si="102"/>
        <v>2105</v>
      </c>
      <c r="B2106" s="12"/>
      <c r="C2106" s="20"/>
      <c r="D2106" s="18"/>
      <c r="H2106" s="12" t="str">
        <f t="shared" si="103"/>
        <v>0 г. 0 мес. 0 дн.</v>
      </c>
      <c r="V2106" s="12" t="str">
        <f t="shared" si="104"/>
        <v>0 г. 0 мес. 0 дн.</v>
      </c>
      <c r="W2106" s="22"/>
      <c r="X2106" s="72"/>
    </row>
    <row r="2107" spans="1:24" ht="35.1" customHeight="1" x14ac:dyDescent="0.25">
      <c r="A2107" s="12">
        <f t="shared" si="102"/>
        <v>2106</v>
      </c>
      <c r="B2107" s="12"/>
      <c r="C2107" s="20"/>
      <c r="D2107" s="18"/>
      <c r="H2107" s="12" t="str">
        <f t="shared" si="103"/>
        <v>0 г. 0 мес. 0 дн.</v>
      </c>
      <c r="V2107" s="12" t="str">
        <f t="shared" si="104"/>
        <v>0 г. 0 мес. 0 дн.</v>
      </c>
      <c r="W2107" s="22"/>
      <c r="X2107" s="72"/>
    </row>
    <row r="2108" spans="1:24" ht="35.1" customHeight="1" x14ac:dyDescent="0.25">
      <c r="A2108" s="12">
        <f t="shared" si="102"/>
        <v>2107</v>
      </c>
      <c r="B2108" s="12"/>
      <c r="C2108" s="20"/>
      <c r="D2108" s="18"/>
      <c r="H2108" s="12" t="str">
        <f t="shared" si="103"/>
        <v>0 г. 0 мес. 0 дн.</v>
      </c>
      <c r="V2108" s="12" t="str">
        <f t="shared" si="104"/>
        <v>0 г. 0 мес. 0 дн.</v>
      </c>
      <c r="W2108" s="22"/>
      <c r="X2108" s="72"/>
    </row>
    <row r="2109" spans="1:24" ht="35.1" customHeight="1" x14ac:dyDescent="0.25">
      <c r="A2109" s="12">
        <f t="shared" si="102"/>
        <v>2108</v>
      </c>
      <c r="B2109" s="12"/>
      <c r="C2109" s="20"/>
      <c r="D2109" s="18"/>
      <c r="H2109" s="12" t="str">
        <f t="shared" si="103"/>
        <v>0 г. 0 мес. 0 дн.</v>
      </c>
      <c r="V2109" s="12" t="str">
        <f t="shared" si="104"/>
        <v>0 г. 0 мес. 0 дн.</v>
      </c>
      <c r="W2109" s="22"/>
      <c r="X2109" s="72"/>
    </row>
    <row r="2110" spans="1:24" ht="35.1" customHeight="1" x14ac:dyDescent="0.25">
      <c r="A2110" s="12">
        <f t="shared" si="102"/>
        <v>2109</v>
      </c>
      <c r="B2110" s="12"/>
      <c r="C2110" s="20"/>
      <c r="D2110" s="18"/>
      <c r="H2110" s="12" t="str">
        <f t="shared" si="103"/>
        <v>0 г. 0 мес. 0 дн.</v>
      </c>
      <c r="V2110" s="12" t="str">
        <f t="shared" si="104"/>
        <v>0 г. 0 мес. 0 дн.</v>
      </c>
      <c r="W2110" s="22"/>
      <c r="X2110" s="72"/>
    </row>
    <row r="2111" spans="1:24" ht="35.1" customHeight="1" x14ac:dyDescent="0.25">
      <c r="A2111" s="12">
        <f t="shared" si="102"/>
        <v>2110</v>
      </c>
      <c r="B2111" s="12"/>
      <c r="C2111" s="20"/>
      <c r="D2111" s="18"/>
      <c r="H2111" s="12" t="str">
        <f t="shared" si="103"/>
        <v>0 г. 0 мес. 0 дн.</v>
      </c>
      <c r="V2111" s="12" t="str">
        <f t="shared" si="104"/>
        <v>0 г. 0 мес. 0 дн.</v>
      </c>
      <c r="W2111" s="22"/>
      <c r="X2111" s="72"/>
    </row>
    <row r="2112" spans="1:24" ht="35.1" customHeight="1" x14ac:dyDescent="0.25">
      <c r="A2112" s="12">
        <f t="shared" si="102"/>
        <v>2111</v>
      </c>
      <c r="B2112" s="12"/>
      <c r="C2112" s="20"/>
      <c r="D2112" s="18"/>
      <c r="H2112" s="12" t="str">
        <f t="shared" si="103"/>
        <v>0 г. 0 мес. 0 дн.</v>
      </c>
      <c r="V2112" s="12" t="str">
        <f t="shared" si="104"/>
        <v>0 г. 0 мес. 0 дн.</v>
      </c>
      <c r="W2112" s="22"/>
      <c r="X2112" s="72"/>
    </row>
    <row r="2113" spans="1:24" ht="35.1" customHeight="1" x14ac:dyDescent="0.25">
      <c r="A2113" s="12">
        <f t="shared" ref="A2113:A2176" si="105">ROW(A2112)</f>
        <v>2112</v>
      </c>
      <c r="B2113" s="12"/>
      <c r="C2113" s="20"/>
      <c r="D2113" s="18"/>
      <c r="H2113" s="12" t="str">
        <f t="shared" si="103"/>
        <v>0 г. 0 мес. 0 дн.</v>
      </c>
      <c r="V2113" s="12" t="str">
        <f t="shared" si="104"/>
        <v>0 г. 0 мес. 0 дн.</v>
      </c>
      <c r="W2113" s="22"/>
      <c r="X2113" s="72"/>
    </row>
    <row r="2114" spans="1:24" ht="35.1" customHeight="1" x14ac:dyDescent="0.25">
      <c r="A2114" s="12">
        <f t="shared" si="105"/>
        <v>2113</v>
      </c>
      <c r="B2114" s="12"/>
      <c r="C2114" s="20"/>
      <c r="D2114" s="18"/>
      <c r="H2114" s="12" t="str">
        <f t="shared" si="103"/>
        <v>0 г. 0 мес. 0 дн.</v>
      </c>
      <c r="V2114" s="12" t="str">
        <f t="shared" si="104"/>
        <v>0 г. 0 мес. 0 дн.</v>
      </c>
      <c r="W2114" s="22"/>
      <c r="X2114" s="72"/>
    </row>
    <row r="2115" spans="1:24" ht="35.1" customHeight="1" x14ac:dyDescent="0.25">
      <c r="A2115" s="12">
        <f t="shared" si="105"/>
        <v>2114</v>
      </c>
      <c r="B2115" s="12"/>
      <c r="C2115" s="20"/>
      <c r="D2115" s="18"/>
      <c r="H2115" s="12" t="str">
        <f t="shared" si="103"/>
        <v>0 г. 0 мес. 0 дн.</v>
      </c>
      <c r="V2115" s="12" t="str">
        <f t="shared" si="104"/>
        <v>0 г. 0 мес. 0 дн.</v>
      </c>
      <c r="W2115" s="22"/>
      <c r="X2115" s="72"/>
    </row>
    <row r="2116" spans="1:24" ht="35.1" customHeight="1" x14ac:dyDescent="0.25">
      <c r="A2116" s="12">
        <f t="shared" si="105"/>
        <v>2115</v>
      </c>
      <c r="B2116" s="12"/>
      <c r="C2116" s="20"/>
      <c r="D2116" s="18"/>
      <c r="H2116" s="12" t="str">
        <f t="shared" si="103"/>
        <v>0 г. 0 мес. 0 дн.</v>
      </c>
      <c r="V2116" s="12" t="str">
        <f t="shared" si="104"/>
        <v>0 г. 0 мес. 0 дн.</v>
      </c>
      <c r="W2116" s="22"/>
      <c r="X2116" s="72"/>
    </row>
    <row r="2117" spans="1:24" ht="35.1" customHeight="1" x14ac:dyDescent="0.25">
      <c r="A2117" s="12">
        <f t="shared" si="105"/>
        <v>2116</v>
      </c>
      <c r="B2117" s="12"/>
      <c r="C2117" s="20"/>
      <c r="D2117" s="18"/>
      <c r="H2117" s="12" t="str">
        <f t="shared" si="103"/>
        <v>0 г. 0 мес. 0 дн.</v>
      </c>
      <c r="V2117" s="12" t="str">
        <f t="shared" si="104"/>
        <v>0 г. 0 мес. 0 дн.</v>
      </c>
      <c r="W2117" s="22"/>
      <c r="X2117" s="72"/>
    </row>
    <row r="2118" spans="1:24" ht="35.1" customHeight="1" x14ac:dyDescent="0.25">
      <c r="A2118" s="12">
        <f t="shared" si="105"/>
        <v>2117</v>
      </c>
      <c r="B2118" s="12"/>
      <c r="C2118" s="20"/>
      <c r="D2118" s="18"/>
      <c r="H2118" s="12" t="str">
        <f t="shared" ref="H2118:H2181" si="106">DATEDIF(G2118,D2118,"y") &amp; " г. " &amp; DATEDIF(G2118,D2118,"ym") &amp; " мес. " &amp; DATEDIF(G2118,D2118,"md") &amp; " дн."</f>
        <v>0 г. 0 мес. 0 дн.</v>
      </c>
      <c r="V2118" s="12" t="str">
        <f t="shared" si="104"/>
        <v>0 г. 0 мес. 0 дн.</v>
      </c>
      <c r="W2118" s="22"/>
      <c r="X2118" s="72"/>
    </row>
    <row r="2119" spans="1:24" ht="35.1" customHeight="1" x14ac:dyDescent="0.25">
      <c r="A2119" s="12">
        <f t="shared" si="105"/>
        <v>2118</v>
      </c>
      <c r="B2119" s="12"/>
      <c r="C2119" s="20"/>
      <c r="D2119" s="18"/>
      <c r="H2119" s="12" t="str">
        <f t="shared" si="106"/>
        <v>0 г. 0 мес. 0 дн.</v>
      </c>
      <c r="V2119" s="12" t="str">
        <f t="shared" si="104"/>
        <v>0 г. 0 мес. 0 дн.</v>
      </c>
      <c r="W2119" s="22"/>
      <c r="X2119" s="72"/>
    </row>
    <row r="2120" spans="1:24" ht="35.1" customHeight="1" x14ac:dyDescent="0.25">
      <c r="A2120" s="12">
        <f t="shared" si="105"/>
        <v>2119</v>
      </c>
      <c r="B2120" s="12"/>
      <c r="C2120" s="20"/>
      <c r="D2120" s="18"/>
      <c r="H2120" s="12" t="str">
        <f t="shared" si="106"/>
        <v>0 г. 0 мес. 0 дн.</v>
      </c>
      <c r="V2120" s="12" t="str">
        <f t="shared" si="104"/>
        <v>0 г. 0 мес. 0 дн.</v>
      </c>
      <c r="W2120" s="22"/>
      <c r="X2120" s="72"/>
    </row>
    <row r="2121" spans="1:24" ht="35.1" customHeight="1" x14ac:dyDescent="0.25">
      <c r="A2121" s="12">
        <f t="shared" si="105"/>
        <v>2120</v>
      </c>
      <c r="B2121" s="12"/>
      <c r="C2121" s="20"/>
      <c r="D2121" s="18"/>
      <c r="H2121" s="12" t="str">
        <f t="shared" si="106"/>
        <v>0 г. 0 мес. 0 дн.</v>
      </c>
      <c r="V2121" s="12" t="str">
        <f t="shared" si="104"/>
        <v>0 г. 0 мес. 0 дн.</v>
      </c>
      <c r="W2121" s="22"/>
      <c r="X2121" s="72"/>
    </row>
    <row r="2122" spans="1:24" ht="35.1" customHeight="1" x14ac:dyDescent="0.25">
      <c r="A2122" s="12">
        <f t="shared" si="105"/>
        <v>2121</v>
      </c>
      <c r="B2122" s="12"/>
      <c r="C2122" s="20"/>
      <c r="D2122" s="18"/>
      <c r="H2122" s="12" t="str">
        <f t="shared" si="106"/>
        <v>0 г. 0 мес. 0 дн.</v>
      </c>
      <c r="V2122" s="12" t="str">
        <f t="shared" si="104"/>
        <v>0 г. 0 мес. 0 дн.</v>
      </c>
      <c r="W2122" s="22"/>
      <c r="X2122" s="72"/>
    </row>
    <row r="2123" spans="1:24" ht="35.1" customHeight="1" x14ac:dyDescent="0.25">
      <c r="A2123" s="12">
        <f t="shared" si="105"/>
        <v>2122</v>
      </c>
      <c r="B2123" s="12"/>
      <c r="C2123" s="20"/>
      <c r="D2123" s="18"/>
      <c r="H2123" s="12" t="str">
        <f t="shared" si="106"/>
        <v>0 г. 0 мес. 0 дн.</v>
      </c>
      <c r="V2123" s="12" t="str">
        <f t="shared" si="104"/>
        <v>0 г. 0 мес. 0 дн.</v>
      </c>
      <c r="W2123" s="22"/>
      <c r="X2123" s="72"/>
    </row>
    <row r="2124" spans="1:24" ht="35.1" customHeight="1" x14ac:dyDescent="0.25">
      <c r="A2124" s="12">
        <f t="shared" si="105"/>
        <v>2123</v>
      </c>
      <c r="B2124" s="12"/>
      <c r="C2124" s="20"/>
      <c r="D2124" s="18"/>
      <c r="H2124" s="12" t="str">
        <f t="shared" si="106"/>
        <v>0 г. 0 мес. 0 дн.</v>
      </c>
      <c r="V2124" s="12" t="str">
        <f t="shared" si="104"/>
        <v>0 г. 0 мес. 0 дн.</v>
      </c>
      <c r="W2124" s="22"/>
      <c r="X2124" s="72"/>
    </row>
    <row r="2125" spans="1:24" ht="35.1" customHeight="1" x14ac:dyDescent="0.25">
      <c r="A2125" s="12">
        <f t="shared" si="105"/>
        <v>2124</v>
      </c>
      <c r="B2125" s="12"/>
      <c r="C2125" s="20"/>
      <c r="D2125" s="18"/>
      <c r="H2125" s="12" t="str">
        <f t="shared" si="106"/>
        <v>0 г. 0 мес. 0 дн.</v>
      </c>
      <c r="V2125" s="12" t="str">
        <f t="shared" si="104"/>
        <v>0 г. 0 мес. 0 дн.</v>
      </c>
      <c r="W2125" s="22"/>
      <c r="X2125" s="72"/>
    </row>
    <row r="2126" spans="1:24" ht="35.1" customHeight="1" x14ac:dyDescent="0.25">
      <c r="A2126" s="12">
        <f t="shared" si="105"/>
        <v>2125</v>
      </c>
      <c r="B2126" s="12"/>
      <c r="C2126" s="20"/>
      <c r="D2126" s="18"/>
      <c r="H2126" s="12" t="str">
        <f t="shared" si="106"/>
        <v>0 г. 0 мес. 0 дн.</v>
      </c>
      <c r="V2126" s="12" t="str">
        <f t="shared" si="104"/>
        <v>0 г. 0 мес. 0 дн.</v>
      </c>
      <c r="W2126" s="22"/>
      <c r="X2126" s="72"/>
    </row>
    <row r="2127" spans="1:24" ht="35.1" customHeight="1" x14ac:dyDescent="0.25">
      <c r="A2127" s="12">
        <f t="shared" si="105"/>
        <v>2126</v>
      </c>
      <c r="B2127" s="12"/>
      <c r="C2127" s="20"/>
      <c r="D2127" s="18"/>
      <c r="H2127" s="12" t="str">
        <f t="shared" si="106"/>
        <v>0 г. 0 мес. 0 дн.</v>
      </c>
      <c r="V2127" s="12" t="str">
        <f t="shared" si="104"/>
        <v>0 г. 0 мес. 0 дн.</v>
      </c>
      <c r="W2127" s="22"/>
      <c r="X2127" s="72"/>
    </row>
    <row r="2128" spans="1:24" ht="35.1" customHeight="1" x14ac:dyDescent="0.25">
      <c r="A2128" s="12">
        <f t="shared" si="105"/>
        <v>2127</v>
      </c>
      <c r="B2128" s="12"/>
      <c r="C2128" s="20"/>
      <c r="D2128" s="18"/>
      <c r="H2128" s="12" t="str">
        <f t="shared" si="106"/>
        <v>0 г. 0 мес. 0 дн.</v>
      </c>
      <c r="V2128" s="12" t="str">
        <f t="shared" si="104"/>
        <v>0 г. 0 мес. 0 дн.</v>
      </c>
      <c r="W2128" s="22"/>
      <c r="X2128" s="72"/>
    </row>
    <row r="2129" spans="1:24" ht="35.1" customHeight="1" x14ac:dyDescent="0.25">
      <c r="A2129" s="12">
        <f t="shared" si="105"/>
        <v>2128</v>
      </c>
      <c r="B2129" s="12"/>
      <c r="C2129" s="20"/>
      <c r="D2129" s="18"/>
      <c r="H2129" s="12" t="str">
        <f t="shared" si="106"/>
        <v>0 г. 0 мес. 0 дн.</v>
      </c>
      <c r="V2129" s="12" t="str">
        <f t="shared" si="104"/>
        <v>0 г. 0 мес. 0 дн.</v>
      </c>
      <c r="W2129" s="22"/>
      <c r="X2129" s="72"/>
    </row>
    <row r="2130" spans="1:24" ht="35.1" customHeight="1" x14ac:dyDescent="0.25">
      <c r="A2130" s="12">
        <f t="shared" si="105"/>
        <v>2129</v>
      </c>
      <c r="B2130" s="12"/>
      <c r="C2130" s="20"/>
      <c r="D2130" s="18"/>
      <c r="H2130" s="12" t="str">
        <f t="shared" si="106"/>
        <v>0 г. 0 мес. 0 дн.</v>
      </c>
      <c r="V2130" s="12" t="str">
        <f t="shared" si="104"/>
        <v>0 г. 0 мес. 0 дн.</v>
      </c>
      <c r="W2130" s="22"/>
      <c r="X2130" s="72"/>
    </row>
    <row r="2131" spans="1:24" ht="35.1" customHeight="1" x14ac:dyDescent="0.25">
      <c r="A2131" s="12">
        <f t="shared" si="105"/>
        <v>2130</v>
      </c>
      <c r="B2131" s="12"/>
      <c r="C2131" s="20"/>
      <c r="D2131" s="18"/>
      <c r="H2131" s="12" t="str">
        <f t="shared" si="106"/>
        <v>0 г. 0 мес. 0 дн.</v>
      </c>
      <c r="V2131" s="12" t="str">
        <f t="shared" si="104"/>
        <v>0 г. 0 мес. 0 дн.</v>
      </c>
      <c r="W2131" s="22"/>
      <c r="X2131" s="72"/>
    </row>
    <row r="2132" spans="1:24" ht="35.1" customHeight="1" x14ac:dyDescent="0.25">
      <c r="A2132" s="12">
        <f t="shared" si="105"/>
        <v>2131</v>
      </c>
      <c r="B2132" s="12"/>
      <c r="C2132" s="20"/>
      <c r="D2132" s="18"/>
      <c r="H2132" s="12" t="str">
        <f t="shared" si="106"/>
        <v>0 г. 0 мес. 0 дн.</v>
      </c>
      <c r="V2132" s="12" t="str">
        <f t="shared" si="104"/>
        <v>0 г. 0 мес. 0 дн.</v>
      </c>
      <c r="W2132" s="22"/>
      <c r="X2132" s="72"/>
    </row>
    <row r="2133" spans="1:24" ht="35.1" customHeight="1" x14ac:dyDescent="0.25">
      <c r="A2133" s="12">
        <f t="shared" si="105"/>
        <v>2132</v>
      </c>
      <c r="B2133" s="12"/>
      <c r="C2133" s="20"/>
      <c r="D2133" s="18"/>
      <c r="H2133" s="12" t="str">
        <f t="shared" si="106"/>
        <v>0 г. 0 мес. 0 дн.</v>
      </c>
      <c r="V2133" s="12" t="str">
        <f t="shared" si="104"/>
        <v>0 г. 0 мес. 0 дн.</v>
      </c>
      <c r="W2133" s="22"/>
      <c r="X2133" s="72"/>
    </row>
    <row r="2134" spans="1:24" ht="35.1" customHeight="1" x14ac:dyDescent="0.25">
      <c r="A2134" s="12">
        <f t="shared" si="105"/>
        <v>2133</v>
      </c>
      <c r="B2134" s="12"/>
      <c r="C2134" s="20"/>
      <c r="D2134" s="18"/>
      <c r="H2134" s="12" t="str">
        <f t="shared" si="106"/>
        <v>0 г. 0 мес. 0 дн.</v>
      </c>
      <c r="V2134" s="12" t="str">
        <f t="shared" si="104"/>
        <v>0 г. 0 мес. 0 дн.</v>
      </c>
      <c r="W2134" s="22"/>
      <c r="X2134" s="72"/>
    </row>
    <row r="2135" spans="1:24" ht="35.1" customHeight="1" x14ac:dyDescent="0.25">
      <c r="A2135" s="12">
        <f t="shared" si="105"/>
        <v>2134</v>
      </c>
      <c r="B2135" s="12"/>
      <c r="C2135" s="20"/>
      <c r="D2135" s="18"/>
      <c r="H2135" s="12" t="str">
        <f t="shared" si="106"/>
        <v>0 г. 0 мес. 0 дн.</v>
      </c>
      <c r="V2135" s="12" t="str">
        <f t="shared" si="104"/>
        <v>0 г. 0 мес. 0 дн.</v>
      </c>
      <c r="W2135" s="22"/>
      <c r="X2135" s="72"/>
    </row>
    <row r="2136" spans="1:24" ht="35.1" customHeight="1" x14ac:dyDescent="0.25">
      <c r="A2136" s="12">
        <f t="shared" si="105"/>
        <v>2135</v>
      </c>
      <c r="B2136" s="12"/>
      <c r="C2136" s="20"/>
      <c r="D2136" s="18"/>
      <c r="H2136" s="12" t="str">
        <f t="shared" si="106"/>
        <v>0 г. 0 мес. 0 дн.</v>
      </c>
      <c r="V2136" s="12" t="str">
        <f t="shared" ref="V2136:V2199" si="107">DATEDIF(D2136,T2136,"y") &amp; " г. " &amp; DATEDIF(D2136,T2136,"ym") &amp; " мес. " &amp; DATEDIF(D2136,T2136,"md") &amp; " дн."</f>
        <v>0 г. 0 мес. 0 дн.</v>
      </c>
      <c r="W2136" s="22"/>
      <c r="X2136" s="72"/>
    </row>
    <row r="2137" spans="1:24" ht="35.1" customHeight="1" x14ac:dyDescent="0.25">
      <c r="A2137" s="12">
        <f t="shared" si="105"/>
        <v>2136</v>
      </c>
      <c r="B2137" s="12"/>
      <c r="C2137" s="20"/>
      <c r="D2137" s="18"/>
      <c r="H2137" s="12" t="str">
        <f t="shared" si="106"/>
        <v>0 г. 0 мес. 0 дн.</v>
      </c>
      <c r="V2137" s="12" t="str">
        <f t="shared" si="107"/>
        <v>0 г. 0 мес. 0 дн.</v>
      </c>
      <c r="W2137" s="22"/>
      <c r="X2137" s="72"/>
    </row>
    <row r="2138" spans="1:24" ht="35.1" customHeight="1" x14ac:dyDescent="0.25">
      <c r="A2138" s="12">
        <f t="shared" si="105"/>
        <v>2137</v>
      </c>
      <c r="B2138" s="12"/>
      <c r="C2138" s="20"/>
      <c r="D2138" s="18"/>
      <c r="H2138" s="12" t="str">
        <f t="shared" si="106"/>
        <v>0 г. 0 мес. 0 дн.</v>
      </c>
      <c r="V2138" s="12" t="str">
        <f t="shared" si="107"/>
        <v>0 г. 0 мес. 0 дн.</v>
      </c>
      <c r="W2138" s="22"/>
      <c r="X2138" s="72"/>
    </row>
    <row r="2139" spans="1:24" ht="35.1" customHeight="1" x14ac:dyDescent="0.25">
      <c r="A2139" s="12">
        <f t="shared" si="105"/>
        <v>2138</v>
      </c>
      <c r="B2139" s="12"/>
      <c r="C2139" s="20"/>
      <c r="D2139" s="18"/>
      <c r="H2139" s="12" t="str">
        <f t="shared" si="106"/>
        <v>0 г. 0 мес. 0 дн.</v>
      </c>
      <c r="V2139" s="12" t="str">
        <f t="shared" si="107"/>
        <v>0 г. 0 мес. 0 дн.</v>
      </c>
      <c r="W2139" s="22"/>
      <c r="X2139" s="72"/>
    </row>
    <row r="2140" spans="1:24" ht="35.1" customHeight="1" x14ac:dyDescent="0.25">
      <c r="A2140" s="12">
        <f t="shared" si="105"/>
        <v>2139</v>
      </c>
      <c r="B2140" s="12"/>
      <c r="C2140" s="20"/>
      <c r="D2140" s="18"/>
      <c r="H2140" s="12" t="str">
        <f t="shared" si="106"/>
        <v>0 г. 0 мес. 0 дн.</v>
      </c>
      <c r="V2140" s="12" t="str">
        <f t="shared" si="107"/>
        <v>0 г. 0 мес. 0 дн.</v>
      </c>
      <c r="W2140" s="22"/>
      <c r="X2140" s="72"/>
    </row>
    <row r="2141" spans="1:24" ht="35.1" customHeight="1" x14ac:dyDescent="0.25">
      <c r="A2141" s="12">
        <f t="shared" si="105"/>
        <v>2140</v>
      </c>
      <c r="B2141" s="12"/>
      <c r="C2141" s="20"/>
      <c r="D2141" s="18"/>
      <c r="H2141" s="12" t="str">
        <f t="shared" si="106"/>
        <v>0 г. 0 мес. 0 дн.</v>
      </c>
      <c r="V2141" s="12" t="str">
        <f t="shared" si="107"/>
        <v>0 г. 0 мес. 0 дн.</v>
      </c>
      <c r="W2141" s="22"/>
      <c r="X2141" s="72"/>
    </row>
    <row r="2142" spans="1:24" ht="35.1" customHeight="1" x14ac:dyDescent="0.25">
      <c r="A2142" s="12">
        <f t="shared" si="105"/>
        <v>2141</v>
      </c>
      <c r="B2142" s="12"/>
      <c r="C2142" s="20"/>
      <c r="D2142" s="18"/>
      <c r="H2142" s="12" t="str">
        <f t="shared" si="106"/>
        <v>0 г. 0 мес. 0 дн.</v>
      </c>
      <c r="V2142" s="12" t="str">
        <f t="shared" si="107"/>
        <v>0 г. 0 мес. 0 дн.</v>
      </c>
      <c r="W2142" s="22"/>
      <c r="X2142" s="72"/>
    </row>
    <row r="2143" spans="1:24" ht="35.1" customHeight="1" x14ac:dyDescent="0.25">
      <c r="A2143" s="12">
        <f t="shared" si="105"/>
        <v>2142</v>
      </c>
      <c r="B2143" s="12"/>
      <c r="C2143" s="20"/>
      <c r="D2143" s="18"/>
      <c r="H2143" s="12" t="str">
        <f t="shared" si="106"/>
        <v>0 г. 0 мес. 0 дн.</v>
      </c>
      <c r="V2143" s="12" t="str">
        <f t="shared" si="107"/>
        <v>0 г. 0 мес. 0 дн.</v>
      </c>
      <c r="W2143" s="22"/>
      <c r="X2143" s="72"/>
    </row>
    <row r="2144" spans="1:24" ht="35.1" customHeight="1" x14ac:dyDescent="0.25">
      <c r="A2144" s="12">
        <f t="shared" si="105"/>
        <v>2143</v>
      </c>
      <c r="B2144" s="12"/>
      <c r="C2144" s="20"/>
      <c r="D2144" s="18"/>
      <c r="H2144" s="12" t="str">
        <f t="shared" si="106"/>
        <v>0 г. 0 мес. 0 дн.</v>
      </c>
      <c r="V2144" s="12" t="str">
        <f t="shared" si="107"/>
        <v>0 г. 0 мес. 0 дн.</v>
      </c>
      <c r="W2144" s="22"/>
      <c r="X2144" s="72"/>
    </row>
    <row r="2145" spans="1:24" ht="35.1" customHeight="1" x14ac:dyDescent="0.25">
      <c r="A2145" s="12">
        <f t="shared" si="105"/>
        <v>2144</v>
      </c>
      <c r="B2145" s="12"/>
      <c r="C2145" s="20"/>
      <c r="D2145" s="18"/>
      <c r="H2145" s="12" t="str">
        <f t="shared" si="106"/>
        <v>0 г. 0 мес. 0 дн.</v>
      </c>
      <c r="V2145" s="12" t="str">
        <f t="shared" si="107"/>
        <v>0 г. 0 мес. 0 дн.</v>
      </c>
      <c r="W2145" s="22"/>
      <c r="X2145" s="72"/>
    </row>
    <row r="2146" spans="1:24" ht="35.1" customHeight="1" x14ac:dyDescent="0.25">
      <c r="A2146" s="12">
        <f t="shared" si="105"/>
        <v>2145</v>
      </c>
      <c r="B2146" s="12"/>
      <c r="C2146" s="20"/>
      <c r="D2146" s="18"/>
      <c r="H2146" s="12" t="str">
        <f t="shared" si="106"/>
        <v>0 г. 0 мес. 0 дн.</v>
      </c>
      <c r="V2146" s="12" t="str">
        <f t="shared" si="107"/>
        <v>0 г. 0 мес. 0 дн.</v>
      </c>
      <c r="W2146" s="22"/>
      <c r="X2146" s="72"/>
    </row>
    <row r="2147" spans="1:24" ht="35.1" customHeight="1" x14ac:dyDescent="0.25">
      <c r="A2147" s="12">
        <f t="shared" si="105"/>
        <v>2146</v>
      </c>
      <c r="B2147" s="12"/>
      <c r="C2147" s="20"/>
      <c r="D2147" s="18"/>
      <c r="H2147" s="12" t="str">
        <f t="shared" si="106"/>
        <v>0 г. 0 мес. 0 дн.</v>
      </c>
      <c r="V2147" s="12" t="str">
        <f t="shared" si="107"/>
        <v>0 г. 0 мес. 0 дн.</v>
      </c>
      <c r="W2147" s="22"/>
      <c r="X2147" s="72"/>
    </row>
    <row r="2148" spans="1:24" ht="35.1" customHeight="1" x14ac:dyDescent="0.25">
      <c r="A2148" s="12">
        <f t="shared" si="105"/>
        <v>2147</v>
      </c>
      <c r="B2148" s="12"/>
      <c r="C2148" s="20"/>
      <c r="D2148" s="18"/>
      <c r="H2148" s="12" t="str">
        <f t="shared" si="106"/>
        <v>0 г. 0 мес. 0 дн.</v>
      </c>
      <c r="V2148" s="12" t="str">
        <f t="shared" si="107"/>
        <v>0 г. 0 мес. 0 дн.</v>
      </c>
      <c r="W2148" s="22"/>
      <c r="X2148" s="72"/>
    </row>
    <row r="2149" spans="1:24" ht="35.1" customHeight="1" x14ac:dyDescent="0.25">
      <c r="A2149" s="12">
        <f t="shared" si="105"/>
        <v>2148</v>
      </c>
      <c r="B2149" s="12"/>
      <c r="C2149" s="20"/>
      <c r="D2149" s="18"/>
      <c r="H2149" s="12" t="str">
        <f t="shared" si="106"/>
        <v>0 г. 0 мес. 0 дн.</v>
      </c>
      <c r="V2149" s="12" t="str">
        <f t="shared" si="107"/>
        <v>0 г. 0 мес. 0 дн.</v>
      </c>
      <c r="W2149" s="22"/>
      <c r="X2149" s="72"/>
    </row>
    <row r="2150" spans="1:24" ht="35.1" customHeight="1" x14ac:dyDescent="0.25">
      <c r="A2150" s="12">
        <f t="shared" si="105"/>
        <v>2149</v>
      </c>
      <c r="B2150" s="12"/>
      <c r="C2150" s="20"/>
      <c r="D2150" s="18"/>
      <c r="H2150" s="12" t="str">
        <f t="shared" si="106"/>
        <v>0 г. 0 мес. 0 дн.</v>
      </c>
      <c r="V2150" s="12" t="str">
        <f t="shared" si="107"/>
        <v>0 г. 0 мес. 0 дн.</v>
      </c>
      <c r="W2150" s="22"/>
      <c r="X2150" s="72"/>
    </row>
    <row r="2151" spans="1:24" ht="35.1" customHeight="1" x14ac:dyDescent="0.25">
      <c r="A2151" s="12">
        <f t="shared" si="105"/>
        <v>2150</v>
      </c>
      <c r="B2151" s="12"/>
      <c r="C2151" s="20"/>
      <c r="D2151" s="18"/>
      <c r="H2151" s="12" t="str">
        <f t="shared" si="106"/>
        <v>0 г. 0 мес. 0 дн.</v>
      </c>
      <c r="V2151" s="12" t="str">
        <f t="shared" si="107"/>
        <v>0 г. 0 мес. 0 дн.</v>
      </c>
      <c r="W2151" s="22"/>
      <c r="X2151" s="72"/>
    </row>
    <row r="2152" spans="1:24" ht="35.1" customHeight="1" x14ac:dyDescent="0.25">
      <c r="A2152" s="12">
        <f t="shared" si="105"/>
        <v>2151</v>
      </c>
      <c r="B2152" s="12"/>
      <c r="C2152" s="20"/>
      <c r="D2152" s="18"/>
      <c r="H2152" s="12" t="str">
        <f t="shared" si="106"/>
        <v>0 г. 0 мес. 0 дн.</v>
      </c>
      <c r="V2152" s="12" t="str">
        <f t="shared" si="107"/>
        <v>0 г. 0 мес. 0 дн.</v>
      </c>
      <c r="W2152" s="22"/>
      <c r="X2152" s="72"/>
    </row>
    <row r="2153" spans="1:24" ht="35.1" customHeight="1" x14ac:dyDescent="0.25">
      <c r="A2153" s="12">
        <f t="shared" si="105"/>
        <v>2152</v>
      </c>
      <c r="B2153" s="12"/>
      <c r="C2153" s="20"/>
      <c r="D2153" s="18"/>
      <c r="H2153" s="12" t="str">
        <f t="shared" si="106"/>
        <v>0 г. 0 мес. 0 дн.</v>
      </c>
      <c r="V2153" s="12" t="str">
        <f t="shared" si="107"/>
        <v>0 г. 0 мес. 0 дн.</v>
      </c>
      <c r="W2153" s="22"/>
      <c r="X2153" s="72"/>
    </row>
    <row r="2154" spans="1:24" ht="35.1" customHeight="1" x14ac:dyDescent="0.25">
      <c r="A2154" s="12">
        <f t="shared" si="105"/>
        <v>2153</v>
      </c>
      <c r="B2154" s="12"/>
      <c r="C2154" s="20"/>
      <c r="D2154" s="18"/>
      <c r="H2154" s="12" t="str">
        <f t="shared" si="106"/>
        <v>0 г. 0 мес. 0 дн.</v>
      </c>
      <c r="V2154" s="12" t="str">
        <f t="shared" si="107"/>
        <v>0 г. 0 мес. 0 дн.</v>
      </c>
      <c r="W2154" s="22"/>
      <c r="X2154" s="72"/>
    </row>
    <row r="2155" spans="1:24" ht="35.1" customHeight="1" x14ac:dyDescent="0.25">
      <c r="A2155" s="12">
        <f t="shared" si="105"/>
        <v>2154</v>
      </c>
      <c r="B2155" s="12"/>
      <c r="C2155" s="20"/>
      <c r="D2155" s="18"/>
      <c r="H2155" s="12" t="str">
        <f t="shared" si="106"/>
        <v>0 г. 0 мес. 0 дн.</v>
      </c>
      <c r="V2155" s="12" t="str">
        <f t="shared" si="107"/>
        <v>0 г. 0 мес. 0 дн.</v>
      </c>
      <c r="W2155" s="22"/>
      <c r="X2155" s="72"/>
    </row>
    <row r="2156" spans="1:24" ht="35.1" customHeight="1" x14ac:dyDescent="0.25">
      <c r="A2156" s="12">
        <f t="shared" si="105"/>
        <v>2155</v>
      </c>
      <c r="B2156" s="12"/>
      <c r="C2156" s="20"/>
      <c r="D2156" s="18"/>
      <c r="H2156" s="12" t="str">
        <f t="shared" si="106"/>
        <v>0 г. 0 мес. 0 дн.</v>
      </c>
      <c r="V2156" s="12" t="str">
        <f t="shared" si="107"/>
        <v>0 г. 0 мес. 0 дн.</v>
      </c>
      <c r="W2156" s="22"/>
      <c r="X2156" s="72"/>
    </row>
    <row r="2157" spans="1:24" ht="35.1" customHeight="1" x14ac:dyDescent="0.25">
      <c r="A2157" s="12">
        <f t="shared" si="105"/>
        <v>2156</v>
      </c>
      <c r="B2157" s="12"/>
      <c r="C2157" s="20"/>
      <c r="D2157" s="18"/>
      <c r="H2157" s="12" t="str">
        <f t="shared" si="106"/>
        <v>0 г. 0 мес. 0 дн.</v>
      </c>
      <c r="V2157" s="12" t="str">
        <f t="shared" si="107"/>
        <v>0 г. 0 мес. 0 дн.</v>
      </c>
      <c r="W2157" s="22"/>
      <c r="X2157" s="72"/>
    </row>
    <row r="2158" spans="1:24" ht="35.1" customHeight="1" x14ac:dyDescent="0.25">
      <c r="A2158" s="12">
        <f t="shared" si="105"/>
        <v>2157</v>
      </c>
      <c r="B2158" s="12"/>
      <c r="C2158" s="20"/>
      <c r="D2158" s="18"/>
      <c r="H2158" s="12" t="str">
        <f t="shared" si="106"/>
        <v>0 г. 0 мес. 0 дн.</v>
      </c>
      <c r="V2158" s="12" t="str">
        <f t="shared" si="107"/>
        <v>0 г. 0 мес. 0 дн.</v>
      </c>
      <c r="W2158" s="22"/>
      <c r="X2158" s="72"/>
    </row>
    <row r="2159" spans="1:24" ht="35.1" customHeight="1" x14ac:dyDescent="0.25">
      <c r="A2159" s="12">
        <f t="shared" si="105"/>
        <v>2158</v>
      </c>
      <c r="B2159" s="12"/>
      <c r="C2159" s="20"/>
      <c r="D2159" s="18"/>
      <c r="H2159" s="12" t="str">
        <f t="shared" si="106"/>
        <v>0 г. 0 мес. 0 дн.</v>
      </c>
      <c r="V2159" s="12" t="str">
        <f t="shared" si="107"/>
        <v>0 г. 0 мес. 0 дн.</v>
      </c>
      <c r="W2159" s="22"/>
      <c r="X2159" s="72"/>
    </row>
    <row r="2160" spans="1:24" ht="35.1" customHeight="1" x14ac:dyDescent="0.25">
      <c r="A2160" s="12">
        <f t="shared" si="105"/>
        <v>2159</v>
      </c>
      <c r="B2160" s="12"/>
      <c r="C2160" s="20"/>
      <c r="D2160" s="18"/>
      <c r="H2160" s="12" t="str">
        <f t="shared" si="106"/>
        <v>0 г. 0 мес. 0 дн.</v>
      </c>
      <c r="V2160" s="12" t="str">
        <f t="shared" si="107"/>
        <v>0 г. 0 мес. 0 дн.</v>
      </c>
      <c r="W2160" s="22"/>
      <c r="X2160" s="72"/>
    </row>
    <row r="2161" spans="1:24" ht="35.1" customHeight="1" x14ac:dyDescent="0.25">
      <c r="A2161" s="12">
        <f t="shared" si="105"/>
        <v>2160</v>
      </c>
      <c r="B2161" s="12"/>
      <c r="C2161" s="20"/>
      <c r="D2161" s="18"/>
      <c r="H2161" s="12" t="str">
        <f t="shared" si="106"/>
        <v>0 г. 0 мес. 0 дн.</v>
      </c>
      <c r="V2161" s="12" t="str">
        <f t="shared" si="107"/>
        <v>0 г. 0 мес. 0 дн.</v>
      </c>
      <c r="W2161" s="22"/>
      <c r="X2161" s="72"/>
    </row>
    <row r="2162" spans="1:24" ht="35.1" customHeight="1" x14ac:dyDescent="0.25">
      <c r="A2162" s="12">
        <f t="shared" si="105"/>
        <v>2161</v>
      </c>
      <c r="B2162" s="12"/>
      <c r="C2162" s="20"/>
      <c r="D2162" s="18"/>
      <c r="H2162" s="12" t="str">
        <f t="shared" si="106"/>
        <v>0 г. 0 мес. 0 дн.</v>
      </c>
      <c r="V2162" s="12" t="str">
        <f t="shared" si="107"/>
        <v>0 г. 0 мес. 0 дн.</v>
      </c>
      <c r="W2162" s="22"/>
      <c r="X2162" s="72"/>
    </row>
    <row r="2163" spans="1:24" ht="35.1" customHeight="1" x14ac:dyDescent="0.25">
      <c r="A2163" s="12">
        <f t="shared" si="105"/>
        <v>2162</v>
      </c>
      <c r="B2163" s="12"/>
      <c r="C2163" s="20"/>
      <c r="D2163" s="18"/>
      <c r="H2163" s="12" t="str">
        <f t="shared" si="106"/>
        <v>0 г. 0 мес. 0 дн.</v>
      </c>
      <c r="V2163" s="12" t="str">
        <f t="shared" si="107"/>
        <v>0 г. 0 мес. 0 дн.</v>
      </c>
      <c r="W2163" s="22"/>
      <c r="X2163" s="72"/>
    </row>
    <row r="2164" spans="1:24" ht="35.1" customHeight="1" x14ac:dyDescent="0.25">
      <c r="A2164" s="12">
        <f t="shared" si="105"/>
        <v>2163</v>
      </c>
      <c r="B2164" s="12"/>
      <c r="C2164" s="20"/>
      <c r="D2164" s="18"/>
      <c r="H2164" s="12" t="str">
        <f t="shared" si="106"/>
        <v>0 г. 0 мес. 0 дн.</v>
      </c>
      <c r="V2164" s="12" t="str">
        <f t="shared" si="107"/>
        <v>0 г. 0 мес. 0 дн.</v>
      </c>
      <c r="W2164" s="22"/>
      <c r="X2164" s="72"/>
    </row>
    <row r="2165" spans="1:24" ht="35.1" customHeight="1" x14ac:dyDescent="0.25">
      <c r="A2165" s="12">
        <f t="shared" si="105"/>
        <v>2164</v>
      </c>
      <c r="B2165" s="12"/>
      <c r="C2165" s="20"/>
      <c r="D2165" s="18"/>
      <c r="H2165" s="12" t="str">
        <f t="shared" si="106"/>
        <v>0 г. 0 мес. 0 дн.</v>
      </c>
      <c r="V2165" s="12" t="str">
        <f t="shared" si="107"/>
        <v>0 г. 0 мес. 0 дн.</v>
      </c>
      <c r="W2165" s="22"/>
      <c r="X2165" s="72"/>
    </row>
    <row r="2166" spans="1:24" ht="35.1" customHeight="1" x14ac:dyDescent="0.25">
      <c r="A2166" s="12">
        <f t="shared" si="105"/>
        <v>2165</v>
      </c>
      <c r="B2166" s="12"/>
      <c r="C2166" s="20"/>
      <c r="D2166" s="18"/>
      <c r="H2166" s="12" t="str">
        <f t="shared" si="106"/>
        <v>0 г. 0 мес. 0 дн.</v>
      </c>
      <c r="V2166" s="12" t="str">
        <f t="shared" si="107"/>
        <v>0 г. 0 мес. 0 дн.</v>
      </c>
      <c r="W2166" s="22"/>
      <c r="X2166" s="72"/>
    </row>
    <row r="2167" spans="1:24" ht="35.1" customHeight="1" x14ac:dyDescent="0.25">
      <c r="A2167" s="12">
        <f t="shared" si="105"/>
        <v>2166</v>
      </c>
      <c r="B2167" s="12"/>
      <c r="C2167" s="20"/>
      <c r="D2167" s="18"/>
      <c r="H2167" s="12" t="str">
        <f t="shared" si="106"/>
        <v>0 г. 0 мес. 0 дн.</v>
      </c>
      <c r="V2167" s="12" t="str">
        <f t="shared" si="107"/>
        <v>0 г. 0 мес. 0 дн.</v>
      </c>
      <c r="W2167" s="22"/>
      <c r="X2167" s="72"/>
    </row>
    <row r="2168" spans="1:24" ht="35.1" customHeight="1" x14ac:dyDescent="0.25">
      <c r="A2168" s="12">
        <f t="shared" si="105"/>
        <v>2167</v>
      </c>
      <c r="B2168" s="12"/>
      <c r="C2168" s="20"/>
      <c r="D2168" s="18"/>
      <c r="H2168" s="12" t="str">
        <f t="shared" si="106"/>
        <v>0 г. 0 мес. 0 дн.</v>
      </c>
      <c r="V2168" s="12" t="str">
        <f t="shared" si="107"/>
        <v>0 г. 0 мес. 0 дн.</v>
      </c>
      <c r="W2168" s="22"/>
      <c r="X2168" s="72"/>
    </row>
    <row r="2169" spans="1:24" ht="35.1" customHeight="1" x14ac:dyDescent="0.25">
      <c r="A2169" s="12">
        <f t="shared" si="105"/>
        <v>2168</v>
      </c>
      <c r="B2169" s="12"/>
      <c r="C2169" s="20"/>
      <c r="D2169" s="18"/>
      <c r="H2169" s="12" t="str">
        <f t="shared" si="106"/>
        <v>0 г. 0 мес. 0 дн.</v>
      </c>
      <c r="V2169" s="12" t="str">
        <f t="shared" si="107"/>
        <v>0 г. 0 мес. 0 дн.</v>
      </c>
      <c r="W2169" s="22"/>
      <c r="X2169" s="72"/>
    </row>
    <row r="2170" spans="1:24" ht="35.1" customHeight="1" x14ac:dyDescent="0.25">
      <c r="A2170" s="12">
        <f t="shared" si="105"/>
        <v>2169</v>
      </c>
      <c r="B2170" s="12"/>
      <c r="C2170" s="20"/>
      <c r="D2170" s="18"/>
      <c r="H2170" s="12" t="str">
        <f t="shared" si="106"/>
        <v>0 г. 0 мес. 0 дн.</v>
      </c>
      <c r="V2170" s="12" t="str">
        <f t="shared" si="107"/>
        <v>0 г. 0 мес. 0 дн.</v>
      </c>
      <c r="W2170" s="22"/>
      <c r="X2170" s="72"/>
    </row>
    <row r="2171" spans="1:24" ht="35.1" customHeight="1" x14ac:dyDescent="0.25">
      <c r="A2171" s="12">
        <f t="shared" si="105"/>
        <v>2170</v>
      </c>
      <c r="B2171" s="12"/>
      <c r="C2171" s="20"/>
      <c r="D2171" s="18"/>
      <c r="H2171" s="12" t="str">
        <f t="shared" si="106"/>
        <v>0 г. 0 мес. 0 дн.</v>
      </c>
      <c r="V2171" s="12" t="str">
        <f t="shared" si="107"/>
        <v>0 г. 0 мес. 0 дн.</v>
      </c>
      <c r="W2171" s="22"/>
      <c r="X2171" s="72"/>
    </row>
    <row r="2172" spans="1:24" ht="35.1" customHeight="1" x14ac:dyDescent="0.25">
      <c r="A2172" s="12">
        <f t="shared" si="105"/>
        <v>2171</v>
      </c>
      <c r="B2172" s="12"/>
      <c r="C2172" s="20"/>
      <c r="D2172" s="18"/>
      <c r="H2172" s="12" t="str">
        <f t="shared" si="106"/>
        <v>0 г. 0 мес. 0 дн.</v>
      </c>
      <c r="V2172" s="12" t="str">
        <f t="shared" si="107"/>
        <v>0 г. 0 мес. 0 дн.</v>
      </c>
      <c r="W2172" s="22"/>
      <c r="X2172" s="72"/>
    </row>
    <row r="2173" spans="1:24" ht="35.1" customHeight="1" x14ac:dyDescent="0.25">
      <c r="A2173" s="12">
        <f t="shared" si="105"/>
        <v>2172</v>
      </c>
      <c r="B2173" s="12"/>
      <c r="C2173" s="20"/>
      <c r="D2173" s="18"/>
      <c r="H2173" s="12" t="str">
        <f t="shared" si="106"/>
        <v>0 г. 0 мес. 0 дн.</v>
      </c>
      <c r="V2173" s="12" t="str">
        <f t="shared" si="107"/>
        <v>0 г. 0 мес. 0 дн.</v>
      </c>
      <c r="W2173" s="22"/>
      <c r="X2173" s="72"/>
    </row>
    <row r="2174" spans="1:24" ht="35.1" customHeight="1" x14ac:dyDescent="0.25">
      <c r="A2174" s="12">
        <f t="shared" si="105"/>
        <v>2173</v>
      </c>
      <c r="B2174" s="12"/>
      <c r="C2174" s="20"/>
      <c r="D2174" s="18"/>
      <c r="H2174" s="12" t="str">
        <f t="shared" si="106"/>
        <v>0 г. 0 мес. 0 дн.</v>
      </c>
      <c r="V2174" s="12" t="str">
        <f t="shared" si="107"/>
        <v>0 г. 0 мес. 0 дн.</v>
      </c>
      <c r="W2174" s="22"/>
      <c r="X2174" s="72"/>
    </row>
    <row r="2175" spans="1:24" ht="35.1" customHeight="1" x14ac:dyDescent="0.25">
      <c r="A2175" s="12">
        <f t="shared" si="105"/>
        <v>2174</v>
      </c>
      <c r="B2175" s="12"/>
      <c r="C2175" s="20"/>
      <c r="D2175" s="18"/>
      <c r="H2175" s="12" t="str">
        <f t="shared" si="106"/>
        <v>0 г. 0 мес. 0 дн.</v>
      </c>
      <c r="V2175" s="12" t="str">
        <f t="shared" si="107"/>
        <v>0 г. 0 мес. 0 дн.</v>
      </c>
      <c r="W2175" s="22"/>
      <c r="X2175" s="72"/>
    </row>
    <row r="2176" spans="1:24" ht="35.1" customHeight="1" x14ac:dyDescent="0.25">
      <c r="A2176" s="12">
        <f t="shared" si="105"/>
        <v>2175</v>
      </c>
      <c r="B2176" s="12"/>
      <c r="C2176" s="20"/>
      <c r="D2176" s="18"/>
      <c r="H2176" s="12" t="str">
        <f t="shared" si="106"/>
        <v>0 г. 0 мес. 0 дн.</v>
      </c>
      <c r="V2176" s="12" t="str">
        <f t="shared" si="107"/>
        <v>0 г. 0 мес. 0 дн.</v>
      </c>
      <c r="W2176" s="22"/>
      <c r="X2176" s="72"/>
    </row>
    <row r="2177" spans="1:24" ht="35.1" customHeight="1" x14ac:dyDescent="0.25">
      <c r="A2177" s="12">
        <f t="shared" ref="A2177:A2240" si="108">ROW(A2176)</f>
        <v>2176</v>
      </c>
      <c r="B2177" s="12"/>
      <c r="C2177" s="20"/>
      <c r="D2177" s="18"/>
      <c r="H2177" s="12" t="str">
        <f t="shared" si="106"/>
        <v>0 г. 0 мес. 0 дн.</v>
      </c>
      <c r="V2177" s="12" t="str">
        <f t="shared" si="107"/>
        <v>0 г. 0 мес. 0 дн.</v>
      </c>
      <c r="W2177" s="22"/>
      <c r="X2177" s="72"/>
    </row>
    <row r="2178" spans="1:24" ht="35.1" customHeight="1" x14ac:dyDescent="0.25">
      <c r="A2178" s="12">
        <f t="shared" si="108"/>
        <v>2177</v>
      </c>
      <c r="B2178" s="12"/>
      <c r="C2178" s="20"/>
      <c r="D2178" s="18"/>
      <c r="H2178" s="12" t="str">
        <f t="shared" si="106"/>
        <v>0 г. 0 мес. 0 дн.</v>
      </c>
      <c r="V2178" s="12" t="str">
        <f t="shared" si="107"/>
        <v>0 г. 0 мес. 0 дн.</v>
      </c>
      <c r="W2178" s="22"/>
      <c r="X2178" s="72"/>
    </row>
    <row r="2179" spans="1:24" ht="35.1" customHeight="1" x14ac:dyDescent="0.25">
      <c r="A2179" s="12">
        <f t="shared" si="108"/>
        <v>2178</v>
      </c>
      <c r="B2179" s="12"/>
      <c r="C2179" s="20"/>
      <c r="D2179" s="18"/>
      <c r="H2179" s="12" t="str">
        <f t="shared" si="106"/>
        <v>0 г. 0 мес. 0 дн.</v>
      </c>
      <c r="V2179" s="12" t="str">
        <f t="shared" si="107"/>
        <v>0 г. 0 мес. 0 дн.</v>
      </c>
      <c r="W2179" s="22"/>
      <c r="X2179" s="72"/>
    </row>
    <row r="2180" spans="1:24" ht="35.1" customHeight="1" x14ac:dyDescent="0.25">
      <c r="A2180" s="12">
        <f t="shared" si="108"/>
        <v>2179</v>
      </c>
      <c r="B2180" s="12"/>
      <c r="C2180" s="20"/>
      <c r="D2180" s="18"/>
      <c r="H2180" s="12" t="str">
        <f t="shared" si="106"/>
        <v>0 г. 0 мес. 0 дн.</v>
      </c>
      <c r="V2180" s="12" t="str">
        <f t="shared" si="107"/>
        <v>0 г. 0 мес. 0 дн.</v>
      </c>
      <c r="W2180" s="22"/>
      <c r="X2180" s="72"/>
    </row>
    <row r="2181" spans="1:24" ht="35.1" customHeight="1" x14ac:dyDescent="0.25">
      <c r="A2181" s="12">
        <f t="shared" si="108"/>
        <v>2180</v>
      </c>
      <c r="B2181" s="12"/>
      <c r="C2181" s="20"/>
      <c r="D2181" s="18"/>
      <c r="H2181" s="12" t="str">
        <f t="shared" si="106"/>
        <v>0 г. 0 мес. 0 дн.</v>
      </c>
      <c r="V2181" s="12" t="str">
        <f t="shared" si="107"/>
        <v>0 г. 0 мес. 0 дн.</v>
      </c>
      <c r="W2181" s="22"/>
      <c r="X2181" s="72"/>
    </row>
    <row r="2182" spans="1:24" ht="35.1" customHeight="1" x14ac:dyDescent="0.25">
      <c r="A2182" s="12">
        <f t="shared" si="108"/>
        <v>2181</v>
      </c>
      <c r="B2182" s="12"/>
      <c r="C2182" s="20"/>
      <c r="D2182" s="18"/>
      <c r="H2182" s="12" t="str">
        <f t="shared" ref="H2182:H2245" si="109">DATEDIF(G2182,D2182,"y") &amp; " г. " &amp; DATEDIF(G2182,D2182,"ym") &amp; " мес. " &amp; DATEDIF(G2182,D2182,"md") &amp; " дн."</f>
        <v>0 г. 0 мес. 0 дн.</v>
      </c>
      <c r="V2182" s="12" t="str">
        <f t="shared" si="107"/>
        <v>0 г. 0 мес. 0 дн.</v>
      </c>
      <c r="W2182" s="22"/>
      <c r="X2182" s="72"/>
    </row>
    <row r="2183" spans="1:24" ht="35.1" customHeight="1" x14ac:dyDescent="0.25">
      <c r="A2183" s="12">
        <f t="shared" si="108"/>
        <v>2182</v>
      </c>
      <c r="B2183" s="12"/>
      <c r="C2183" s="20"/>
      <c r="D2183" s="18"/>
      <c r="H2183" s="12" t="str">
        <f t="shared" si="109"/>
        <v>0 г. 0 мес. 0 дн.</v>
      </c>
      <c r="V2183" s="12" t="str">
        <f t="shared" si="107"/>
        <v>0 г. 0 мес. 0 дн.</v>
      </c>
      <c r="W2183" s="22"/>
      <c r="X2183" s="72"/>
    </row>
    <row r="2184" spans="1:24" ht="35.1" customHeight="1" x14ac:dyDescent="0.25">
      <c r="A2184" s="12">
        <f t="shared" si="108"/>
        <v>2183</v>
      </c>
      <c r="B2184" s="12"/>
      <c r="C2184" s="20"/>
      <c r="D2184" s="18"/>
      <c r="H2184" s="12" t="str">
        <f t="shared" si="109"/>
        <v>0 г. 0 мес. 0 дн.</v>
      </c>
      <c r="V2184" s="12" t="str">
        <f t="shared" si="107"/>
        <v>0 г. 0 мес. 0 дн.</v>
      </c>
      <c r="W2184" s="22"/>
      <c r="X2184" s="72"/>
    </row>
    <row r="2185" spans="1:24" ht="35.1" customHeight="1" x14ac:dyDescent="0.25">
      <c r="A2185" s="12">
        <f t="shared" si="108"/>
        <v>2184</v>
      </c>
      <c r="B2185" s="12"/>
      <c r="C2185" s="20"/>
      <c r="D2185" s="18"/>
      <c r="H2185" s="12" t="str">
        <f t="shared" si="109"/>
        <v>0 г. 0 мес. 0 дн.</v>
      </c>
      <c r="V2185" s="12" t="str">
        <f t="shared" si="107"/>
        <v>0 г. 0 мес. 0 дн.</v>
      </c>
      <c r="W2185" s="22"/>
      <c r="X2185" s="72"/>
    </row>
    <row r="2186" spans="1:24" ht="35.1" customHeight="1" x14ac:dyDescent="0.25">
      <c r="A2186" s="12">
        <f t="shared" si="108"/>
        <v>2185</v>
      </c>
      <c r="B2186" s="12"/>
      <c r="C2186" s="20"/>
      <c r="D2186" s="18"/>
      <c r="H2186" s="12" t="str">
        <f t="shared" si="109"/>
        <v>0 г. 0 мес. 0 дн.</v>
      </c>
      <c r="V2186" s="12" t="str">
        <f t="shared" si="107"/>
        <v>0 г. 0 мес. 0 дн.</v>
      </c>
      <c r="W2186" s="22"/>
      <c r="X2186" s="72"/>
    </row>
    <row r="2187" spans="1:24" ht="35.1" customHeight="1" x14ac:dyDescent="0.25">
      <c r="A2187" s="12">
        <f t="shared" si="108"/>
        <v>2186</v>
      </c>
      <c r="B2187" s="12"/>
      <c r="C2187" s="20"/>
      <c r="D2187" s="18"/>
      <c r="H2187" s="12" t="str">
        <f t="shared" si="109"/>
        <v>0 г. 0 мес. 0 дн.</v>
      </c>
      <c r="V2187" s="12" t="str">
        <f t="shared" si="107"/>
        <v>0 г. 0 мес. 0 дн.</v>
      </c>
      <c r="W2187" s="22"/>
      <c r="X2187" s="72"/>
    </row>
    <row r="2188" spans="1:24" ht="35.1" customHeight="1" x14ac:dyDescent="0.25">
      <c r="A2188" s="12">
        <f t="shared" si="108"/>
        <v>2187</v>
      </c>
      <c r="B2188" s="12"/>
      <c r="C2188" s="20"/>
      <c r="D2188" s="18"/>
      <c r="H2188" s="12" t="str">
        <f t="shared" si="109"/>
        <v>0 г. 0 мес. 0 дн.</v>
      </c>
      <c r="V2188" s="12" t="str">
        <f t="shared" si="107"/>
        <v>0 г. 0 мес. 0 дн.</v>
      </c>
      <c r="W2188" s="22"/>
      <c r="X2188" s="72"/>
    </row>
    <row r="2189" spans="1:24" ht="35.1" customHeight="1" x14ac:dyDescent="0.25">
      <c r="A2189" s="12">
        <f t="shared" si="108"/>
        <v>2188</v>
      </c>
      <c r="B2189" s="12"/>
      <c r="C2189" s="20"/>
      <c r="D2189" s="18"/>
      <c r="H2189" s="12" t="str">
        <f t="shared" si="109"/>
        <v>0 г. 0 мес. 0 дн.</v>
      </c>
      <c r="V2189" s="12" t="str">
        <f t="shared" si="107"/>
        <v>0 г. 0 мес. 0 дн.</v>
      </c>
      <c r="W2189" s="22"/>
      <c r="X2189" s="72"/>
    </row>
    <row r="2190" spans="1:24" ht="35.1" customHeight="1" x14ac:dyDescent="0.25">
      <c r="A2190" s="12">
        <f t="shared" si="108"/>
        <v>2189</v>
      </c>
      <c r="B2190" s="12"/>
      <c r="C2190" s="20"/>
      <c r="D2190" s="18"/>
      <c r="H2190" s="12" t="str">
        <f t="shared" si="109"/>
        <v>0 г. 0 мес. 0 дн.</v>
      </c>
      <c r="V2190" s="12" t="str">
        <f t="shared" si="107"/>
        <v>0 г. 0 мес. 0 дн.</v>
      </c>
      <c r="W2190" s="22"/>
      <c r="X2190" s="72"/>
    </row>
    <row r="2191" spans="1:24" ht="35.1" customHeight="1" x14ac:dyDescent="0.25">
      <c r="A2191" s="12">
        <f t="shared" si="108"/>
        <v>2190</v>
      </c>
      <c r="B2191" s="12"/>
      <c r="C2191" s="20"/>
      <c r="D2191" s="18"/>
      <c r="H2191" s="12" t="str">
        <f t="shared" si="109"/>
        <v>0 г. 0 мес. 0 дн.</v>
      </c>
      <c r="V2191" s="12" t="str">
        <f t="shared" si="107"/>
        <v>0 г. 0 мес. 0 дн.</v>
      </c>
      <c r="W2191" s="22"/>
      <c r="X2191" s="72"/>
    </row>
    <row r="2192" spans="1:24" ht="35.1" customHeight="1" x14ac:dyDescent="0.25">
      <c r="A2192" s="12">
        <f t="shared" si="108"/>
        <v>2191</v>
      </c>
      <c r="B2192" s="12"/>
      <c r="C2192" s="20"/>
      <c r="D2192" s="18"/>
      <c r="H2192" s="12" t="str">
        <f t="shared" si="109"/>
        <v>0 г. 0 мес. 0 дн.</v>
      </c>
      <c r="V2192" s="12" t="str">
        <f t="shared" si="107"/>
        <v>0 г. 0 мес. 0 дн.</v>
      </c>
      <c r="W2192" s="22"/>
      <c r="X2192" s="72"/>
    </row>
    <row r="2193" spans="1:24" ht="35.1" customHeight="1" x14ac:dyDescent="0.25">
      <c r="A2193" s="12">
        <f t="shared" si="108"/>
        <v>2192</v>
      </c>
      <c r="B2193" s="12"/>
      <c r="C2193" s="20"/>
      <c r="D2193" s="18"/>
      <c r="H2193" s="12" t="str">
        <f t="shared" si="109"/>
        <v>0 г. 0 мес. 0 дн.</v>
      </c>
      <c r="V2193" s="12" t="str">
        <f t="shared" si="107"/>
        <v>0 г. 0 мес. 0 дн.</v>
      </c>
      <c r="W2193" s="22"/>
      <c r="X2193" s="72"/>
    </row>
    <row r="2194" spans="1:24" ht="35.1" customHeight="1" x14ac:dyDescent="0.25">
      <c r="A2194" s="12">
        <f t="shared" si="108"/>
        <v>2193</v>
      </c>
      <c r="B2194" s="12"/>
      <c r="C2194" s="20"/>
      <c r="D2194" s="18"/>
      <c r="H2194" s="12" t="str">
        <f t="shared" si="109"/>
        <v>0 г. 0 мес. 0 дн.</v>
      </c>
      <c r="V2194" s="12" t="str">
        <f t="shared" si="107"/>
        <v>0 г. 0 мес. 0 дн.</v>
      </c>
      <c r="W2194" s="22"/>
      <c r="X2194" s="72"/>
    </row>
    <row r="2195" spans="1:24" ht="35.1" customHeight="1" x14ac:dyDescent="0.25">
      <c r="A2195" s="12">
        <f t="shared" si="108"/>
        <v>2194</v>
      </c>
      <c r="B2195" s="12"/>
      <c r="C2195" s="20"/>
      <c r="D2195" s="18"/>
      <c r="H2195" s="12" t="str">
        <f t="shared" si="109"/>
        <v>0 г. 0 мес. 0 дн.</v>
      </c>
      <c r="V2195" s="12" t="str">
        <f t="shared" si="107"/>
        <v>0 г. 0 мес. 0 дн.</v>
      </c>
      <c r="W2195" s="22"/>
      <c r="X2195" s="72"/>
    </row>
    <row r="2196" spans="1:24" ht="35.1" customHeight="1" x14ac:dyDescent="0.25">
      <c r="A2196" s="12">
        <f t="shared" si="108"/>
        <v>2195</v>
      </c>
      <c r="B2196" s="12"/>
      <c r="C2196" s="20"/>
      <c r="D2196" s="18"/>
      <c r="H2196" s="12" t="str">
        <f t="shared" si="109"/>
        <v>0 г. 0 мес. 0 дн.</v>
      </c>
      <c r="V2196" s="12" t="str">
        <f t="shared" si="107"/>
        <v>0 г. 0 мес. 0 дн.</v>
      </c>
      <c r="W2196" s="22"/>
      <c r="X2196" s="72"/>
    </row>
    <row r="2197" spans="1:24" ht="35.1" customHeight="1" x14ac:dyDescent="0.25">
      <c r="A2197" s="12">
        <f t="shared" si="108"/>
        <v>2196</v>
      </c>
      <c r="B2197" s="12"/>
      <c r="C2197" s="20"/>
      <c r="D2197" s="18"/>
      <c r="H2197" s="12" t="str">
        <f t="shared" si="109"/>
        <v>0 г. 0 мес. 0 дн.</v>
      </c>
      <c r="V2197" s="12" t="str">
        <f t="shared" si="107"/>
        <v>0 г. 0 мес. 0 дн.</v>
      </c>
      <c r="W2197" s="22"/>
      <c r="X2197" s="72"/>
    </row>
    <row r="2198" spans="1:24" ht="35.1" customHeight="1" x14ac:dyDescent="0.25">
      <c r="A2198" s="12">
        <f t="shared" si="108"/>
        <v>2197</v>
      </c>
      <c r="B2198" s="12"/>
      <c r="C2198" s="20"/>
      <c r="D2198" s="18"/>
      <c r="H2198" s="12" t="str">
        <f t="shared" si="109"/>
        <v>0 г. 0 мес. 0 дн.</v>
      </c>
      <c r="V2198" s="12" t="str">
        <f t="shared" si="107"/>
        <v>0 г. 0 мес. 0 дн.</v>
      </c>
      <c r="W2198" s="22"/>
      <c r="X2198" s="72"/>
    </row>
    <row r="2199" spans="1:24" ht="35.1" customHeight="1" x14ac:dyDescent="0.25">
      <c r="A2199" s="12">
        <f t="shared" si="108"/>
        <v>2198</v>
      </c>
      <c r="B2199" s="12"/>
      <c r="C2199" s="20"/>
      <c r="D2199" s="18"/>
      <c r="H2199" s="12" t="str">
        <f t="shared" si="109"/>
        <v>0 г. 0 мес. 0 дн.</v>
      </c>
      <c r="V2199" s="12" t="str">
        <f t="shared" si="107"/>
        <v>0 г. 0 мес. 0 дн.</v>
      </c>
      <c r="W2199" s="22"/>
      <c r="X2199" s="72"/>
    </row>
    <row r="2200" spans="1:24" ht="35.1" customHeight="1" x14ac:dyDescent="0.25">
      <c r="A2200" s="12">
        <f t="shared" si="108"/>
        <v>2199</v>
      </c>
      <c r="B2200" s="12"/>
      <c r="C2200" s="20"/>
      <c r="D2200" s="18"/>
      <c r="H2200" s="12" t="str">
        <f t="shared" si="109"/>
        <v>0 г. 0 мес. 0 дн.</v>
      </c>
      <c r="V2200" s="12" t="str">
        <f t="shared" ref="V2200:V2263" si="110">DATEDIF(D2200,T2200,"y") &amp; " г. " &amp; DATEDIF(D2200,T2200,"ym") &amp; " мес. " &amp; DATEDIF(D2200,T2200,"md") &amp; " дн."</f>
        <v>0 г. 0 мес. 0 дн.</v>
      </c>
      <c r="W2200" s="22"/>
      <c r="X2200" s="72"/>
    </row>
    <row r="2201" spans="1:24" ht="35.1" customHeight="1" x14ac:dyDescent="0.25">
      <c r="A2201" s="12">
        <f t="shared" si="108"/>
        <v>2200</v>
      </c>
      <c r="B2201" s="12"/>
      <c r="C2201" s="20"/>
      <c r="D2201" s="18"/>
      <c r="H2201" s="12" t="str">
        <f t="shared" si="109"/>
        <v>0 г. 0 мес. 0 дн.</v>
      </c>
      <c r="V2201" s="12" t="str">
        <f t="shared" si="110"/>
        <v>0 г. 0 мес. 0 дн.</v>
      </c>
      <c r="W2201" s="22"/>
      <c r="X2201" s="72"/>
    </row>
    <row r="2202" spans="1:24" ht="35.1" customHeight="1" x14ac:dyDescent="0.25">
      <c r="A2202" s="12">
        <f t="shared" si="108"/>
        <v>2201</v>
      </c>
      <c r="B2202" s="12"/>
      <c r="C2202" s="20"/>
      <c r="D2202" s="18"/>
      <c r="H2202" s="12" t="str">
        <f t="shared" si="109"/>
        <v>0 г. 0 мес. 0 дн.</v>
      </c>
      <c r="V2202" s="12" t="str">
        <f t="shared" si="110"/>
        <v>0 г. 0 мес. 0 дн.</v>
      </c>
      <c r="W2202" s="22"/>
      <c r="X2202" s="72"/>
    </row>
    <row r="2203" spans="1:24" ht="35.1" customHeight="1" x14ac:dyDescent="0.25">
      <c r="A2203" s="12">
        <f t="shared" si="108"/>
        <v>2202</v>
      </c>
      <c r="B2203" s="12"/>
      <c r="C2203" s="20"/>
      <c r="D2203" s="18"/>
      <c r="H2203" s="12" t="str">
        <f t="shared" si="109"/>
        <v>0 г. 0 мес. 0 дн.</v>
      </c>
      <c r="V2203" s="12" t="str">
        <f t="shared" si="110"/>
        <v>0 г. 0 мес. 0 дн.</v>
      </c>
      <c r="W2203" s="22"/>
      <c r="X2203" s="72"/>
    </row>
    <row r="2204" spans="1:24" ht="35.1" customHeight="1" x14ac:dyDescent="0.25">
      <c r="A2204" s="12">
        <f t="shared" si="108"/>
        <v>2203</v>
      </c>
      <c r="B2204" s="12"/>
      <c r="C2204" s="20"/>
      <c r="D2204" s="18"/>
      <c r="H2204" s="12" t="str">
        <f t="shared" si="109"/>
        <v>0 г. 0 мес. 0 дн.</v>
      </c>
      <c r="V2204" s="12" t="str">
        <f t="shared" si="110"/>
        <v>0 г. 0 мес. 0 дн.</v>
      </c>
      <c r="W2204" s="22"/>
      <c r="X2204" s="72"/>
    </row>
    <row r="2205" spans="1:24" ht="35.1" customHeight="1" x14ac:dyDescent="0.25">
      <c r="A2205" s="12">
        <f t="shared" si="108"/>
        <v>2204</v>
      </c>
      <c r="B2205" s="12"/>
      <c r="C2205" s="20"/>
      <c r="D2205" s="18"/>
      <c r="H2205" s="12" t="str">
        <f t="shared" si="109"/>
        <v>0 г. 0 мес. 0 дн.</v>
      </c>
      <c r="V2205" s="12" t="str">
        <f t="shared" si="110"/>
        <v>0 г. 0 мес. 0 дн.</v>
      </c>
      <c r="W2205" s="22"/>
      <c r="X2205" s="72"/>
    </row>
    <row r="2206" spans="1:24" ht="35.1" customHeight="1" x14ac:dyDescent="0.25">
      <c r="A2206" s="12">
        <f t="shared" si="108"/>
        <v>2205</v>
      </c>
      <c r="B2206" s="12"/>
      <c r="C2206" s="20"/>
      <c r="D2206" s="18"/>
      <c r="H2206" s="12" t="str">
        <f t="shared" si="109"/>
        <v>0 г. 0 мес. 0 дн.</v>
      </c>
      <c r="V2206" s="12" t="str">
        <f t="shared" si="110"/>
        <v>0 г. 0 мес. 0 дн.</v>
      </c>
      <c r="W2206" s="22"/>
      <c r="X2206" s="72"/>
    </row>
    <row r="2207" spans="1:24" ht="35.1" customHeight="1" x14ac:dyDescent="0.25">
      <c r="A2207" s="12">
        <f t="shared" si="108"/>
        <v>2206</v>
      </c>
      <c r="B2207" s="12"/>
      <c r="C2207" s="20"/>
      <c r="D2207" s="18"/>
      <c r="H2207" s="12" t="str">
        <f t="shared" si="109"/>
        <v>0 г. 0 мес. 0 дн.</v>
      </c>
      <c r="V2207" s="12" t="str">
        <f t="shared" si="110"/>
        <v>0 г. 0 мес. 0 дн.</v>
      </c>
      <c r="W2207" s="22"/>
      <c r="X2207" s="72"/>
    </row>
    <row r="2208" spans="1:24" ht="35.1" customHeight="1" x14ac:dyDescent="0.25">
      <c r="A2208" s="12">
        <f t="shared" si="108"/>
        <v>2207</v>
      </c>
      <c r="B2208" s="12"/>
      <c r="C2208" s="20"/>
      <c r="D2208" s="18"/>
      <c r="H2208" s="12" t="str">
        <f t="shared" si="109"/>
        <v>0 г. 0 мес. 0 дн.</v>
      </c>
      <c r="V2208" s="12" t="str">
        <f t="shared" si="110"/>
        <v>0 г. 0 мес. 0 дн.</v>
      </c>
      <c r="W2208" s="22"/>
      <c r="X2208" s="72"/>
    </row>
    <row r="2209" spans="1:24" ht="35.1" customHeight="1" x14ac:dyDescent="0.25">
      <c r="A2209" s="12">
        <f t="shared" si="108"/>
        <v>2208</v>
      </c>
      <c r="B2209" s="12"/>
      <c r="C2209" s="20"/>
      <c r="D2209" s="18"/>
      <c r="H2209" s="12" t="str">
        <f t="shared" si="109"/>
        <v>0 г. 0 мес. 0 дн.</v>
      </c>
      <c r="V2209" s="12" t="str">
        <f t="shared" si="110"/>
        <v>0 г. 0 мес. 0 дн.</v>
      </c>
      <c r="W2209" s="22"/>
      <c r="X2209" s="72"/>
    </row>
    <row r="2210" spans="1:24" ht="35.1" customHeight="1" x14ac:dyDescent="0.25">
      <c r="A2210" s="12">
        <f t="shared" si="108"/>
        <v>2209</v>
      </c>
      <c r="B2210" s="12"/>
      <c r="C2210" s="20"/>
      <c r="D2210" s="18"/>
      <c r="H2210" s="12" t="str">
        <f t="shared" si="109"/>
        <v>0 г. 0 мес. 0 дн.</v>
      </c>
      <c r="V2210" s="12" t="str">
        <f t="shared" si="110"/>
        <v>0 г. 0 мес. 0 дн.</v>
      </c>
      <c r="W2210" s="22"/>
      <c r="X2210" s="72"/>
    </row>
    <row r="2211" spans="1:24" ht="35.1" customHeight="1" x14ac:dyDescent="0.25">
      <c r="A2211" s="12">
        <f t="shared" si="108"/>
        <v>2210</v>
      </c>
      <c r="B2211" s="12"/>
      <c r="C2211" s="20"/>
      <c r="D2211" s="18"/>
      <c r="H2211" s="12" t="str">
        <f t="shared" si="109"/>
        <v>0 г. 0 мес. 0 дн.</v>
      </c>
      <c r="V2211" s="12" t="str">
        <f t="shared" si="110"/>
        <v>0 г. 0 мес. 0 дн.</v>
      </c>
      <c r="W2211" s="22"/>
      <c r="X2211" s="72"/>
    </row>
    <row r="2212" spans="1:24" ht="35.1" customHeight="1" x14ac:dyDescent="0.25">
      <c r="A2212" s="12">
        <f t="shared" si="108"/>
        <v>2211</v>
      </c>
      <c r="B2212" s="12"/>
      <c r="C2212" s="20"/>
      <c r="D2212" s="18"/>
      <c r="H2212" s="12" t="str">
        <f t="shared" si="109"/>
        <v>0 г. 0 мес. 0 дн.</v>
      </c>
      <c r="V2212" s="12" t="str">
        <f t="shared" si="110"/>
        <v>0 г. 0 мес. 0 дн.</v>
      </c>
      <c r="W2212" s="22"/>
      <c r="X2212" s="72"/>
    </row>
    <row r="2213" spans="1:24" ht="35.1" customHeight="1" x14ac:dyDescent="0.25">
      <c r="A2213" s="12">
        <f t="shared" si="108"/>
        <v>2212</v>
      </c>
      <c r="B2213" s="12"/>
      <c r="C2213" s="20"/>
      <c r="D2213" s="18"/>
      <c r="H2213" s="12" t="str">
        <f t="shared" si="109"/>
        <v>0 г. 0 мес. 0 дн.</v>
      </c>
      <c r="V2213" s="12" t="str">
        <f t="shared" si="110"/>
        <v>0 г. 0 мес. 0 дн.</v>
      </c>
      <c r="W2213" s="22"/>
      <c r="X2213" s="72"/>
    </row>
    <row r="2214" spans="1:24" ht="35.1" customHeight="1" x14ac:dyDescent="0.25">
      <c r="A2214" s="12">
        <f t="shared" si="108"/>
        <v>2213</v>
      </c>
      <c r="B2214" s="12"/>
      <c r="C2214" s="20"/>
      <c r="D2214" s="18"/>
      <c r="H2214" s="12" t="str">
        <f t="shared" si="109"/>
        <v>0 г. 0 мес. 0 дн.</v>
      </c>
      <c r="V2214" s="12" t="str">
        <f t="shared" si="110"/>
        <v>0 г. 0 мес. 0 дн.</v>
      </c>
      <c r="W2214" s="22"/>
      <c r="X2214" s="72"/>
    </row>
    <row r="2215" spans="1:24" ht="35.1" customHeight="1" x14ac:dyDescent="0.25">
      <c r="A2215" s="12">
        <f t="shared" si="108"/>
        <v>2214</v>
      </c>
      <c r="B2215" s="12"/>
      <c r="C2215" s="20"/>
      <c r="D2215" s="18"/>
      <c r="H2215" s="12" t="str">
        <f t="shared" si="109"/>
        <v>0 г. 0 мес. 0 дн.</v>
      </c>
      <c r="V2215" s="12" t="str">
        <f t="shared" si="110"/>
        <v>0 г. 0 мес. 0 дн.</v>
      </c>
      <c r="W2215" s="22"/>
      <c r="X2215" s="72"/>
    </row>
    <row r="2216" spans="1:24" ht="35.1" customHeight="1" x14ac:dyDescent="0.25">
      <c r="A2216" s="12">
        <f t="shared" si="108"/>
        <v>2215</v>
      </c>
      <c r="B2216" s="12"/>
      <c r="C2216" s="20"/>
      <c r="D2216" s="18"/>
      <c r="H2216" s="12" t="str">
        <f t="shared" si="109"/>
        <v>0 г. 0 мес. 0 дн.</v>
      </c>
      <c r="V2216" s="12" t="str">
        <f t="shared" si="110"/>
        <v>0 г. 0 мес. 0 дн.</v>
      </c>
      <c r="W2216" s="22"/>
      <c r="X2216" s="72"/>
    </row>
    <row r="2217" spans="1:24" ht="35.1" customHeight="1" x14ac:dyDescent="0.25">
      <c r="A2217" s="12">
        <f t="shared" si="108"/>
        <v>2216</v>
      </c>
      <c r="B2217" s="12"/>
      <c r="C2217" s="20"/>
      <c r="D2217" s="18"/>
      <c r="H2217" s="12" t="str">
        <f t="shared" si="109"/>
        <v>0 г. 0 мес. 0 дн.</v>
      </c>
      <c r="V2217" s="12" t="str">
        <f t="shared" si="110"/>
        <v>0 г. 0 мес. 0 дн.</v>
      </c>
      <c r="W2217" s="22"/>
      <c r="X2217" s="72"/>
    </row>
    <row r="2218" spans="1:24" ht="35.1" customHeight="1" x14ac:dyDescent="0.25">
      <c r="A2218" s="12">
        <f t="shared" si="108"/>
        <v>2217</v>
      </c>
      <c r="B2218" s="12"/>
      <c r="C2218" s="20"/>
      <c r="D2218" s="18"/>
      <c r="H2218" s="12" t="str">
        <f t="shared" si="109"/>
        <v>0 г. 0 мес. 0 дн.</v>
      </c>
      <c r="V2218" s="12" t="str">
        <f t="shared" si="110"/>
        <v>0 г. 0 мес. 0 дн.</v>
      </c>
      <c r="W2218" s="22"/>
      <c r="X2218" s="72"/>
    </row>
    <row r="2219" spans="1:24" ht="35.1" customHeight="1" x14ac:dyDescent="0.25">
      <c r="A2219" s="12">
        <f t="shared" si="108"/>
        <v>2218</v>
      </c>
      <c r="B2219" s="12"/>
      <c r="C2219" s="20"/>
      <c r="D2219" s="18"/>
      <c r="H2219" s="12" t="str">
        <f t="shared" si="109"/>
        <v>0 г. 0 мес. 0 дн.</v>
      </c>
      <c r="V2219" s="12" t="str">
        <f t="shared" si="110"/>
        <v>0 г. 0 мес. 0 дн.</v>
      </c>
      <c r="W2219" s="22"/>
      <c r="X2219" s="72"/>
    </row>
    <row r="2220" spans="1:24" ht="35.1" customHeight="1" x14ac:dyDescent="0.25">
      <c r="A2220" s="12">
        <f t="shared" si="108"/>
        <v>2219</v>
      </c>
      <c r="B2220" s="12"/>
      <c r="C2220" s="20"/>
      <c r="D2220" s="18"/>
      <c r="H2220" s="12" t="str">
        <f t="shared" si="109"/>
        <v>0 г. 0 мес. 0 дн.</v>
      </c>
      <c r="V2220" s="12" t="str">
        <f t="shared" si="110"/>
        <v>0 г. 0 мес. 0 дн.</v>
      </c>
      <c r="W2220" s="22"/>
      <c r="X2220" s="72"/>
    </row>
    <row r="2221" spans="1:24" ht="35.1" customHeight="1" x14ac:dyDescent="0.25">
      <c r="A2221" s="12">
        <f t="shared" si="108"/>
        <v>2220</v>
      </c>
      <c r="B2221" s="12"/>
      <c r="C2221" s="20"/>
      <c r="D2221" s="18"/>
      <c r="H2221" s="12" t="str">
        <f t="shared" si="109"/>
        <v>0 г. 0 мес. 0 дн.</v>
      </c>
      <c r="V2221" s="12" t="str">
        <f t="shared" si="110"/>
        <v>0 г. 0 мес. 0 дн.</v>
      </c>
      <c r="W2221" s="22"/>
      <c r="X2221" s="72"/>
    </row>
    <row r="2222" spans="1:24" ht="35.1" customHeight="1" x14ac:dyDescent="0.25">
      <c r="A2222" s="12">
        <f t="shared" si="108"/>
        <v>2221</v>
      </c>
      <c r="B2222" s="12"/>
      <c r="C2222" s="20"/>
      <c r="D2222" s="18"/>
      <c r="H2222" s="12" t="str">
        <f t="shared" si="109"/>
        <v>0 г. 0 мес. 0 дн.</v>
      </c>
      <c r="V2222" s="12" t="str">
        <f t="shared" si="110"/>
        <v>0 г. 0 мес. 0 дн.</v>
      </c>
      <c r="W2222" s="22"/>
      <c r="X2222" s="72"/>
    </row>
    <row r="2223" spans="1:24" ht="35.1" customHeight="1" x14ac:dyDescent="0.25">
      <c r="A2223" s="12">
        <f t="shared" si="108"/>
        <v>2222</v>
      </c>
      <c r="B2223" s="12"/>
      <c r="C2223" s="20"/>
      <c r="D2223" s="18"/>
      <c r="H2223" s="12" t="str">
        <f t="shared" si="109"/>
        <v>0 г. 0 мес. 0 дн.</v>
      </c>
      <c r="V2223" s="12" t="str">
        <f t="shared" si="110"/>
        <v>0 г. 0 мес. 0 дн.</v>
      </c>
      <c r="W2223" s="22"/>
      <c r="X2223" s="72"/>
    </row>
    <row r="2224" spans="1:24" ht="35.1" customHeight="1" x14ac:dyDescent="0.25">
      <c r="A2224" s="12">
        <f t="shared" si="108"/>
        <v>2223</v>
      </c>
      <c r="B2224" s="12"/>
      <c r="C2224" s="20"/>
      <c r="D2224" s="18"/>
      <c r="H2224" s="12" t="str">
        <f t="shared" si="109"/>
        <v>0 г. 0 мес. 0 дн.</v>
      </c>
      <c r="V2224" s="12" t="str">
        <f t="shared" si="110"/>
        <v>0 г. 0 мес. 0 дн.</v>
      </c>
      <c r="W2224" s="22"/>
      <c r="X2224" s="72"/>
    </row>
    <row r="2225" spans="1:24" ht="35.1" customHeight="1" x14ac:dyDescent="0.25">
      <c r="A2225" s="12">
        <f t="shared" si="108"/>
        <v>2224</v>
      </c>
      <c r="B2225" s="12"/>
      <c r="C2225" s="20"/>
      <c r="D2225" s="18"/>
      <c r="H2225" s="12" t="str">
        <f t="shared" si="109"/>
        <v>0 г. 0 мес. 0 дн.</v>
      </c>
      <c r="V2225" s="12" t="str">
        <f t="shared" si="110"/>
        <v>0 г. 0 мес. 0 дн.</v>
      </c>
      <c r="W2225" s="22"/>
      <c r="X2225" s="72"/>
    </row>
    <row r="2226" spans="1:24" ht="35.1" customHeight="1" x14ac:dyDescent="0.25">
      <c r="A2226" s="12">
        <f t="shared" si="108"/>
        <v>2225</v>
      </c>
      <c r="B2226" s="12"/>
      <c r="C2226" s="20"/>
      <c r="D2226" s="18"/>
      <c r="H2226" s="12" t="str">
        <f t="shared" si="109"/>
        <v>0 г. 0 мес. 0 дн.</v>
      </c>
      <c r="V2226" s="12" t="str">
        <f t="shared" si="110"/>
        <v>0 г. 0 мес. 0 дн.</v>
      </c>
      <c r="W2226" s="22"/>
      <c r="X2226" s="72"/>
    </row>
    <row r="2227" spans="1:24" ht="35.1" customHeight="1" x14ac:dyDescent="0.25">
      <c r="A2227" s="12">
        <f t="shared" si="108"/>
        <v>2226</v>
      </c>
      <c r="B2227" s="12"/>
      <c r="C2227" s="20"/>
      <c r="D2227" s="18"/>
      <c r="H2227" s="12" t="str">
        <f t="shared" si="109"/>
        <v>0 г. 0 мес. 0 дн.</v>
      </c>
      <c r="V2227" s="12" t="str">
        <f t="shared" si="110"/>
        <v>0 г. 0 мес. 0 дн.</v>
      </c>
      <c r="W2227" s="22"/>
      <c r="X2227" s="72"/>
    </row>
    <row r="2228" spans="1:24" ht="35.1" customHeight="1" x14ac:dyDescent="0.25">
      <c r="A2228" s="12">
        <f t="shared" si="108"/>
        <v>2227</v>
      </c>
      <c r="B2228" s="12"/>
      <c r="C2228" s="20"/>
      <c r="D2228" s="18"/>
      <c r="H2228" s="12" t="str">
        <f t="shared" si="109"/>
        <v>0 г. 0 мес. 0 дн.</v>
      </c>
      <c r="V2228" s="12" t="str">
        <f t="shared" si="110"/>
        <v>0 г. 0 мес. 0 дн.</v>
      </c>
      <c r="W2228" s="22"/>
      <c r="X2228" s="72"/>
    </row>
    <row r="2229" spans="1:24" ht="35.1" customHeight="1" x14ac:dyDescent="0.25">
      <c r="A2229" s="12">
        <f t="shared" si="108"/>
        <v>2228</v>
      </c>
      <c r="B2229" s="12"/>
      <c r="C2229" s="20"/>
      <c r="D2229" s="18"/>
      <c r="H2229" s="12" t="str">
        <f t="shared" si="109"/>
        <v>0 г. 0 мес. 0 дн.</v>
      </c>
      <c r="V2229" s="12" t="str">
        <f t="shared" si="110"/>
        <v>0 г. 0 мес. 0 дн.</v>
      </c>
      <c r="W2229" s="22"/>
      <c r="X2229" s="72"/>
    </row>
    <row r="2230" spans="1:24" ht="35.1" customHeight="1" x14ac:dyDescent="0.25">
      <c r="A2230" s="12">
        <f t="shared" si="108"/>
        <v>2229</v>
      </c>
      <c r="B2230" s="12"/>
      <c r="C2230" s="20"/>
      <c r="D2230" s="18"/>
      <c r="H2230" s="12" t="str">
        <f t="shared" si="109"/>
        <v>0 г. 0 мес. 0 дн.</v>
      </c>
      <c r="V2230" s="12" t="str">
        <f t="shared" si="110"/>
        <v>0 г. 0 мес. 0 дн.</v>
      </c>
      <c r="W2230" s="22"/>
      <c r="X2230" s="72"/>
    </row>
    <row r="2231" spans="1:24" ht="35.1" customHeight="1" x14ac:dyDescent="0.25">
      <c r="A2231" s="12">
        <f t="shared" si="108"/>
        <v>2230</v>
      </c>
      <c r="B2231" s="12"/>
      <c r="C2231" s="20"/>
      <c r="D2231" s="18"/>
      <c r="H2231" s="12" t="str">
        <f t="shared" si="109"/>
        <v>0 г. 0 мес. 0 дн.</v>
      </c>
      <c r="V2231" s="12" t="str">
        <f t="shared" si="110"/>
        <v>0 г. 0 мес. 0 дн.</v>
      </c>
      <c r="W2231" s="22"/>
      <c r="X2231" s="72"/>
    </row>
    <row r="2232" spans="1:24" ht="35.1" customHeight="1" x14ac:dyDescent="0.25">
      <c r="A2232" s="12">
        <f t="shared" si="108"/>
        <v>2231</v>
      </c>
      <c r="B2232" s="12"/>
      <c r="C2232" s="20"/>
      <c r="D2232" s="18"/>
      <c r="H2232" s="12" t="str">
        <f t="shared" si="109"/>
        <v>0 г. 0 мес. 0 дн.</v>
      </c>
      <c r="V2232" s="12" t="str">
        <f t="shared" si="110"/>
        <v>0 г. 0 мес. 0 дн.</v>
      </c>
      <c r="W2232" s="22"/>
      <c r="X2232" s="72"/>
    </row>
    <row r="2233" spans="1:24" ht="35.1" customHeight="1" x14ac:dyDescent="0.25">
      <c r="A2233" s="12">
        <f t="shared" si="108"/>
        <v>2232</v>
      </c>
      <c r="B2233" s="12"/>
      <c r="C2233" s="20"/>
      <c r="D2233" s="18"/>
      <c r="H2233" s="12" t="str">
        <f t="shared" si="109"/>
        <v>0 г. 0 мес. 0 дн.</v>
      </c>
      <c r="V2233" s="12" t="str">
        <f t="shared" si="110"/>
        <v>0 г. 0 мес. 0 дн.</v>
      </c>
      <c r="W2233" s="22"/>
      <c r="X2233" s="72"/>
    </row>
    <row r="2234" spans="1:24" ht="35.1" customHeight="1" x14ac:dyDescent="0.25">
      <c r="A2234" s="12">
        <f t="shared" si="108"/>
        <v>2233</v>
      </c>
      <c r="B2234" s="12"/>
      <c r="C2234" s="20"/>
      <c r="D2234" s="18"/>
      <c r="H2234" s="12" t="str">
        <f t="shared" si="109"/>
        <v>0 г. 0 мес. 0 дн.</v>
      </c>
      <c r="V2234" s="12" t="str">
        <f t="shared" si="110"/>
        <v>0 г. 0 мес. 0 дн.</v>
      </c>
      <c r="W2234" s="22"/>
      <c r="X2234" s="72"/>
    </row>
    <row r="2235" spans="1:24" ht="35.1" customHeight="1" x14ac:dyDescent="0.25">
      <c r="A2235" s="12">
        <f t="shared" si="108"/>
        <v>2234</v>
      </c>
      <c r="B2235" s="12"/>
      <c r="C2235" s="20"/>
      <c r="D2235" s="18"/>
      <c r="H2235" s="12" t="str">
        <f t="shared" si="109"/>
        <v>0 г. 0 мес. 0 дн.</v>
      </c>
      <c r="V2235" s="12" t="str">
        <f t="shared" si="110"/>
        <v>0 г. 0 мес. 0 дн.</v>
      </c>
      <c r="W2235" s="22"/>
      <c r="X2235" s="72"/>
    </row>
    <row r="2236" spans="1:24" ht="35.1" customHeight="1" x14ac:dyDescent="0.25">
      <c r="A2236" s="12">
        <f t="shared" si="108"/>
        <v>2235</v>
      </c>
      <c r="B2236" s="12"/>
      <c r="C2236" s="20"/>
      <c r="D2236" s="18"/>
      <c r="H2236" s="12" t="str">
        <f t="shared" si="109"/>
        <v>0 г. 0 мес. 0 дн.</v>
      </c>
      <c r="V2236" s="12" t="str">
        <f t="shared" si="110"/>
        <v>0 г. 0 мес. 0 дн.</v>
      </c>
      <c r="W2236" s="22"/>
      <c r="X2236" s="72"/>
    </row>
    <row r="2237" spans="1:24" ht="35.1" customHeight="1" x14ac:dyDescent="0.25">
      <c r="A2237" s="12">
        <f t="shared" si="108"/>
        <v>2236</v>
      </c>
      <c r="B2237" s="12"/>
      <c r="C2237" s="20"/>
      <c r="D2237" s="18"/>
      <c r="H2237" s="12" t="str">
        <f t="shared" si="109"/>
        <v>0 г. 0 мес. 0 дн.</v>
      </c>
      <c r="V2237" s="12" t="str">
        <f t="shared" si="110"/>
        <v>0 г. 0 мес. 0 дн.</v>
      </c>
      <c r="W2237" s="22"/>
      <c r="X2237" s="72"/>
    </row>
    <row r="2238" spans="1:24" ht="35.1" customHeight="1" x14ac:dyDescent="0.25">
      <c r="A2238" s="12">
        <f t="shared" si="108"/>
        <v>2237</v>
      </c>
      <c r="B2238" s="12"/>
      <c r="C2238" s="20"/>
      <c r="D2238" s="18"/>
      <c r="H2238" s="12" t="str">
        <f t="shared" si="109"/>
        <v>0 г. 0 мес. 0 дн.</v>
      </c>
      <c r="V2238" s="12" t="str">
        <f t="shared" si="110"/>
        <v>0 г. 0 мес. 0 дн.</v>
      </c>
      <c r="W2238" s="22"/>
      <c r="X2238" s="72"/>
    </row>
    <row r="2239" spans="1:24" ht="35.1" customHeight="1" x14ac:dyDescent="0.25">
      <c r="A2239" s="12">
        <f t="shared" si="108"/>
        <v>2238</v>
      </c>
      <c r="B2239" s="12"/>
      <c r="C2239" s="20"/>
      <c r="D2239" s="18"/>
      <c r="H2239" s="12" t="str">
        <f t="shared" si="109"/>
        <v>0 г. 0 мес. 0 дн.</v>
      </c>
      <c r="V2239" s="12" t="str">
        <f t="shared" si="110"/>
        <v>0 г. 0 мес. 0 дн.</v>
      </c>
      <c r="W2239" s="22"/>
      <c r="X2239" s="72"/>
    </row>
    <row r="2240" spans="1:24" ht="35.1" customHeight="1" x14ac:dyDescent="0.25">
      <c r="A2240" s="12">
        <f t="shared" si="108"/>
        <v>2239</v>
      </c>
      <c r="B2240" s="12"/>
      <c r="C2240" s="20"/>
      <c r="D2240" s="18"/>
      <c r="H2240" s="12" t="str">
        <f t="shared" si="109"/>
        <v>0 г. 0 мес. 0 дн.</v>
      </c>
      <c r="V2240" s="12" t="str">
        <f t="shared" si="110"/>
        <v>0 г. 0 мес. 0 дн.</v>
      </c>
      <c r="W2240" s="22"/>
      <c r="X2240" s="72"/>
    </row>
    <row r="2241" spans="1:24" ht="35.1" customHeight="1" x14ac:dyDescent="0.25">
      <c r="A2241" s="12">
        <f t="shared" ref="A2241:A2304" si="111">ROW(A2240)</f>
        <v>2240</v>
      </c>
      <c r="B2241" s="12"/>
      <c r="C2241" s="20"/>
      <c r="D2241" s="18"/>
      <c r="H2241" s="12" t="str">
        <f t="shared" si="109"/>
        <v>0 г. 0 мес. 0 дн.</v>
      </c>
      <c r="V2241" s="12" t="str">
        <f t="shared" si="110"/>
        <v>0 г. 0 мес. 0 дн.</v>
      </c>
      <c r="W2241" s="22"/>
      <c r="X2241" s="72"/>
    </row>
    <row r="2242" spans="1:24" ht="35.1" customHeight="1" x14ac:dyDescent="0.25">
      <c r="A2242" s="12">
        <f t="shared" si="111"/>
        <v>2241</v>
      </c>
      <c r="B2242" s="12"/>
      <c r="C2242" s="20"/>
      <c r="D2242" s="18"/>
      <c r="H2242" s="12" t="str">
        <f t="shared" si="109"/>
        <v>0 г. 0 мес. 0 дн.</v>
      </c>
      <c r="V2242" s="12" t="str">
        <f t="shared" si="110"/>
        <v>0 г. 0 мес. 0 дн.</v>
      </c>
      <c r="W2242" s="22"/>
      <c r="X2242" s="72"/>
    </row>
    <row r="2243" spans="1:24" ht="35.1" customHeight="1" x14ac:dyDescent="0.25">
      <c r="A2243" s="12">
        <f t="shared" si="111"/>
        <v>2242</v>
      </c>
      <c r="B2243" s="12"/>
      <c r="C2243" s="20"/>
      <c r="D2243" s="18"/>
      <c r="H2243" s="12" t="str">
        <f t="shared" si="109"/>
        <v>0 г. 0 мес. 0 дн.</v>
      </c>
      <c r="V2243" s="12" t="str">
        <f t="shared" si="110"/>
        <v>0 г. 0 мес. 0 дн.</v>
      </c>
      <c r="W2243" s="22"/>
      <c r="X2243" s="72"/>
    </row>
    <row r="2244" spans="1:24" ht="35.1" customHeight="1" x14ac:dyDescent="0.25">
      <c r="A2244" s="12">
        <f t="shared" si="111"/>
        <v>2243</v>
      </c>
      <c r="B2244" s="12"/>
      <c r="C2244" s="20"/>
      <c r="D2244" s="18"/>
      <c r="H2244" s="12" t="str">
        <f t="shared" si="109"/>
        <v>0 г. 0 мес. 0 дн.</v>
      </c>
      <c r="V2244" s="12" t="str">
        <f t="shared" si="110"/>
        <v>0 г. 0 мес. 0 дн.</v>
      </c>
      <c r="W2244" s="22"/>
      <c r="X2244" s="72"/>
    </row>
    <row r="2245" spans="1:24" ht="35.1" customHeight="1" x14ac:dyDescent="0.25">
      <c r="A2245" s="12">
        <f t="shared" si="111"/>
        <v>2244</v>
      </c>
      <c r="B2245" s="12"/>
      <c r="C2245" s="20"/>
      <c r="D2245" s="18"/>
      <c r="H2245" s="12" t="str">
        <f t="shared" si="109"/>
        <v>0 г. 0 мес. 0 дн.</v>
      </c>
      <c r="V2245" s="12" t="str">
        <f t="shared" si="110"/>
        <v>0 г. 0 мес. 0 дн.</v>
      </c>
      <c r="W2245" s="22"/>
      <c r="X2245" s="72"/>
    </row>
    <row r="2246" spans="1:24" ht="35.1" customHeight="1" x14ac:dyDescent="0.25">
      <c r="A2246" s="12">
        <f t="shared" si="111"/>
        <v>2245</v>
      </c>
      <c r="B2246" s="12"/>
      <c r="C2246" s="20"/>
      <c r="D2246" s="18"/>
      <c r="H2246" s="12" t="str">
        <f t="shared" ref="H2246:H2309" si="112">DATEDIF(G2246,D2246,"y") &amp; " г. " &amp; DATEDIF(G2246,D2246,"ym") &amp; " мес. " &amp; DATEDIF(G2246,D2246,"md") &amp; " дн."</f>
        <v>0 г. 0 мес. 0 дн.</v>
      </c>
      <c r="V2246" s="12" t="str">
        <f t="shared" si="110"/>
        <v>0 г. 0 мес. 0 дн.</v>
      </c>
      <c r="W2246" s="22"/>
      <c r="X2246" s="72"/>
    </row>
    <row r="2247" spans="1:24" ht="35.1" customHeight="1" x14ac:dyDescent="0.25">
      <c r="A2247" s="12">
        <f t="shared" si="111"/>
        <v>2246</v>
      </c>
      <c r="B2247" s="12"/>
      <c r="C2247" s="20"/>
      <c r="D2247" s="18"/>
      <c r="H2247" s="12" t="str">
        <f t="shared" si="112"/>
        <v>0 г. 0 мес. 0 дн.</v>
      </c>
      <c r="V2247" s="12" t="str">
        <f t="shared" si="110"/>
        <v>0 г. 0 мес. 0 дн.</v>
      </c>
      <c r="W2247" s="22"/>
      <c r="X2247" s="72"/>
    </row>
    <row r="2248" spans="1:24" ht="35.1" customHeight="1" x14ac:dyDescent="0.25">
      <c r="A2248" s="12">
        <f t="shared" si="111"/>
        <v>2247</v>
      </c>
      <c r="B2248" s="12"/>
      <c r="C2248" s="20"/>
      <c r="D2248" s="18"/>
      <c r="H2248" s="12" t="str">
        <f t="shared" si="112"/>
        <v>0 г. 0 мес. 0 дн.</v>
      </c>
      <c r="V2248" s="12" t="str">
        <f t="shared" si="110"/>
        <v>0 г. 0 мес. 0 дн.</v>
      </c>
      <c r="W2248" s="22"/>
      <c r="X2248" s="72"/>
    </row>
    <row r="2249" spans="1:24" ht="35.1" customHeight="1" x14ac:dyDescent="0.25">
      <c r="A2249" s="12">
        <f t="shared" si="111"/>
        <v>2248</v>
      </c>
      <c r="B2249" s="12"/>
      <c r="C2249" s="20"/>
      <c r="D2249" s="18"/>
      <c r="H2249" s="12" t="str">
        <f t="shared" si="112"/>
        <v>0 г. 0 мес. 0 дн.</v>
      </c>
      <c r="V2249" s="12" t="str">
        <f t="shared" si="110"/>
        <v>0 г. 0 мес. 0 дн.</v>
      </c>
      <c r="W2249" s="22"/>
      <c r="X2249" s="72"/>
    </row>
    <row r="2250" spans="1:24" ht="35.1" customHeight="1" x14ac:dyDescent="0.25">
      <c r="A2250" s="12">
        <f t="shared" si="111"/>
        <v>2249</v>
      </c>
      <c r="B2250" s="12"/>
      <c r="C2250" s="20"/>
      <c r="D2250" s="18"/>
      <c r="H2250" s="12" t="str">
        <f t="shared" si="112"/>
        <v>0 г. 0 мес. 0 дн.</v>
      </c>
      <c r="V2250" s="12" t="str">
        <f t="shared" si="110"/>
        <v>0 г. 0 мес. 0 дн.</v>
      </c>
      <c r="W2250" s="22"/>
      <c r="X2250" s="72"/>
    </row>
    <row r="2251" spans="1:24" ht="35.1" customHeight="1" x14ac:dyDescent="0.25">
      <c r="A2251" s="12">
        <f t="shared" si="111"/>
        <v>2250</v>
      </c>
      <c r="B2251" s="12"/>
      <c r="C2251" s="20"/>
      <c r="D2251" s="18"/>
      <c r="H2251" s="12" t="str">
        <f t="shared" si="112"/>
        <v>0 г. 0 мес. 0 дн.</v>
      </c>
      <c r="V2251" s="12" t="str">
        <f t="shared" si="110"/>
        <v>0 г. 0 мес. 0 дн.</v>
      </c>
      <c r="W2251" s="22"/>
      <c r="X2251" s="72"/>
    </row>
    <row r="2252" spans="1:24" ht="35.1" customHeight="1" x14ac:dyDescent="0.25">
      <c r="A2252" s="12">
        <f t="shared" si="111"/>
        <v>2251</v>
      </c>
      <c r="B2252" s="12"/>
      <c r="C2252" s="20"/>
      <c r="D2252" s="18"/>
      <c r="H2252" s="12" t="str">
        <f t="shared" si="112"/>
        <v>0 г. 0 мес. 0 дн.</v>
      </c>
      <c r="V2252" s="12" t="str">
        <f t="shared" si="110"/>
        <v>0 г. 0 мес. 0 дн.</v>
      </c>
      <c r="W2252" s="22"/>
      <c r="X2252" s="72"/>
    </row>
    <row r="2253" spans="1:24" ht="35.1" customHeight="1" x14ac:dyDescent="0.25">
      <c r="A2253" s="12">
        <f t="shared" si="111"/>
        <v>2252</v>
      </c>
      <c r="B2253" s="12"/>
      <c r="C2253" s="20"/>
      <c r="D2253" s="18"/>
      <c r="H2253" s="12" t="str">
        <f t="shared" si="112"/>
        <v>0 г. 0 мес. 0 дн.</v>
      </c>
      <c r="V2253" s="12" t="str">
        <f t="shared" si="110"/>
        <v>0 г. 0 мес. 0 дн.</v>
      </c>
      <c r="W2253" s="22"/>
      <c r="X2253" s="72"/>
    </row>
    <row r="2254" spans="1:24" ht="35.1" customHeight="1" x14ac:dyDescent="0.25">
      <c r="A2254" s="12">
        <f t="shared" si="111"/>
        <v>2253</v>
      </c>
      <c r="B2254" s="12"/>
      <c r="C2254" s="20"/>
      <c r="D2254" s="18"/>
      <c r="H2254" s="12" t="str">
        <f t="shared" si="112"/>
        <v>0 г. 0 мес. 0 дн.</v>
      </c>
      <c r="V2254" s="12" t="str">
        <f t="shared" si="110"/>
        <v>0 г. 0 мес. 0 дн.</v>
      </c>
      <c r="W2254" s="22"/>
      <c r="X2254" s="72"/>
    </row>
    <row r="2255" spans="1:24" ht="35.1" customHeight="1" x14ac:dyDescent="0.25">
      <c r="A2255" s="12">
        <f t="shared" si="111"/>
        <v>2254</v>
      </c>
      <c r="B2255" s="12"/>
      <c r="C2255" s="20"/>
      <c r="D2255" s="18"/>
      <c r="H2255" s="12" t="str">
        <f t="shared" si="112"/>
        <v>0 г. 0 мес. 0 дн.</v>
      </c>
      <c r="V2255" s="12" t="str">
        <f t="shared" si="110"/>
        <v>0 г. 0 мес. 0 дн.</v>
      </c>
      <c r="W2255" s="22"/>
      <c r="X2255" s="72"/>
    </row>
    <row r="2256" spans="1:24" ht="35.1" customHeight="1" x14ac:dyDescent="0.25">
      <c r="A2256" s="12">
        <f t="shared" si="111"/>
        <v>2255</v>
      </c>
      <c r="B2256" s="12"/>
      <c r="C2256" s="20"/>
      <c r="D2256" s="18"/>
      <c r="H2256" s="12" t="str">
        <f t="shared" si="112"/>
        <v>0 г. 0 мес. 0 дн.</v>
      </c>
      <c r="V2256" s="12" t="str">
        <f t="shared" si="110"/>
        <v>0 г. 0 мес. 0 дн.</v>
      </c>
      <c r="W2256" s="22"/>
      <c r="X2256" s="72"/>
    </row>
    <row r="2257" spans="1:24" ht="35.1" customHeight="1" x14ac:dyDescent="0.25">
      <c r="A2257" s="12">
        <f t="shared" si="111"/>
        <v>2256</v>
      </c>
      <c r="B2257" s="12"/>
      <c r="C2257" s="20"/>
      <c r="D2257" s="18"/>
      <c r="H2257" s="12" t="str">
        <f t="shared" si="112"/>
        <v>0 г. 0 мес. 0 дн.</v>
      </c>
      <c r="V2257" s="12" t="str">
        <f t="shared" si="110"/>
        <v>0 г. 0 мес. 0 дн.</v>
      </c>
      <c r="W2257" s="22"/>
      <c r="X2257" s="72"/>
    </row>
    <row r="2258" spans="1:24" ht="35.1" customHeight="1" x14ac:dyDescent="0.25">
      <c r="A2258" s="12">
        <f t="shared" si="111"/>
        <v>2257</v>
      </c>
      <c r="B2258" s="12"/>
      <c r="C2258" s="20"/>
      <c r="D2258" s="18"/>
      <c r="H2258" s="12" t="str">
        <f t="shared" si="112"/>
        <v>0 г. 0 мес. 0 дн.</v>
      </c>
      <c r="V2258" s="12" t="str">
        <f t="shared" si="110"/>
        <v>0 г. 0 мес. 0 дн.</v>
      </c>
      <c r="W2258" s="22"/>
      <c r="X2258" s="72"/>
    </row>
    <row r="2259" spans="1:24" ht="35.1" customHeight="1" x14ac:dyDescent="0.25">
      <c r="A2259" s="12">
        <f t="shared" si="111"/>
        <v>2258</v>
      </c>
      <c r="B2259" s="12"/>
      <c r="C2259" s="20"/>
      <c r="D2259" s="18"/>
      <c r="H2259" s="12" t="str">
        <f t="shared" si="112"/>
        <v>0 г. 0 мес. 0 дн.</v>
      </c>
      <c r="V2259" s="12" t="str">
        <f t="shared" si="110"/>
        <v>0 г. 0 мес. 0 дн.</v>
      </c>
      <c r="W2259" s="22"/>
      <c r="X2259" s="72"/>
    </row>
    <row r="2260" spans="1:24" ht="35.1" customHeight="1" x14ac:dyDescent="0.25">
      <c r="A2260" s="12">
        <f t="shared" si="111"/>
        <v>2259</v>
      </c>
      <c r="B2260" s="12"/>
      <c r="C2260" s="20"/>
      <c r="D2260" s="18"/>
      <c r="H2260" s="12" t="str">
        <f t="shared" si="112"/>
        <v>0 г. 0 мес. 0 дн.</v>
      </c>
      <c r="V2260" s="12" t="str">
        <f t="shared" si="110"/>
        <v>0 г. 0 мес. 0 дн.</v>
      </c>
      <c r="W2260" s="22"/>
      <c r="X2260" s="72"/>
    </row>
    <row r="2261" spans="1:24" ht="35.1" customHeight="1" x14ac:dyDescent="0.25">
      <c r="A2261" s="12">
        <f t="shared" si="111"/>
        <v>2260</v>
      </c>
      <c r="B2261" s="12"/>
      <c r="C2261" s="20"/>
      <c r="D2261" s="18"/>
      <c r="H2261" s="12" t="str">
        <f t="shared" si="112"/>
        <v>0 г. 0 мес. 0 дн.</v>
      </c>
      <c r="V2261" s="12" t="str">
        <f t="shared" si="110"/>
        <v>0 г. 0 мес. 0 дн.</v>
      </c>
      <c r="W2261" s="22"/>
      <c r="X2261" s="72"/>
    </row>
    <row r="2262" spans="1:24" ht="35.1" customHeight="1" x14ac:dyDescent="0.25">
      <c r="A2262" s="12">
        <f t="shared" si="111"/>
        <v>2261</v>
      </c>
      <c r="B2262" s="12"/>
      <c r="C2262" s="20"/>
      <c r="D2262" s="18"/>
      <c r="H2262" s="12" t="str">
        <f t="shared" si="112"/>
        <v>0 г. 0 мес. 0 дн.</v>
      </c>
      <c r="V2262" s="12" t="str">
        <f t="shared" si="110"/>
        <v>0 г. 0 мес. 0 дн.</v>
      </c>
      <c r="W2262" s="22"/>
      <c r="X2262" s="72"/>
    </row>
    <row r="2263" spans="1:24" ht="35.1" customHeight="1" x14ac:dyDescent="0.25">
      <c r="A2263" s="12">
        <f t="shared" si="111"/>
        <v>2262</v>
      </c>
      <c r="B2263" s="12"/>
      <c r="C2263" s="20"/>
      <c r="D2263" s="18"/>
      <c r="H2263" s="12" t="str">
        <f t="shared" si="112"/>
        <v>0 г. 0 мес. 0 дн.</v>
      </c>
      <c r="V2263" s="12" t="str">
        <f t="shared" si="110"/>
        <v>0 г. 0 мес. 0 дн.</v>
      </c>
      <c r="W2263" s="22"/>
      <c r="X2263" s="72"/>
    </row>
    <row r="2264" spans="1:24" ht="35.1" customHeight="1" x14ac:dyDescent="0.25">
      <c r="A2264" s="12">
        <f t="shared" si="111"/>
        <v>2263</v>
      </c>
      <c r="B2264" s="12"/>
      <c r="C2264" s="20"/>
      <c r="D2264" s="18"/>
      <c r="H2264" s="12" t="str">
        <f t="shared" si="112"/>
        <v>0 г. 0 мес. 0 дн.</v>
      </c>
      <c r="V2264" s="12" t="str">
        <f t="shared" ref="V2264:V2327" si="113">DATEDIF(D2264,T2264,"y") &amp; " г. " &amp; DATEDIF(D2264,T2264,"ym") &amp; " мес. " &amp; DATEDIF(D2264,T2264,"md") &amp; " дн."</f>
        <v>0 г. 0 мес. 0 дн.</v>
      </c>
      <c r="W2264" s="22"/>
      <c r="X2264" s="72"/>
    </row>
    <row r="2265" spans="1:24" ht="35.1" customHeight="1" x14ac:dyDescent="0.25">
      <c r="A2265" s="12">
        <f t="shared" si="111"/>
        <v>2264</v>
      </c>
      <c r="B2265" s="12"/>
      <c r="C2265" s="20"/>
      <c r="D2265" s="18"/>
      <c r="H2265" s="12" t="str">
        <f t="shared" si="112"/>
        <v>0 г. 0 мес. 0 дн.</v>
      </c>
      <c r="V2265" s="12" t="str">
        <f t="shared" si="113"/>
        <v>0 г. 0 мес. 0 дн.</v>
      </c>
      <c r="W2265" s="22"/>
      <c r="X2265" s="72"/>
    </row>
    <row r="2266" spans="1:24" ht="35.1" customHeight="1" x14ac:dyDescent="0.25">
      <c r="A2266" s="12">
        <f t="shared" si="111"/>
        <v>2265</v>
      </c>
      <c r="B2266" s="12"/>
      <c r="C2266" s="20"/>
      <c r="D2266" s="18"/>
      <c r="H2266" s="12" t="str">
        <f t="shared" si="112"/>
        <v>0 г. 0 мес. 0 дн.</v>
      </c>
      <c r="V2266" s="12" t="str">
        <f t="shared" si="113"/>
        <v>0 г. 0 мес. 0 дн.</v>
      </c>
      <c r="W2266" s="22"/>
      <c r="X2266" s="72"/>
    </row>
    <row r="2267" spans="1:24" ht="35.1" customHeight="1" x14ac:dyDescent="0.25">
      <c r="A2267" s="12">
        <f t="shared" si="111"/>
        <v>2266</v>
      </c>
      <c r="B2267" s="12"/>
      <c r="C2267" s="20"/>
      <c r="D2267" s="18"/>
      <c r="H2267" s="12" t="str">
        <f t="shared" si="112"/>
        <v>0 г. 0 мес. 0 дн.</v>
      </c>
      <c r="V2267" s="12" t="str">
        <f t="shared" si="113"/>
        <v>0 г. 0 мес. 0 дн.</v>
      </c>
      <c r="W2267" s="22"/>
      <c r="X2267" s="72"/>
    </row>
    <row r="2268" spans="1:24" ht="35.1" customHeight="1" x14ac:dyDescent="0.25">
      <c r="A2268" s="12">
        <f t="shared" si="111"/>
        <v>2267</v>
      </c>
      <c r="B2268" s="12"/>
      <c r="C2268" s="20"/>
      <c r="D2268" s="18"/>
      <c r="H2268" s="12" t="str">
        <f t="shared" si="112"/>
        <v>0 г. 0 мес. 0 дн.</v>
      </c>
      <c r="V2268" s="12" t="str">
        <f t="shared" si="113"/>
        <v>0 г. 0 мес. 0 дн.</v>
      </c>
      <c r="W2268" s="22"/>
      <c r="X2268" s="72"/>
    </row>
    <row r="2269" spans="1:24" ht="35.1" customHeight="1" x14ac:dyDescent="0.25">
      <c r="A2269" s="12">
        <f t="shared" si="111"/>
        <v>2268</v>
      </c>
      <c r="B2269" s="12"/>
      <c r="C2269" s="20"/>
      <c r="D2269" s="18"/>
      <c r="H2269" s="12" t="str">
        <f t="shared" si="112"/>
        <v>0 г. 0 мес. 0 дн.</v>
      </c>
      <c r="V2269" s="12" t="str">
        <f t="shared" si="113"/>
        <v>0 г. 0 мес. 0 дн.</v>
      </c>
      <c r="W2269" s="22"/>
      <c r="X2269" s="72"/>
    </row>
    <row r="2270" spans="1:24" ht="35.1" customHeight="1" x14ac:dyDescent="0.25">
      <c r="A2270" s="12">
        <f t="shared" si="111"/>
        <v>2269</v>
      </c>
      <c r="B2270" s="12"/>
      <c r="C2270" s="20"/>
      <c r="D2270" s="18"/>
      <c r="H2270" s="12" t="str">
        <f t="shared" si="112"/>
        <v>0 г. 0 мес. 0 дн.</v>
      </c>
      <c r="V2270" s="12" t="str">
        <f t="shared" si="113"/>
        <v>0 г. 0 мес. 0 дн.</v>
      </c>
      <c r="W2270" s="22"/>
      <c r="X2270" s="72"/>
    </row>
    <row r="2271" spans="1:24" ht="35.1" customHeight="1" x14ac:dyDescent="0.25">
      <c r="A2271" s="12">
        <f t="shared" si="111"/>
        <v>2270</v>
      </c>
      <c r="B2271" s="12"/>
      <c r="C2271" s="20"/>
      <c r="D2271" s="18"/>
      <c r="H2271" s="12" t="str">
        <f t="shared" si="112"/>
        <v>0 г. 0 мес. 0 дн.</v>
      </c>
      <c r="V2271" s="12" t="str">
        <f t="shared" si="113"/>
        <v>0 г. 0 мес. 0 дн.</v>
      </c>
      <c r="W2271" s="22"/>
      <c r="X2271" s="72"/>
    </row>
    <row r="2272" spans="1:24" ht="35.1" customHeight="1" x14ac:dyDescent="0.25">
      <c r="A2272" s="12">
        <f t="shared" si="111"/>
        <v>2271</v>
      </c>
      <c r="B2272" s="12"/>
      <c r="C2272" s="20"/>
      <c r="D2272" s="18"/>
      <c r="H2272" s="12" t="str">
        <f t="shared" si="112"/>
        <v>0 г. 0 мес. 0 дн.</v>
      </c>
      <c r="V2272" s="12" t="str">
        <f t="shared" si="113"/>
        <v>0 г. 0 мес. 0 дн.</v>
      </c>
      <c r="W2272" s="22"/>
      <c r="X2272" s="72"/>
    </row>
    <row r="2273" spans="1:24" ht="35.1" customHeight="1" x14ac:dyDescent="0.25">
      <c r="A2273" s="12">
        <f t="shared" si="111"/>
        <v>2272</v>
      </c>
      <c r="B2273" s="12"/>
      <c r="C2273" s="20"/>
      <c r="D2273" s="18"/>
      <c r="H2273" s="12" t="str">
        <f t="shared" si="112"/>
        <v>0 г. 0 мес. 0 дн.</v>
      </c>
      <c r="V2273" s="12" t="str">
        <f t="shared" si="113"/>
        <v>0 г. 0 мес. 0 дн.</v>
      </c>
      <c r="W2273" s="22"/>
      <c r="X2273" s="72"/>
    </row>
    <row r="2274" spans="1:24" ht="35.1" customHeight="1" x14ac:dyDescent="0.25">
      <c r="A2274" s="12">
        <f t="shared" si="111"/>
        <v>2273</v>
      </c>
      <c r="B2274" s="12"/>
      <c r="C2274" s="20"/>
      <c r="D2274" s="18"/>
      <c r="H2274" s="12" t="str">
        <f t="shared" si="112"/>
        <v>0 г. 0 мес. 0 дн.</v>
      </c>
      <c r="V2274" s="12" t="str">
        <f t="shared" si="113"/>
        <v>0 г. 0 мес. 0 дн.</v>
      </c>
      <c r="W2274" s="22"/>
      <c r="X2274" s="72"/>
    </row>
    <row r="2275" spans="1:24" ht="35.1" customHeight="1" x14ac:dyDescent="0.25">
      <c r="A2275" s="12">
        <f t="shared" si="111"/>
        <v>2274</v>
      </c>
      <c r="B2275" s="12"/>
      <c r="C2275" s="20"/>
      <c r="D2275" s="18"/>
      <c r="H2275" s="12" t="str">
        <f t="shared" si="112"/>
        <v>0 г. 0 мес. 0 дн.</v>
      </c>
      <c r="V2275" s="12" t="str">
        <f t="shared" si="113"/>
        <v>0 г. 0 мес. 0 дн.</v>
      </c>
      <c r="W2275" s="22"/>
      <c r="X2275" s="72"/>
    </row>
    <row r="2276" spans="1:24" ht="35.1" customHeight="1" x14ac:dyDescent="0.25">
      <c r="A2276" s="12">
        <f t="shared" si="111"/>
        <v>2275</v>
      </c>
      <c r="B2276" s="12"/>
      <c r="C2276" s="20"/>
      <c r="D2276" s="18"/>
      <c r="H2276" s="12" t="str">
        <f t="shared" si="112"/>
        <v>0 г. 0 мес. 0 дн.</v>
      </c>
      <c r="V2276" s="12" t="str">
        <f t="shared" si="113"/>
        <v>0 г. 0 мес. 0 дн.</v>
      </c>
      <c r="W2276" s="22"/>
      <c r="X2276" s="72"/>
    </row>
    <row r="2277" spans="1:24" ht="35.1" customHeight="1" x14ac:dyDescent="0.25">
      <c r="A2277" s="12">
        <f t="shared" si="111"/>
        <v>2276</v>
      </c>
      <c r="B2277" s="12"/>
      <c r="C2277" s="20"/>
      <c r="D2277" s="18"/>
      <c r="H2277" s="12" t="str">
        <f t="shared" si="112"/>
        <v>0 г. 0 мес. 0 дн.</v>
      </c>
      <c r="V2277" s="12" t="str">
        <f t="shared" si="113"/>
        <v>0 г. 0 мес. 0 дн.</v>
      </c>
      <c r="W2277" s="22"/>
      <c r="X2277" s="72"/>
    </row>
    <row r="2278" spans="1:24" ht="35.1" customHeight="1" x14ac:dyDescent="0.25">
      <c r="A2278" s="12">
        <f t="shared" si="111"/>
        <v>2277</v>
      </c>
      <c r="B2278" s="12"/>
      <c r="C2278" s="20"/>
      <c r="D2278" s="18"/>
      <c r="H2278" s="12" t="str">
        <f t="shared" si="112"/>
        <v>0 г. 0 мес. 0 дн.</v>
      </c>
      <c r="V2278" s="12" t="str">
        <f t="shared" si="113"/>
        <v>0 г. 0 мес. 0 дн.</v>
      </c>
      <c r="W2278" s="22"/>
      <c r="X2278" s="72"/>
    </row>
    <row r="2279" spans="1:24" ht="35.1" customHeight="1" x14ac:dyDescent="0.25">
      <c r="A2279" s="12">
        <f t="shared" si="111"/>
        <v>2278</v>
      </c>
      <c r="B2279" s="12"/>
      <c r="C2279" s="20"/>
      <c r="D2279" s="18"/>
      <c r="H2279" s="12" t="str">
        <f t="shared" si="112"/>
        <v>0 г. 0 мес. 0 дн.</v>
      </c>
      <c r="V2279" s="12" t="str">
        <f t="shared" si="113"/>
        <v>0 г. 0 мес. 0 дн.</v>
      </c>
      <c r="W2279" s="22"/>
      <c r="X2279" s="72"/>
    </row>
    <row r="2280" spans="1:24" ht="35.1" customHeight="1" x14ac:dyDescent="0.25">
      <c r="A2280" s="12">
        <f t="shared" si="111"/>
        <v>2279</v>
      </c>
      <c r="B2280" s="12"/>
      <c r="C2280" s="20"/>
      <c r="D2280" s="18"/>
      <c r="H2280" s="12" t="str">
        <f t="shared" si="112"/>
        <v>0 г. 0 мес. 0 дн.</v>
      </c>
      <c r="V2280" s="12" t="str">
        <f t="shared" si="113"/>
        <v>0 г. 0 мес. 0 дн.</v>
      </c>
      <c r="W2280" s="22"/>
      <c r="X2280" s="72"/>
    </row>
    <row r="2281" spans="1:24" ht="35.1" customHeight="1" x14ac:dyDescent="0.25">
      <c r="A2281" s="12">
        <f t="shared" si="111"/>
        <v>2280</v>
      </c>
      <c r="B2281" s="12"/>
      <c r="C2281" s="20"/>
      <c r="D2281" s="18"/>
      <c r="H2281" s="12" t="str">
        <f t="shared" si="112"/>
        <v>0 г. 0 мес. 0 дн.</v>
      </c>
      <c r="V2281" s="12" t="str">
        <f t="shared" si="113"/>
        <v>0 г. 0 мес. 0 дн.</v>
      </c>
      <c r="W2281" s="22"/>
      <c r="X2281" s="72"/>
    </row>
    <row r="2282" spans="1:24" ht="35.1" customHeight="1" x14ac:dyDescent="0.25">
      <c r="A2282" s="12">
        <f t="shared" si="111"/>
        <v>2281</v>
      </c>
      <c r="B2282" s="12"/>
      <c r="C2282" s="20"/>
      <c r="D2282" s="18"/>
      <c r="H2282" s="12" t="str">
        <f t="shared" si="112"/>
        <v>0 г. 0 мес. 0 дн.</v>
      </c>
      <c r="V2282" s="12" t="str">
        <f t="shared" si="113"/>
        <v>0 г. 0 мес. 0 дн.</v>
      </c>
      <c r="W2282" s="22"/>
      <c r="X2282" s="72"/>
    </row>
    <row r="2283" spans="1:24" ht="35.1" customHeight="1" x14ac:dyDescent="0.25">
      <c r="A2283" s="12">
        <f t="shared" si="111"/>
        <v>2282</v>
      </c>
      <c r="B2283" s="12"/>
      <c r="C2283" s="20"/>
      <c r="D2283" s="18"/>
      <c r="H2283" s="12" t="str">
        <f t="shared" si="112"/>
        <v>0 г. 0 мес. 0 дн.</v>
      </c>
      <c r="V2283" s="12" t="str">
        <f t="shared" si="113"/>
        <v>0 г. 0 мес. 0 дн.</v>
      </c>
      <c r="W2283" s="22"/>
      <c r="X2283" s="72"/>
    </row>
    <row r="2284" spans="1:24" ht="35.1" customHeight="1" x14ac:dyDescent="0.25">
      <c r="A2284" s="12">
        <f t="shared" si="111"/>
        <v>2283</v>
      </c>
      <c r="B2284" s="12"/>
      <c r="C2284" s="20"/>
      <c r="D2284" s="18"/>
      <c r="H2284" s="12" t="str">
        <f t="shared" si="112"/>
        <v>0 г. 0 мес. 0 дн.</v>
      </c>
      <c r="V2284" s="12" t="str">
        <f t="shared" si="113"/>
        <v>0 г. 0 мес. 0 дн.</v>
      </c>
      <c r="W2284" s="22"/>
      <c r="X2284" s="72"/>
    </row>
    <row r="2285" spans="1:24" ht="35.1" customHeight="1" x14ac:dyDescent="0.25">
      <c r="A2285" s="12">
        <f t="shared" si="111"/>
        <v>2284</v>
      </c>
      <c r="B2285" s="12"/>
      <c r="C2285" s="20"/>
      <c r="D2285" s="18"/>
      <c r="H2285" s="12" t="str">
        <f t="shared" si="112"/>
        <v>0 г. 0 мес. 0 дн.</v>
      </c>
      <c r="V2285" s="12" t="str">
        <f t="shared" si="113"/>
        <v>0 г. 0 мес. 0 дн.</v>
      </c>
      <c r="W2285" s="22"/>
      <c r="X2285" s="72"/>
    </row>
    <row r="2286" spans="1:24" ht="35.1" customHeight="1" x14ac:dyDescent="0.25">
      <c r="A2286" s="12">
        <f t="shared" si="111"/>
        <v>2285</v>
      </c>
      <c r="B2286" s="12"/>
      <c r="C2286" s="20"/>
      <c r="D2286" s="18"/>
      <c r="H2286" s="12" t="str">
        <f t="shared" si="112"/>
        <v>0 г. 0 мес. 0 дн.</v>
      </c>
      <c r="V2286" s="12" t="str">
        <f t="shared" si="113"/>
        <v>0 г. 0 мес. 0 дн.</v>
      </c>
      <c r="W2286" s="22"/>
      <c r="X2286" s="72"/>
    </row>
    <row r="2287" spans="1:24" ht="35.1" customHeight="1" x14ac:dyDescent="0.25">
      <c r="A2287" s="12">
        <f t="shared" si="111"/>
        <v>2286</v>
      </c>
      <c r="B2287" s="12"/>
      <c r="C2287" s="20"/>
      <c r="D2287" s="18"/>
      <c r="H2287" s="12" t="str">
        <f t="shared" si="112"/>
        <v>0 г. 0 мес. 0 дн.</v>
      </c>
      <c r="V2287" s="12" t="str">
        <f t="shared" si="113"/>
        <v>0 г. 0 мес. 0 дн.</v>
      </c>
      <c r="W2287" s="22"/>
      <c r="X2287" s="72"/>
    </row>
    <row r="2288" spans="1:24" ht="35.1" customHeight="1" x14ac:dyDescent="0.25">
      <c r="A2288" s="12">
        <f t="shared" si="111"/>
        <v>2287</v>
      </c>
      <c r="B2288" s="12"/>
      <c r="C2288" s="20"/>
      <c r="D2288" s="18"/>
      <c r="H2288" s="12" t="str">
        <f t="shared" si="112"/>
        <v>0 г. 0 мес. 0 дн.</v>
      </c>
      <c r="V2288" s="12" t="str">
        <f t="shared" si="113"/>
        <v>0 г. 0 мес. 0 дн.</v>
      </c>
      <c r="W2288" s="22"/>
      <c r="X2288" s="72"/>
    </row>
    <row r="2289" spans="1:24" ht="35.1" customHeight="1" x14ac:dyDescent="0.25">
      <c r="A2289" s="12">
        <f t="shared" si="111"/>
        <v>2288</v>
      </c>
      <c r="B2289" s="12"/>
      <c r="C2289" s="20"/>
      <c r="D2289" s="18"/>
      <c r="H2289" s="12" t="str">
        <f t="shared" si="112"/>
        <v>0 г. 0 мес. 0 дн.</v>
      </c>
      <c r="V2289" s="12" t="str">
        <f t="shared" si="113"/>
        <v>0 г. 0 мес. 0 дн.</v>
      </c>
      <c r="W2289" s="22"/>
      <c r="X2289" s="72"/>
    </row>
    <row r="2290" spans="1:24" ht="35.1" customHeight="1" x14ac:dyDescent="0.25">
      <c r="A2290" s="12">
        <f t="shared" si="111"/>
        <v>2289</v>
      </c>
      <c r="B2290" s="12"/>
      <c r="C2290" s="20"/>
      <c r="D2290" s="18"/>
      <c r="H2290" s="12" t="str">
        <f t="shared" si="112"/>
        <v>0 г. 0 мес. 0 дн.</v>
      </c>
      <c r="V2290" s="12" t="str">
        <f t="shared" si="113"/>
        <v>0 г. 0 мес. 0 дн.</v>
      </c>
      <c r="W2290" s="22"/>
      <c r="X2290" s="72"/>
    </row>
    <row r="2291" spans="1:24" ht="35.1" customHeight="1" x14ac:dyDescent="0.25">
      <c r="A2291" s="12">
        <f t="shared" si="111"/>
        <v>2290</v>
      </c>
      <c r="B2291" s="12"/>
      <c r="C2291" s="20"/>
      <c r="D2291" s="18"/>
      <c r="H2291" s="12" t="str">
        <f t="shared" si="112"/>
        <v>0 г. 0 мес. 0 дн.</v>
      </c>
      <c r="V2291" s="12" t="str">
        <f t="shared" si="113"/>
        <v>0 г. 0 мес. 0 дн.</v>
      </c>
      <c r="W2291" s="22"/>
      <c r="X2291" s="72"/>
    </row>
    <row r="2292" spans="1:24" ht="35.1" customHeight="1" x14ac:dyDescent="0.25">
      <c r="A2292" s="12">
        <f t="shared" si="111"/>
        <v>2291</v>
      </c>
      <c r="B2292" s="12"/>
      <c r="C2292" s="20"/>
      <c r="D2292" s="18"/>
      <c r="H2292" s="12" t="str">
        <f t="shared" si="112"/>
        <v>0 г. 0 мес. 0 дн.</v>
      </c>
      <c r="V2292" s="12" t="str">
        <f t="shared" si="113"/>
        <v>0 г. 0 мес. 0 дн.</v>
      </c>
      <c r="W2292" s="22"/>
      <c r="X2292" s="72"/>
    </row>
    <row r="2293" spans="1:24" ht="35.1" customHeight="1" x14ac:dyDescent="0.25">
      <c r="A2293" s="12">
        <f t="shared" si="111"/>
        <v>2292</v>
      </c>
      <c r="B2293" s="12"/>
      <c r="C2293" s="20"/>
      <c r="D2293" s="18"/>
      <c r="H2293" s="12" t="str">
        <f t="shared" si="112"/>
        <v>0 г. 0 мес. 0 дн.</v>
      </c>
      <c r="V2293" s="12" t="str">
        <f t="shared" si="113"/>
        <v>0 г. 0 мес. 0 дн.</v>
      </c>
      <c r="W2293" s="22"/>
      <c r="X2293" s="72"/>
    </row>
    <row r="2294" spans="1:24" ht="35.1" customHeight="1" x14ac:dyDescent="0.25">
      <c r="A2294" s="12">
        <f t="shared" si="111"/>
        <v>2293</v>
      </c>
      <c r="B2294" s="12"/>
      <c r="C2294" s="20"/>
      <c r="D2294" s="18"/>
      <c r="H2294" s="12" t="str">
        <f t="shared" si="112"/>
        <v>0 г. 0 мес. 0 дн.</v>
      </c>
      <c r="V2294" s="12" t="str">
        <f t="shared" si="113"/>
        <v>0 г. 0 мес. 0 дн.</v>
      </c>
      <c r="W2294" s="22"/>
      <c r="X2294" s="72"/>
    </row>
    <row r="2295" spans="1:24" ht="35.1" customHeight="1" x14ac:dyDescent="0.25">
      <c r="A2295" s="12">
        <f t="shared" si="111"/>
        <v>2294</v>
      </c>
      <c r="B2295" s="12"/>
      <c r="C2295" s="20"/>
      <c r="D2295" s="18"/>
      <c r="H2295" s="12" t="str">
        <f t="shared" si="112"/>
        <v>0 г. 0 мес. 0 дн.</v>
      </c>
      <c r="V2295" s="12" t="str">
        <f t="shared" si="113"/>
        <v>0 г. 0 мес. 0 дн.</v>
      </c>
      <c r="W2295" s="22"/>
      <c r="X2295" s="72"/>
    </row>
    <row r="2296" spans="1:24" ht="35.1" customHeight="1" x14ac:dyDescent="0.25">
      <c r="A2296" s="12">
        <f t="shared" si="111"/>
        <v>2295</v>
      </c>
      <c r="B2296" s="12"/>
      <c r="C2296" s="20"/>
      <c r="D2296" s="18"/>
      <c r="H2296" s="12" t="str">
        <f t="shared" si="112"/>
        <v>0 г. 0 мес. 0 дн.</v>
      </c>
      <c r="V2296" s="12" t="str">
        <f t="shared" si="113"/>
        <v>0 г. 0 мес. 0 дн.</v>
      </c>
      <c r="W2296" s="22"/>
      <c r="X2296" s="72"/>
    </row>
    <row r="2297" spans="1:24" ht="35.1" customHeight="1" x14ac:dyDescent="0.25">
      <c r="A2297" s="12">
        <f t="shared" si="111"/>
        <v>2296</v>
      </c>
      <c r="B2297" s="12"/>
      <c r="C2297" s="20"/>
      <c r="D2297" s="18"/>
      <c r="H2297" s="12" t="str">
        <f t="shared" si="112"/>
        <v>0 г. 0 мес. 0 дн.</v>
      </c>
      <c r="V2297" s="12" t="str">
        <f t="shared" si="113"/>
        <v>0 г. 0 мес. 0 дн.</v>
      </c>
      <c r="W2297" s="22"/>
      <c r="X2297" s="72"/>
    </row>
    <row r="2298" spans="1:24" ht="35.1" customHeight="1" x14ac:dyDescent="0.25">
      <c r="A2298" s="12">
        <f t="shared" si="111"/>
        <v>2297</v>
      </c>
      <c r="B2298" s="12"/>
      <c r="C2298" s="20"/>
      <c r="D2298" s="18"/>
      <c r="H2298" s="12" t="str">
        <f t="shared" si="112"/>
        <v>0 г. 0 мес. 0 дн.</v>
      </c>
      <c r="V2298" s="12" t="str">
        <f t="shared" si="113"/>
        <v>0 г. 0 мес. 0 дн.</v>
      </c>
      <c r="W2298" s="22"/>
      <c r="X2298" s="72"/>
    </row>
    <row r="2299" spans="1:24" ht="35.1" customHeight="1" x14ac:dyDescent="0.25">
      <c r="A2299" s="12">
        <f t="shared" si="111"/>
        <v>2298</v>
      </c>
      <c r="B2299" s="12"/>
      <c r="C2299" s="20"/>
      <c r="D2299" s="18"/>
      <c r="H2299" s="12" t="str">
        <f t="shared" si="112"/>
        <v>0 г. 0 мес. 0 дн.</v>
      </c>
      <c r="V2299" s="12" t="str">
        <f t="shared" si="113"/>
        <v>0 г. 0 мес. 0 дн.</v>
      </c>
      <c r="W2299" s="22"/>
      <c r="X2299" s="72"/>
    </row>
    <row r="2300" spans="1:24" ht="35.1" customHeight="1" x14ac:dyDescent="0.25">
      <c r="A2300" s="12">
        <f t="shared" si="111"/>
        <v>2299</v>
      </c>
      <c r="B2300" s="12"/>
      <c r="C2300" s="20"/>
      <c r="D2300" s="18"/>
      <c r="H2300" s="12" t="str">
        <f t="shared" si="112"/>
        <v>0 г. 0 мес. 0 дн.</v>
      </c>
      <c r="V2300" s="12" t="str">
        <f t="shared" si="113"/>
        <v>0 г. 0 мес. 0 дн.</v>
      </c>
      <c r="W2300" s="22"/>
      <c r="X2300" s="72"/>
    </row>
    <row r="2301" spans="1:24" ht="35.1" customHeight="1" x14ac:dyDescent="0.25">
      <c r="A2301" s="12">
        <f t="shared" si="111"/>
        <v>2300</v>
      </c>
      <c r="B2301" s="12"/>
      <c r="C2301" s="20"/>
      <c r="D2301" s="18"/>
      <c r="H2301" s="12" t="str">
        <f t="shared" si="112"/>
        <v>0 г. 0 мес. 0 дн.</v>
      </c>
      <c r="V2301" s="12" t="str">
        <f t="shared" si="113"/>
        <v>0 г. 0 мес. 0 дн.</v>
      </c>
      <c r="W2301" s="22"/>
      <c r="X2301" s="72"/>
    </row>
    <row r="2302" spans="1:24" ht="35.1" customHeight="1" x14ac:dyDescent="0.25">
      <c r="A2302" s="12">
        <f t="shared" si="111"/>
        <v>2301</v>
      </c>
      <c r="B2302" s="12"/>
      <c r="C2302" s="20"/>
      <c r="D2302" s="18"/>
      <c r="H2302" s="12" t="str">
        <f t="shared" si="112"/>
        <v>0 г. 0 мес. 0 дн.</v>
      </c>
      <c r="V2302" s="12" t="str">
        <f t="shared" si="113"/>
        <v>0 г. 0 мес. 0 дн.</v>
      </c>
      <c r="W2302" s="22"/>
      <c r="X2302" s="72"/>
    </row>
    <row r="2303" spans="1:24" ht="35.1" customHeight="1" x14ac:dyDescent="0.25">
      <c r="A2303" s="12">
        <f t="shared" si="111"/>
        <v>2302</v>
      </c>
      <c r="B2303" s="12"/>
      <c r="C2303" s="20"/>
      <c r="D2303" s="18"/>
      <c r="H2303" s="12" t="str">
        <f t="shared" si="112"/>
        <v>0 г. 0 мес. 0 дн.</v>
      </c>
      <c r="V2303" s="12" t="str">
        <f t="shared" si="113"/>
        <v>0 г. 0 мес. 0 дн.</v>
      </c>
      <c r="W2303" s="22"/>
      <c r="X2303" s="72"/>
    </row>
    <row r="2304" spans="1:24" ht="35.1" customHeight="1" x14ac:dyDescent="0.25">
      <c r="A2304" s="12">
        <f t="shared" si="111"/>
        <v>2303</v>
      </c>
      <c r="B2304" s="12"/>
      <c r="C2304" s="20"/>
      <c r="D2304" s="18"/>
      <c r="H2304" s="12" t="str">
        <f t="shared" si="112"/>
        <v>0 г. 0 мес. 0 дн.</v>
      </c>
      <c r="V2304" s="12" t="str">
        <f t="shared" si="113"/>
        <v>0 г. 0 мес. 0 дн.</v>
      </c>
      <c r="W2304" s="22"/>
      <c r="X2304" s="72"/>
    </row>
    <row r="2305" spans="1:24" ht="35.1" customHeight="1" x14ac:dyDescent="0.25">
      <c r="A2305" s="12">
        <f t="shared" ref="A2305:A2368" si="114">ROW(A2304)</f>
        <v>2304</v>
      </c>
      <c r="B2305" s="12"/>
      <c r="C2305" s="20"/>
      <c r="D2305" s="18"/>
      <c r="H2305" s="12" t="str">
        <f t="shared" si="112"/>
        <v>0 г. 0 мес. 0 дн.</v>
      </c>
      <c r="V2305" s="12" t="str">
        <f t="shared" si="113"/>
        <v>0 г. 0 мес. 0 дн.</v>
      </c>
      <c r="W2305" s="22"/>
      <c r="X2305" s="72"/>
    </row>
    <row r="2306" spans="1:24" ht="35.1" customHeight="1" x14ac:dyDescent="0.25">
      <c r="A2306" s="12">
        <f t="shared" si="114"/>
        <v>2305</v>
      </c>
      <c r="B2306" s="12"/>
      <c r="C2306" s="20"/>
      <c r="D2306" s="18"/>
      <c r="H2306" s="12" t="str">
        <f t="shared" si="112"/>
        <v>0 г. 0 мес. 0 дн.</v>
      </c>
      <c r="V2306" s="12" t="str">
        <f t="shared" si="113"/>
        <v>0 г. 0 мес. 0 дн.</v>
      </c>
      <c r="W2306" s="22"/>
      <c r="X2306" s="72"/>
    </row>
    <row r="2307" spans="1:24" ht="35.1" customHeight="1" x14ac:dyDescent="0.25">
      <c r="A2307" s="12">
        <f t="shared" si="114"/>
        <v>2306</v>
      </c>
      <c r="B2307" s="12"/>
      <c r="C2307" s="20"/>
      <c r="D2307" s="18"/>
      <c r="H2307" s="12" t="str">
        <f t="shared" si="112"/>
        <v>0 г. 0 мес. 0 дн.</v>
      </c>
      <c r="V2307" s="12" t="str">
        <f t="shared" si="113"/>
        <v>0 г. 0 мес. 0 дн.</v>
      </c>
      <c r="W2307" s="22"/>
      <c r="X2307" s="72"/>
    </row>
    <row r="2308" spans="1:24" ht="35.1" customHeight="1" x14ac:dyDescent="0.25">
      <c r="A2308" s="12">
        <f t="shared" si="114"/>
        <v>2307</v>
      </c>
      <c r="B2308" s="12"/>
      <c r="C2308" s="20"/>
      <c r="D2308" s="18"/>
      <c r="H2308" s="12" t="str">
        <f t="shared" si="112"/>
        <v>0 г. 0 мес. 0 дн.</v>
      </c>
      <c r="V2308" s="12" t="str">
        <f t="shared" si="113"/>
        <v>0 г. 0 мес. 0 дн.</v>
      </c>
      <c r="W2308" s="22"/>
      <c r="X2308" s="72"/>
    </row>
    <row r="2309" spans="1:24" ht="35.1" customHeight="1" x14ac:dyDescent="0.25">
      <c r="A2309" s="12">
        <f t="shared" si="114"/>
        <v>2308</v>
      </c>
      <c r="B2309" s="12"/>
      <c r="C2309" s="20"/>
      <c r="D2309" s="18"/>
      <c r="H2309" s="12" t="str">
        <f t="shared" si="112"/>
        <v>0 г. 0 мес. 0 дн.</v>
      </c>
      <c r="V2309" s="12" t="str">
        <f t="shared" si="113"/>
        <v>0 г. 0 мес. 0 дн.</v>
      </c>
      <c r="W2309" s="22"/>
      <c r="X2309" s="72"/>
    </row>
    <row r="2310" spans="1:24" ht="35.1" customHeight="1" x14ac:dyDescent="0.25">
      <c r="A2310" s="12">
        <f t="shared" si="114"/>
        <v>2309</v>
      </c>
      <c r="B2310" s="12"/>
      <c r="C2310" s="20"/>
      <c r="D2310" s="18"/>
      <c r="H2310" s="12" t="str">
        <f t="shared" ref="H2310:H2373" si="115">DATEDIF(G2310,D2310,"y") &amp; " г. " &amp; DATEDIF(G2310,D2310,"ym") &amp; " мес. " &amp; DATEDIF(G2310,D2310,"md") &amp; " дн."</f>
        <v>0 г. 0 мес. 0 дн.</v>
      </c>
      <c r="V2310" s="12" t="str">
        <f t="shared" si="113"/>
        <v>0 г. 0 мес. 0 дн.</v>
      </c>
      <c r="W2310" s="22"/>
      <c r="X2310" s="72"/>
    </row>
    <row r="2311" spans="1:24" ht="35.1" customHeight="1" x14ac:dyDescent="0.25">
      <c r="A2311" s="12">
        <f t="shared" si="114"/>
        <v>2310</v>
      </c>
      <c r="B2311" s="12"/>
      <c r="C2311" s="20"/>
      <c r="D2311" s="18"/>
      <c r="H2311" s="12" t="str">
        <f t="shared" si="115"/>
        <v>0 г. 0 мес. 0 дн.</v>
      </c>
      <c r="V2311" s="12" t="str">
        <f t="shared" si="113"/>
        <v>0 г. 0 мес. 0 дн.</v>
      </c>
      <c r="W2311" s="22"/>
      <c r="X2311" s="72"/>
    </row>
    <row r="2312" spans="1:24" ht="35.1" customHeight="1" x14ac:dyDescent="0.25">
      <c r="A2312" s="12">
        <f t="shared" si="114"/>
        <v>2311</v>
      </c>
      <c r="B2312" s="12"/>
      <c r="C2312" s="20"/>
      <c r="D2312" s="18"/>
      <c r="H2312" s="12" t="str">
        <f t="shared" si="115"/>
        <v>0 г. 0 мес. 0 дн.</v>
      </c>
      <c r="V2312" s="12" t="str">
        <f t="shared" si="113"/>
        <v>0 г. 0 мес. 0 дн.</v>
      </c>
      <c r="W2312" s="22"/>
      <c r="X2312" s="72"/>
    </row>
    <row r="2313" spans="1:24" ht="35.1" customHeight="1" x14ac:dyDescent="0.25">
      <c r="A2313" s="12">
        <f t="shared" si="114"/>
        <v>2312</v>
      </c>
      <c r="B2313" s="12"/>
      <c r="C2313" s="20"/>
      <c r="D2313" s="18"/>
      <c r="H2313" s="12" t="str">
        <f t="shared" si="115"/>
        <v>0 г. 0 мес. 0 дн.</v>
      </c>
      <c r="V2313" s="12" t="str">
        <f t="shared" si="113"/>
        <v>0 г. 0 мес. 0 дн.</v>
      </c>
      <c r="W2313" s="22"/>
      <c r="X2313" s="72"/>
    </row>
    <row r="2314" spans="1:24" ht="35.1" customHeight="1" x14ac:dyDescent="0.25">
      <c r="A2314" s="12">
        <f t="shared" si="114"/>
        <v>2313</v>
      </c>
      <c r="B2314" s="12"/>
      <c r="C2314" s="20"/>
      <c r="D2314" s="18"/>
      <c r="H2314" s="12" t="str">
        <f t="shared" si="115"/>
        <v>0 г. 0 мес. 0 дн.</v>
      </c>
      <c r="V2314" s="12" t="str">
        <f t="shared" si="113"/>
        <v>0 г. 0 мес. 0 дн.</v>
      </c>
      <c r="W2314" s="22"/>
      <c r="X2314" s="72"/>
    </row>
    <row r="2315" spans="1:24" ht="35.1" customHeight="1" x14ac:dyDescent="0.25">
      <c r="A2315" s="12">
        <f t="shared" si="114"/>
        <v>2314</v>
      </c>
      <c r="B2315" s="12"/>
      <c r="C2315" s="20"/>
      <c r="D2315" s="18"/>
      <c r="H2315" s="12" t="str">
        <f t="shared" si="115"/>
        <v>0 г. 0 мес. 0 дн.</v>
      </c>
      <c r="V2315" s="12" t="str">
        <f t="shared" si="113"/>
        <v>0 г. 0 мес. 0 дн.</v>
      </c>
      <c r="W2315" s="22"/>
      <c r="X2315" s="72"/>
    </row>
    <row r="2316" spans="1:24" ht="35.1" customHeight="1" x14ac:dyDescent="0.25">
      <c r="A2316" s="12">
        <f t="shared" si="114"/>
        <v>2315</v>
      </c>
      <c r="B2316" s="12"/>
      <c r="C2316" s="20"/>
      <c r="D2316" s="18"/>
      <c r="H2316" s="12" t="str">
        <f t="shared" si="115"/>
        <v>0 г. 0 мес. 0 дн.</v>
      </c>
      <c r="V2316" s="12" t="str">
        <f t="shared" si="113"/>
        <v>0 г. 0 мес. 0 дн.</v>
      </c>
      <c r="W2316" s="22"/>
      <c r="X2316" s="72"/>
    </row>
    <row r="2317" spans="1:24" ht="35.1" customHeight="1" x14ac:dyDescent="0.25">
      <c r="A2317" s="12">
        <f t="shared" si="114"/>
        <v>2316</v>
      </c>
      <c r="B2317" s="12"/>
      <c r="C2317" s="20"/>
      <c r="D2317" s="18"/>
      <c r="H2317" s="12" t="str">
        <f t="shared" si="115"/>
        <v>0 г. 0 мес. 0 дн.</v>
      </c>
      <c r="V2317" s="12" t="str">
        <f t="shared" si="113"/>
        <v>0 г. 0 мес. 0 дн.</v>
      </c>
      <c r="W2317" s="22"/>
      <c r="X2317" s="72"/>
    </row>
    <row r="2318" spans="1:24" ht="35.1" customHeight="1" x14ac:dyDescent="0.25">
      <c r="A2318" s="12">
        <f t="shared" si="114"/>
        <v>2317</v>
      </c>
      <c r="B2318" s="12"/>
      <c r="C2318" s="20"/>
      <c r="D2318" s="18"/>
      <c r="H2318" s="12" t="str">
        <f t="shared" si="115"/>
        <v>0 г. 0 мес. 0 дн.</v>
      </c>
      <c r="V2318" s="12" t="str">
        <f t="shared" si="113"/>
        <v>0 г. 0 мес. 0 дн.</v>
      </c>
      <c r="W2318" s="22"/>
      <c r="X2318" s="72"/>
    </row>
    <row r="2319" spans="1:24" ht="35.1" customHeight="1" x14ac:dyDescent="0.25">
      <c r="A2319" s="12">
        <f t="shared" si="114"/>
        <v>2318</v>
      </c>
      <c r="B2319" s="12"/>
      <c r="C2319" s="20"/>
      <c r="D2319" s="18"/>
      <c r="H2319" s="12" t="str">
        <f t="shared" si="115"/>
        <v>0 г. 0 мес. 0 дн.</v>
      </c>
      <c r="V2319" s="12" t="str">
        <f t="shared" si="113"/>
        <v>0 г. 0 мес. 0 дн.</v>
      </c>
      <c r="W2319" s="22"/>
      <c r="X2319" s="72"/>
    </row>
    <row r="2320" spans="1:24" ht="35.1" customHeight="1" x14ac:dyDescent="0.25">
      <c r="A2320" s="12">
        <f t="shared" si="114"/>
        <v>2319</v>
      </c>
      <c r="B2320" s="12"/>
      <c r="C2320" s="20"/>
      <c r="D2320" s="18"/>
      <c r="H2320" s="12" t="str">
        <f t="shared" si="115"/>
        <v>0 г. 0 мес. 0 дн.</v>
      </c>
      <c r="V2320" s="12" t="str">
        <f t="shared" si="113"/>
        <v>0 г. 0 мес. 0 дн.</v>
      </c>
      <c r="W2320" s="22"/>
      <c r="X2320" s="72"/>
    </row>
    <row r="2321" spans="1:24" ht="35.1" customHeight="1" x14ac:dyDescent="0.25">
      <c r="A2321" s="12">
        <f t="shared" si="114"/>
        <v>2320</v>
      </c>
      <c r="B2321" s="12"/>
      <c r="C2321" s="20"/>
      <c r="D2321" s="18"/>
      <c r="H2321" s="12" t="str">
        <f t="shared" si="115"/>
        <v>0 г. 0 мес. 0 дн.</v>
      </c>
      <c r="V2321" s="12" t="str">
        <f t="shared" si="113"/>
        <v>0 г. 0 мес. 0 дн.</v>
      </c>
      <c r="W2321" s="22"/>
      <c r="X2321" s="72"/>
    </row>
    <row r="2322" spans="1:24" ht="35.1" customHeight="1" x14ac:dyDescent="0.25">
      <c r="A2322" s="12">
        <f t="shared" si="114"/>
        <v>2321</v>
      </c>
      <c r="B2322" s="12"/>
      <c r="C2322" s="20"/>
      <c r="D2322" s="18"/>
      <c r="H2322" s="12" t="str">
        <f t="shared" si="115"/>
        <v>0 г. 0 мес. 0 дн.</v>
      </c>
      <c r="V2322" s="12" t="str">
        <f t="shared" si="113"/>
        <v>0 г. 0 мес. 0 дн.</v>
      </c>
      <c r="W2322" s="22"/>
      <c r="X2322" s="72"/>
    </row>
    <row r="2323" spans="1:24" ht="35.1" customHeight="1" x14ac:dyDescent="0.25">
      <c r="A2323" s="12">
        <f t="shared" si="114"/>
        <v>2322</v>
      </c>
      <c r="B2323" s="12"/>
      <c r="C2323" s="20"/>
      <c r="D2323" s="18"/>
      <c r="H2323" s="12" t="str">
        <f t="shared" si="115"/>
        <v>0 г. 0 мес. 0 дн.</v>
      </c>
      <c r="V2323" s="12" t="str">
        <f t="shared" si="113"/>
        <v>0 г. 0 мес. 0 дн.</v>
      </c>
      <c r="W2323" s="22"/>
      <c r="X2323" s="72"/>
    </row>
    <row r="2324" spans="1:24" ht="35.1" customHeight="1" x14ac:dyDescent="0.25">
      <c r="A2324" s="12">
        <f t="shared" si="114"/>
        <v>2323</v>
      </c>
      <c r="B2324" s="12"/>
      <c r="C2324" s="20"/>
      <c r="D2324" s="18"/>
      <c r="H2324" s="12" t="str">
        <f t="shared" si="115"/>
        <v>0 г. 0 мес. 0 дн.</v>
      </c>
      <c r="V2324" s="12" t="str">
        <f t="shared" si="113"/>
        <v>0 г. 0 мес. 0 дн.</v>
      </c>
      <c r="W2324" s="22"/>
      <c r="X2324" s="72"/>
    </row>
    <row r="2325" spans="1:24" ht="35.1" customHeight="1" x14ac:dyDescent="0.25">
      <c r="A2325" s="12">
        <f t="shared" si="114"/>
        <v>2324</v>
      </c>
      <c r="B2325" s="12"/>
      <c r="C2325" s="20"/>
      <c r="D2325" s="18"/>
      <c r="H2325" s="12" t="str">
        <f t="shared" si="115"/>
        <v>0 г. 0 мес. 0 дн.</v>
      </c>
      <c r="V2325" s="12" t="str">
        <f t="shared" si="113"/>
        <v>0 г. 0 мес. 0 дн.</v>
      </c>
      <c r="W2325" s="22"/>
      <c r="X2325" s="72"/>
    </row>
    <row r="2326" spans="1:24" ht="35.1" customHeight="1" x14ac:dyDescent="0.25">
      <c r="A2326" s="12">
        <f t="shared" si="114"/>
        <v>2325</v>
      </c>
      <c r="B2326" s="12"/>
      <c r="C2326" s="20"/>
      <c r="D2326" s="18"/>
      <c r="H2326" s="12" t="str">
        <f t="shared" si="115"/>
        <v>0 г. 0 мес. 0 дн.</v>
      </c>
      <c r="V2326" s="12" t="str">
        <f t="shared" si="113"/>
        <v>0 г. 0 мес. 0 дн.</v>
      </c>
      <c r="W2326" s="22"/>
      <c r="X2326" s="72"/>
    </row>
    <row r="2327" spans="1:24" ht="35.1" customHeight="1" x14ac:dyDescent="0.25">
      <c r="A2327" s="12">
        <f t="shared" si="114"/>
        <v>2326</v>
      </c>
      <c r="B2327" s="12"/>
      <c r="C2327" s="20"/>
      <c r="D2327" s="18"/>
      <c r="H2327" s="12" t="str">
        <f t="shared" si="115"/>
        <v>0 г. 0 мес. 0 дн.</v>
      </c>
      <c r="V2327" s="12" t="str">
        <f t="shared" si="113"/>
        <v>0 г. 0 мес. 0 дн.</v>
      </c>
      <c r="W2327" s="22"/>
      <c r="X2327" s="72"/>
    </row>
    <row r="2328" spans="1:24" ht="35.1" customHeight="1" x14ac:dyDescent="0.25">
      <c r="A2328" s="12">
        <f t="shared" si="114"/>
        <v>2327</v>
      </c>
      <c r="B2328" s="12"/>
      <c r="C2328" s="20"/>
      <c r="D2328" s="18"/>
      <c r="H2328" s="12" t="str">
        <f t="shared" si="115"/>
        <v>0 г. 0 мес. 0 дн.</v>
      </c>
      <c r="V2328" s="12" t="str">
        <f t="shared" ref="V2328:V2391" si="116">DATEDIF(D2328,T2328,"y") &amp; " г. " &amp; DATEDIF(D2328,T2328,"ym") &amp; " мес. " &amp; DATEDIF(D2328,T2328,"md") &amp; " дн."</f>
        <v>0 г. 0 мес. 0 дн.</v>
      </c>
      <c r="W2328" s="22"/>
      <c r="X2328" s="72"/>
    </row>
    <row r="2329" spans="1:24" ht="35.1" customHeight="1" x14ac:dyDescent="0.25">
      <c r="A2329" s="12">
        <f t="shared" si="114"/>
        <v>2328</v>
      </c>
      <c r="B2329" s="12"/>
      <c r="C2329" s="20"/>
      <c r="D2329" s="18"/>
      <c r="H2329" s="12" t="str">
        <f t="shared" si="115"/>
        <v>0 г. 0 мес. 0 дн.</v>
      </c>
      <c r="V2329" s="12" t="str">
        <f t="shared" si="116"/>
        <v>0 г. 0 мес. 0 дн.</v>
      </c>
      <c r="W2329" s="22"/>
      <c r="X2329" s="72"/>
    </row>
    <row r="2330" spans="1:24" ht="35.1" customHeight="1" x14ac:dyDescent="0.25">
      <c r="A2330" s="12">
        <f t="shared" si="114"/>
        <v>2329</v>
      </c>
      <c r="B2330" s="12"/>
      <c r="C2330" s="20"/>
      <c r="D2330" s="18"/>
      <c r="H2330" s="12" t="str">
        <f t="shared" si="115"/>
        <v>0 г. 0 мес. 0 дн.</v>
      </c>
      <c r="V2330" s="12" t="str">
        <f t="shared" si="116"/>
        <v>0 г. 0 мес. 0 дн.</v>
      </c>
      <c r="W2330" s="22"/>
      <c r="X2330" s="72"/>
    </row>
    <row r="2331" spans="1:24" ht="35.1" customHeight="1" x14ac:dyDescent="0.25">
      <c r="A2331" s="12">
        <f t="shared" si="114"/>
        <v>2330</v>
      </c>
      <c r="B2331" s="12"/>
      <c r="C2331" s="20"/>
      <c r="D2331" s="18"/>
      <c r="H2331" s="12" t="str">
        <f t="shared" si="115"/>
        <v>0 г. 0 мес. 0 дн.</v>
      </c>
      <c r="V2331" s="12" t="str">
        <f t="shared" si="116"/>
        <v>0 г. 0 мес. 0 дн.</v>
      </c>
      <c r="W2331" s="22"/>
      <c r="X2331" s="72"/>
    </row>
    <row r="2332" spans="1:24" ht="35.1" customHeight="1" x14ac:dyDescent="0.25">
      <c r="A2332" s="12">
        <f t="shared" si="114"/>
        <v>2331</v>
      </c>
      <c r="B2332" s="12"/>
      <c r="C2332" s="20"/>
      <c r="D2332" s="18"/>
      <c r="H2332" s="12" t="str">
        <f t="shared" si="115"/>
        <v>0 г. 0 мес. 0 дн.</v>
      </c>
      <c r="V2332" s="12" t="str">
        <f t="shared" si="116"/>
        <v>0 г. 0 мес. 0 дн.</v>
      </c>
      <c r="W2332" s="22"/>
      <c r="X2332" s="72"/>
    </row>
    <row r="2333" spans="1:24" ht="35.1" customHeight="1" x14ac:dyDescent="0.25">
      <c r="A2333" s="12">
        <f t="shared" si="114"/>
        <v>2332</v>
      </c>
      <c r="B2333" s="12"/>
      <c r="C2333" s="20"/>
      <c r="D2333" s="18"/>
      <c r="H2333" s="12" t="str">
        <f t="shared" si="115"/>
        <v>0 г. 0 мес. 0 дн.</v>
      </c>
      <c r="V2333" s="12" t="str">
        <f t="shared" si="116"/>
        <v>0 г. 0 мес. 0 дн.</v>
      </c>
      <c r="W2333" s="22"/>
      <c r="X2333" s="72"/>
    </row>
    <row r="2334" spans="1:24" ht="35.1" customHeight="1" x14ac:dyDescent="0.25">
      <c r="A2334" s="12">
        <f t="shared" si="114"/>
        <v>2333</v>
      </c>
      <c r="B2334" s="12"/>
      <c r="C2334" s="20"/>
      <c r="D2334" s="18"/>
      <c r="H2334" s="12" t="str">
        <f t="shared" si="115"/>
        <v>0 г. 0 мес. 0 дн.</v>
      </c>
      <c r="V2334" s="12" t="str">
        <f t="shared" si="116"/>
        <v>0 г. 0 мес. 0 дн.</v>
      </c>
      <c r="W2334" s="22"/>
      <c r="X2334" s="72"/>
    </row>
    <row r="2335" spans="1:24" ht="35.1" customHeight="1" x14ac:dyDescent="0.25">
      <c r="A2335" s="12">
        <f t="shared" si="114"/>
        <v>2334</v>
      </c>
      <c r="B2335" s="12"/>
      <c r="C2335" s="20"/>
      <c r="D2335" s="18"/>
      <c r="H2335" s="12" t="str">
        <f t="shared" si="115"/>
        <v>0 г. 0 мес. 0 дн.</v>
      </c>
      <c r="V2335" s="12" t="str">
        <f t="shared" si="116"/>
        <v>0 г. 0 мес. 0 дн.</v>
      </c>
      <c r="W2335" s="22"/>
      <c r="X2335" s="72"/>
    </row>
    <row r="2336" spans="1:24" ht="35.1" customHeight="1" x14ac:dyDescent="0.25">
      <c r="A2336" s="12">
        <f t="shared" si="114"/>
        <v>2335</v>
      </c>
      <c r="B2336" s="12"/>
      <c r="C2336" s="20"/>
      <c r="D2336" s="18"/>
      <c r="H2336" s="12" t="str">
        <f t="shared" si="115"/>
        <v>0 г. 0 мес. 0 дн.</v>
      </c>
      <c r="V2336" s="12" t="str">
        <f t="shared" si="116"/>
        <v>0 г. 0 мес. 0 дн.</v>
      </c>
      <c r="W2336" s="22"/>
      <c r="X2336" s="72"/>
    </row>
    <row r="2337" spans="1:24" ht="35.1" customHeight="1" x14ac:dyDescent="0.25">
      <c r="A2337" s="12">
        <f t="shared" si="114"/>
        <v>2336</v>
      </c>
      <c r="B2337" s="12"/>
      <c r="C2337" s="20"/>
      <c r="D2337" s="18"/>
      <c r="H2337" s="12" t="str">
        <f t="shared" si="115"/>
        <v>0 г. 0 мес. 0 дн.</v>
      </c>
      <c r="V2337" s="12" t="str">
        <f t="shared" si="116"/>
        <v>0 г. 0 мес. 0 дн.</v>
      </c>
      <c r="W2337" s="22"/>
      <c r="X2337" s="72"/>
    </row>
    <row r="2338" spans="1:24" ht="35.1" customHeight="1" x14ac:dyDescent="0.25">
      <c r="A2338" s="12">
        <f t="shared" si="114"/>
        <v>2337</v>
      </c>
      <c r="B2338" s="12"/>
      <c r="C2338" s="20"/>
      <c r="D2338" s="18"/>
      <c r="H2338" s="12" t="str">
        <f t="shared" si="115"/>
        <v>0 г. 0 мес. 0 дн.</v>
      </c>
      <c r="V2338" s="12" t="str">
        <f t="shared" si="116"/>
        <v>0 г. 0 мес. 0 дн.</v>
      </c>
      <c r="W2338" s="22"/>
      <c r="X2338" s="72"/>
    </row>
    <row r="2339" spans="1:24" ht="35.1" customHeight="1" x14ac:dyDescent="0.25">
      <c r="A2339" s="12">
        <f t="shared" si="114"/>
        <v>2338</v>
      </c>
      <c r="B2339" s="12"/>
      <c r="C2339" s="20"/>
      <c r="D2339" s="18"/>
      <c r="H2339" s="12" t="str">
        <f t="shared" si="115"/>
        <v>0 г. 0 мес. 0 дн.</v>
      </c>
      <c r="V2339" s="12" t="str">
        <f t="shared" si="116"/>
        <v>0 г. 0 мес. 0 дн.</v>
      </c>
      <c r="W2339" s="22"/>
      <c r="X2339" s="72"/>
    </row>
    <row r="2340" spans="1:24" ht="35.1" customHeight="1" x14ac:dyDescent="0.25">
      <c r="A2340" s="12">
        <f t="shared" si="114"/>
        <v>2339</v>
      </c>
      <c r="B2340" s="12"/>
      <c r="C2340" s="20"/>
      <c r="D2340" s="18"/>
      <c r="H2340" s="12" t="str">
        <f t="shared" si="115"/>
        <v>0 г. 0 мес. 0 дн.</v>
      </c>
      <c r="V2340" s="12" t="str">
        <f t="shared" si="116"/>
        <v>0 г. 0 мес. 0 дн.</v>
      </c>
      <c r="W2340" s="22"/>
      <c r="X2340" s="72"/>
    </row>
    <row r="2341" spans="1:24" ht="35.1" customHeight="1" x14ac:dyDescent="0.25">
      <c r="A2341" s="12">
        <f t="shared" si="114"/>
        <v>2340</v>
      </c>
      <c r="B2341" s="12"/>
      <c r="C2341" s="20"/>
      <c r="D2341" s="18"/>
      <c r="H2341" s="12" t="str">
        <f t="shared" si="115"/>
        <v>0 г. 0 мес. 0 дн.</v>
      </c>
      <c r="V2341" s="12" t="str">
        <f t="shared" si="116"/>
        <v>0 г. 0 мес. 0 дн.</v>
      </c>
      <c r="W2341" s="22"/>
      <c r="X2341" s="72"/>
    </row>
    <row r="2342" spans="1:24" ht="35.1" customHeight="1" x14ac:dyDescent="0.25">
      <c r="A2342" s="12">
        <f t="shared" si="114"/>
        <v>2341</v>
      </c>
      <c r="B2342" s="12"/>
      <c r="C2342" s="20"/>
      <c r="D2342" s="18"/>
      <c r="H2342" s="12" t="str">
        <f t="shared" si="115"/>
        <v>0 г. 0 мес. 0 дн.</v>
      </c>
      <c r="V2342" s="12" t="str">
        <f t="shared" si="116"/>
        <v>0 г. 0 мес. 0 дн.</v>
      </c>
      <c r="W2342" s="22"/>
      <c r="X2342" s="72"/>
    </row>
    <row r="2343" spans="1:24" ht="35.1" customHeight="1" x14ac:dyDescent="0.25">
      <c r="A2343" s="12">
        <f t="shared" si="114"/>
        <v>2342</v>
      </c>
      <c r="B2343" s="12"/>
      <c r="C2343" s="20"/>
      <c r="D2343" s="18"/>
      <c r="H2343" s="12" t="str">
        <f t="shared" si="115"/>
        <v>0 г. 0 мес. 0 дн.</v>
      </c>
      <c r="V2343" s="12" t="str">
        <f t="shared" si="116"/>
        <v>0 г. 0 мес. 0 дн.</v>
      </c>
      <c r="W2343" s="22"/>
      <c r="X2343" s="72"/>
    </row>
    <row r="2344" spans="1:24" ht="35.1" customHeight="1" x14ac:dyDescent="0.25">
      <c r="A2344" s="12">
        <f t="shared" si="114"/>
        <v>2343</v>
      </c>
      <c r="B2344" s="12"/>
      <c r="C2344" s="20"/>
      <c r="D2344" s="18"/>
      <c r="H2344" s="12" t="str">
        <f t="shared" si="115"/>
        <v>0 г. 0 мес. 0 дн.</v>
      </c>
      <c r="V2344" s="12" t="str">
        <f t="shared" si="116"/>
        <v>0 г. 0 мес. 0 дн.</v>
      </c>
      <c r="W2344" s="22"/>
      <c r="X2344" s="72"/>
    </row>
    <row r="2345" spans="1:24" ht="35.1" customHeight="1" x14ac:dyDescent="0.25">
      <c r="A2345" s="12">
        <f t="shared" si="114"/>
        <v>2344</v>
      </c>
      <c r="B2345" s="12"/>
      <c r="C2345" s="20"/>
      <c r="D2345" s="18"/>
      <c r="H2345" s="12" t="str">
        <f t="shared" si="115"/>
        <v>0 г. 0 мес. 0 дн.</v>
      </c>
      <c r="V2345" s="12" t="str">
        <f t="shared" si="116"/>
        <v>0 г. 0 мес. 0 дн.</v>
      </c>
      <c r="W2345" s="22"/>
      <c r="X2345" s="72"/>
    </row>
    <row r="2346" spans="1:24" ht="35.1" customHeight="1" x14ac:dyDescent="0.25">
      <c r="A2346" s="12">
        <f t="shared" si="114"/>
        <v>2345</v>
      </c>
      <c r="B2346" s="12"/>
      <c r="C2346" s="20"/>
      <c r="D2346" s="18"/>
      <c r="H2346" s="12" t="str">
        <f t="shared" si="115"/>
        <v>0 г. 0 мес. 0 дн.</v>
      </c>
      <c r="V2346" s="12" t="str">
        <f t="shared" si="116"/>
        <v>0 г. 0 мес. 0 дн.</v>
      </c>
      <c r="W2346" s="22"/>
      <c r="X2346" s="72"/>
    </row>
    <row r="2347" spans="1:24" ht="35.1" customHeight="1" x14ac:dyDescent="0.25">
      <c r="A2347" s="12">
        <f t="shared" si="114"/>
        <v>2346</v>
      </c>
      <c r="B2347" s="12"/>
      <c r="C2347" s="20"/>
      <c r="D2347" s="18"/>
      <c r="H2347" s="12" t="str">
        <f t="shared" si="115"/>
        <v>0 г. 0 мес. 0 дн.</v>
      </c>
      <c r="V2347" s="12" t="str">
        <f t="shared" si="116"/>
        <v>0 г. 0 мес. 0 дн.</v>
      </c>
      <c r="W2347" s="22"/>
      <c r="X2347" s="72"/>
    </row>
    <row r="2348" spans="1:24" ht="35.1" customHeight="1" x14ac:dyDescent="0.25">
      <c r="A2348" s="12">
        <f t="shared" si="114"/>
        <v>2347</v>
      </c>
      <c r="B2348" s="12"/>
      <c r="C2348" s="20"/>
      <c r="D2348" s="18"/>
      <c r="H2348" s="12" t="str">
        <f t="shared" si="115"/>
        <v>0 г. 0 мес. 0 дн.</v>
      </c>
      <c r="V2348" s="12" t="str">
        <f t="shared" si="116"/>
        <v>0 г. 0 мес. 0 дн.</v>
      </c>
      <c r="W2348" s="22"/>
      <c r="X2348" s="72"/>
    </row>
    <row r="2349" spans="1:24" ht="35.1" customHeight="1" x14ac:dyDescent="0.25">
      <c r="A2349" s="12">
        <f t="shared" si="114"/>
        <v>2348</v>
      </c>
      <c r="B2349" s="12"/>
      <c r="C2349" s="20"/>
      <c r="D2349" s="18"/>
      <c r="H2349" s="12" t="str">
        <f t="shared" si="115"/>
        <v>0 г. 0 мес. 0 дн.</v>
      </c>
      <c r="V2349" s="12" t="str">
        <f t="shared" si="116"/>
        <v>0 г. 0 мес. 0 дн.</v>
      </c>
      <c r="W2349" s="22"/>
      <c r="X2349" s="72"/>
    </row>
    <row r="2350" spans="1:24" ht="35.1" customHeight="1" x14ac:dyDescent="0.25">
      <c r="A2350" s="12">
        <f t="shared" si="114"/>
        <v>2349</v>
      </c>
      <c r="B2350" s="12"/>
      <c r="C2350" s="20"/>
      <c r="D2350" s="18"/>
      <c r="H2350" s="12" t="str">
        <f t="shared" si="115"/>
        <v>0 г. 0 мес. 0 дн.</v>
      </c>
      <c r="V2350" s="12" t="str">
        <f t="shared" si="116"/>
        <v>0 г. 0 мес. 0 дн.</v>
      </c>
      <c r="W2350" s="22"/>
      <c r="X2350" s="72"/>
    </row>
    <row r="2351" spans="1:24" ht="35.1" customHeight="1" x14ac:dyDescent="0.25">
      <c r="A2351" s="12">
        <f t="shared" si="114"/>
        <v>2350</v>
      </c>
      <c r="B2351" s="12"/>
      <c r="C2351" s="20"/>
      <c r="D2351" s="18"/>
      <c r="H2351" s="12" t="str">
        <f t="shared" si="115"/>
        <v>0 г. 0 мес. 0 дн.</v>
      </c>
      <c r="V2351" s="12" t="str">
        <f t="shared" si="116"/>
        <v>0 г. 0 мес. 0 дн.</v>
      </c>
      <c r="W2351" s="22"/>
      <c r="X2351" s="72"/>
    </row>
    <row r="2352" spans="1:24" ht="35.1" customHeight="1" x14ac:dyDescent="0.25">
      <c r="A2352" s="12">
        <f t="shared" si="114"/>
        <v>2351</v>
      </c>
      <c r="B2352" s="12"/>
      <c r="C2352" s="20"/>
      <c r="D2352" s="18"/>
      <c r="H2352" s="12" t="str">
        <f t="shared" si="115"/>
        <v>0 г. 0 мес. 0 дн.</v>
      </c>
      <c r="V2352" s="12" t="str">
        <f t="shared" si="116"/>
        <v>0 г. 0 мес. 0 дн.</v>
      </c>
      <c r="W2352" s="22"/>
      <c r="X2352" s="72"/>
    </row>
    <row r="2353" spans="1:24" ht="35.1" customHeight="1" x14ac:dyDescent="0.25">
      <c r="A2353" s="12">
        <f t="shared" si="114"/>
        <v>2352</v>
      </c>
      <c r="B2353" s="12"/>
      <c r="C2353" s="20"/>
      <c r="D2353" s="18"/>
      <c r="H2353" s="12" t="str">
        <f t="shared" si="115"/>
        <v>0 г. 0 мес. 0 дн.</v>
      </c>
      <c r="V2353" s="12" t="str">
        <f t="shared" si="116"/>
        <v>0 г. 0 мес. 0 дн.</v>
      </c>
      <c r="W2353" s="22"/>
      <c r="X2353" s="72"/>
    </row>
    <row r="2354" spans="1:24" ht="35.1" customHeight="1" x14ac:dyDescent="0.25">
      <c r="A2354" s="12">
        <f t="shared" si="114"/>
        <v>2353</v>
      </c>
      <c r="B2354" s="12"/>
      <c r="C2354" s="20"/>
      <c r="D2354" s="18"/>
      <c r="H2354" s="12" t="str">
        <f t="shared" si="115"/>
        <v>0 г. 0 мес. 0 дн.</v>
      </c>
      <c r="V2354" s="12" t="str">
        <f t="shared" si="116"/>
        <v>0 г. 0 мес. 0 дн.</v>
      </c>
      <c r="W2354" s="22"/>
      <c r="X2354" s="72"/>
    </row>
    <row r="2355" spans="1:24" ht="35.1" customHeight="1" x14ac:dyDescent="0.25">
      <c r="A2355" s="12">
        <f t="shared" si="114"/>
        <v>2354</v>
      </c>
      <c r="B2355" s="12"/>
      <c r="C2355" s="20"/>
      <c r="D2355" s="18"/>
      <c r="H2355" s="12" t="str">
        <f t="shared" si="115"/>
        <v>0 г. 0 мес. 0 дн.</v>
      </c>
      <c r="V2355" s="12" t="str">
        <f t="shared" si="116"/>
        <v>0 г. 0 мес. 0 дн.</v>
      </c>
      <c r="W2355" s="22"/>
      <c r="X2355" s="72"/>
    </row>
    <row r="2356" spans="1:24" ht="35.1" customHeight="1" x14ac:dyDescent="0.25">
      <c r="A2356" s="12">
        <f t="shared" si="114"/>
        <v>2355</v>
      </c>
      <c r="B2356" s="12"/>
      <c r="C2356" s="20"/>
      <c r="D2356" s="18"/>
      <c r="H2356" s="12" t="str">
        <f t="shared" si="115"/>
        <v>0 г. 0 мес. 0 дн.</v>
      </c>
      <c r="V2356" s="12" t="str">
        <f t="shared" si="116"/>
        <v>0 г. 0 мес. 0 дн.</v>
      </c>
      <c r="W2356" s="22"/>
      <c r="X2356" s="72"/>
    </row>
    <row r="2357" spans="1:24" ht="35.1" customHeight="1" x14ac:dyDescent="0.25">
      <c r="A2357" s="12">
        <f t="shared" si="114"/>
        <v>2356</v>
      </c>
      <c r="B2357" s="12"/>
      <c r="C2357" s="20"/>
      <c r="D2357" s="18"/>
      <c r="H2357" s="12" t="str">
        <f t="shared" si="115"/>
        <v>0 г. 0 мес. 0 дн.</v>
      </c>
      <c r="V2357" s="12" t="str">
        <f t="shared" si="116"/>
        <v>0 г. 0 мес. 0 дн.</v>
      </c>
      <c r="W2357" s="22"/>
      <c r="X2357" s="72"/>
    </row>
    <row r="2358" spans="1:24" ht="35.1" customHeight="1" x14ac:dyDescent="0.25">
      <c r="A2358" s="12">
        <f t="shared" si="114"/>
        <v>2357</v>
      </c>
      <c r="B2358" s="12"/>
      <c r="C2358" s="20"/>
      <c r="D2358" s="18"/>
      <c r="H2358" s="12" t="str">
        <f t="shared" si="115"/>
        <v>0 г. 0 мес. 0 дн.</v>
      </c>
      <c r="V2358" s="12" t="str">
        <f t="shared" si="116"/>
        <v>0 г. 0 мес. 0 дн.</v>
      </c>
      <c r="W2358" s="22"/>
      <c r="X2358" s="72"/>
    </row>
    <row r="2359" spans="1:24" ht="35.1" customHeight="1" x14ac:dyDescent="0.25">
      <c r="A2359" s="12">
        <f t="shared" si="114"/>
        <v>2358</v>
      </c>
      <c r="B2359" s="12"/>
      <c r="C2359" s="20"/>
      <c r="D2359" s="18"/>
      <c r="H2359" s="12" t="str">
        <f t="shared" si="115"/>
        <v>0 г. 0 мес. 0 дн.</v>
      </c>
      <c r="V2359" s="12" t="str">
        <f t="shared" si="116"/>
        <v>0 г. 0 мес. 0 дн.</v>
      </c>
      <c r="W2359" s="22"/>
      <c r="X2359" s="72"/>
    </row>
    <row r="2360" spans="1:24" ht="35.1" customHeight="1" x14ac:dyDescent="0.25">
      <c r="A2360" s="12">
        <f t="shared" si="114"/>
        <v>2359</v>
      </c>
      <c r="B2360" s="12"/>
      <c r="C2360" s="20"/>
      <c r="D2360" s="18"/>
      <c r="H2360" s="12" t="str">
        <f t="shared" si="115"/>
        <v>0 г. 0 мес. 0 дн.</v>
      </c>
      <c r="V2360" s="12" t="str">
        <f t="shared" si="116"/>
        <v>0 г. 0 мес. 0 дн.</v>
      </c>
      <c r="W2360" s="22"/>
      <c r="X2360" s="72"/>
    </row>
    <row r="2361" spans="1:24" ht="35.1" customHeight="1" x14ac:dyDescent="0.25">
      <c r="A2361" s="12">
        <f t="shared" si="114"/>
        <v>2360</v>
      </c>
      <c r="B2361" s="12"/>
      <c r="C2361" s="20"/>
      <c r="D2361" s="18"/>
      <c r="H2361" s="12" t="str">
        <f t="shared" si="115"/>
        <v>0 г. 0 мес. 0 дн.</v>
      </c>
      <c r="V2361" s="12" t="str">
        <f t="shared" si="116"/>
        <v>0 г. 0 мес. 0 дн.</v>
      </c>
      <c r="W2361" s="22"/>
      <c r="X2361" s="72"/>
    </row>
    <row r="2362" spans="1:24" ht="35.1" customHeight="1" x14ac:dyDescent="0.25">
      <c r="A2362" s="12">
        <f t="shared" si="114"/>
        <v>2361</v>
      </c>
      <c r="B2362" s="12"/>
      <c r="C2362" s="20"/>
      <c r="D2362" s="18"/>
      <c r="H2362" s="12" t="str">
        <f t="shared" si="115"/>
        <v>0 г. 0 мес. 0 дн.</v>
      </c>
      <c r="V2362" s="12" t="str">
        <f t="shared" si="116"/>
        <v>0 г. 0 мес. 0 дн.</v>
      </c>
      <c r="W2362" s="22"/>
      <c r="X2362" s="72"/>
    </row>
    <row r="2363" spans="1:24" ht="35.1" customHeight="1" x14ac:dyDescent="0.25">
      <c r="A2363" s="12">
        <f t="shared" si="114"/>
        <v>2362</v>
      </c>
      <c r="B2363" s="12"/>
      <c r="C2363" s="20"/>
      <c r="D2363" s="18"/>
      <c r="H2363" s="12" t="str">
        <f t="shared" si="115"/>
        <v>0 г. 0 мес. 0 дн.</v>
      </c>
      <c r="V2363" s="12" t="str">
        <f t="shared" si="116"/>
        <v>0 г. 0 мес. 0 дн.</v>
      </c>
      <c r="W2363" s="22"/>
      <c r="X2363" s="72"/>
    </row>
    <row r="2364" spans="1:24" ht="35.1" customHeight="1" x14ac:dyDescent="0.25">
      <c r="A2364" s="12">
        <f t="shared" si="114"/>
        <v>2363</v>
      </c>
      <c r="B2364" s="12"/>
      <c r="C2364" s="20"/>
      <c r="D2364" s="18"/>
      <c r="H2364" s="12" t="str">
        <f t="shared" si="115"/>
        <v>0 г. 0 мес. 0 дн.</v>
      </c>
      <c r="V2364" s="12" t="str">
        <f t="shared" si="116"/>
        <v>0 г. 0 мес. 0 дн.</v>
      </c>
      <c r="W2364" s="22"/>
      <c r="X2364" s="72"/>
    </row>
    <row r="2365" spans="1:24" ht="35.1" customHeight="1" x14ac:dyDescent="0.25">
      <c r="A2365" s="12">
        <f t="shared" si="114"/>
        <v>2364</v>
      </c>
      <c r="B2365" s="12"/>
      <c r="C2365" s="20"/>
      <c r="D2365" s="18"/>
      <c r="H2365" s="12" t="str">
        <f t="shared" si="115"/>
        <v>0 г. 0 мес. 0 дн.</v>
      </c>
      <c r="V2365" s="12" t="str">
        <f t="shared" si="116"/>
        <v>0 г. 0 мес. 0 дн.</v>
      </c>
      <c r="W2365" s="22"/>
      <c r="X2365" s="72"/>
    </row>
    <row r="2366" spans="1:24" ht="35.1" customHeight="1" x14ac:dyDescent="0.25">
      <c r="A2366" s="12">
        <f t="shared" si="114"/>
        <v>2365</v>
      </c>
      <c r="B2366" s="12"/>
      <c r="C2366" s="20"/>
      <c r="D2366" s="18"/>
      <c r="H2366" s="12" t="str">
        <f t="shared" si="115"/>
        <v>0 г. 0 мес. 0 дн.</v>
      </c>
      <c r="V2366" s="12" t="str">
        <f t="shared" si="116"/>
        <v>0 г. 0 мес. 0 дн.</v>
      </c>
      <c r="W2366" s="22"/>
      <c r="X2366" s="72"/>
    </row>
    <row r="2367" spans="1:24" ht="35.1" customHeight="1" x14ac:dyDescent="0.25">
      <c r="A2367" s="12">
        <f t="shared" si="114"/>
        <v>2366</v>
      </c>
      <c r="B2367" s="12"/>
      <c r="C2367" s="20"/>
      <c r="D2367" s="18"/>
      <c r="H2367" s="12" t="str">
        <f t="shared" si="115"/>
        <v>0 г. 0 мес. 0 дн.</v>
      </c>
      <c r="V2367" s="12" t="str">
        <f t="shared" si="116"/>
        <v>0 г. 0 мес. 0 дн.</v>
      </c>
      <c r="W2367" s="22"/>
      <c r="X2367" s="72"/>
    </row>
    <row r="2368" spans="1:24" ht="35.1" customHeight="1" x14ac:dyDescent="0.25">
      <c r="A2368" s="12">
        <f t="shared" si="114"/>
        <v>2367</v>
      </c>
      <c r="B2368" s="12"/>
      <c r="C2368" s="20"/>
      <c r="D2368" s="18"/>
      <c r="H2368" s="12" t="str">
        <f t="shared" si="115"/>
        <v>0 г. 0 мес. 0 дн.</v>
      </c>
      <c r="V2368" s="12" t="str">
        <f t="shared" si="116"/>
        <v>0 г. 0 мес. 0 дн.</v>
      </c>
      <c r="W2368" s="22"/>
      <c r="X2368" s="72"/>
    </row>
    <row r="2369" spans="1:24" ht="35.1" customHeight="1" x14ac:dyDescent="0.25">
      <c r="A2369" s="12">
        <f t="shared" ref="A2369:A2432" si="117">ROW(A2368)</f>
        <v>2368</v>
      </c>
      <c r="B2369" s="12"/>
      <c r="C2369" s="20"/>
      <c r="D2369" s="18"/>
      <c r="H2369" s="12" t="str">
        <f t="shared" si="115"/>
        <v>0 г. 0 мес. 0 дн.</v>
      </c>
      <c r="V2369" s="12" t="str">
        <f t="shared" si="116"/>
        <v>0 г. 0 мес. 0 дн.</v>
      </c>
      <c r="W2369" s="22"/>
      <c r="X2369" s="72"/>
    </row>
    <row r="2370" spans="1:24" ht="35.1" customHeight="1" x14ac:dyDescent="0.25">
      <c r="A2370" s="12">
        <f t="shared" si="117"/>
        <v>2369</v>
      </c>
      <c r="B2370" s="12"/>
      <c r="C2370" s="20"/>
      <c r="D2370" s="18"/>
      <c r="H2370" s="12" t="str">
        <f t="shared" si="115"/>
        <v>0 г. 0 мес. 0 дн.</v>
      </c>
      <c r="V2370" s="12" t="str">
        <f t="shared" si="116"/>
        <v>0 г. 0 мес. 0 дн.</v>
      </c>
      <c r="W2370" s="22"/>
      <c r="X2370" s="72"/>
    </row>
    <row r="2371" spans="1:24" ht="35.1" customHeight="1" x14ac:dyDescent="0.25">
      <c r="A2371" s="12">
        <f t="shared" si="117"/>
        <v>2370</v>
      </c>
      <c r="B2371" s="12"/>
      <c r="C2371" s="20"/>
      <c r="D2371" s="18"/>
      <c r="H2371" s="12" t="str">
        <f t="shared" si="115"/>
        <v>0 г. 0 мес. 0 дн.</v>
      </c>
      <c r="V2371" s="12" t="str">
        <f t="shared" si="116"/>
        <v>0 г. 0 мес. 0 дн.</v>
      </c>
      <c r="W2371" s="22"/>
      <c r="X2371" s="72"/>
    </row>
    <row r="2372" spans="1:24" ht="35.1" customHeight="1" x14ac:dyDescent="0.25">
      <c r="A2372" s="12">
        <f t="shared" si="117"/>
        <v>2371</v>
      </c>
      <c r="B2372" s="12"/>
      <c r="C2372" s="20"/>
      <c r="D2372" s="18"/>
      <c r="H2372" s="12" t="str">
        <f t="shared" si="115"/>
        <v>0 г. 0 мес. 0 дн.</v>
      </c>
      <c r="V2372" s="12" t="str">
        <f t="shared" si="116"/>
        <v>0 г. 0 мес. 0 дн.</v>
      </c>
      <c r="W2372" s="22"/>
      <c r="X2372" s="72"/>
    </row>
    <row r="2373" spans="1:24" ht="35.1" customHeight="1" x14ac:dyDescent="0.25">
      <c r="A2373" s="12">
        <f t="shared" si="117"/>
        <v>2372</v>
      </c>
      <c r="B2373" s="12"/>
      <c r="C2373" s="20"/>
      <c r="D2373" s="18"/>
      <c r="H2373" s="12" t="str">
        <f t="shared" si="115"/>
        <v>0 г. 0 мес. 0 дн.</v>
      </c>
      <c r="V2373" s="12" t="str">
        <f t="shared" si="116"/>
        <v>0 г. 0 мес. 0 дн.</v>
      </c>
      <c r="W2373" s="22"/>
      <c r="X2373" s="72"/>
    </row>
    <row r="2374" spans="1:24" ht="35.1" customHeight="1" x14ac:dyDescent="0.25">
      <c r="A2374" s="12">
        <f t="shared" si="117"/>
        <v>2373</v>
      </c>
      <c r="B2374" s="12"/>
      <c r="C2374" s="20"/>
      <c r="D2374" s="18"/>
      <c r="H2374" s="12" t="str">
        <f t="shared" ref="H2374:H2437" si="118">DATEDIF(G2374,D2374,"y") &amp; " г. " &amp; DATEDIF(G2374,D2374,"ym") &amp; " мес. " &amp; DATEDIF(G2374,D2374,"md") &amp; " дн."</f>
        <v>0 г. 0 мес. 0 дн.</v>
      </c>
      <c r="V2374" s="12" t="str">
        <f t="shared" si="116"/>
        <v>0 г. 0 мес. 0 дн.</v>
      </c>
      <c r="W2374" s="22"/>
      <c r="X2374" s="72"/>
    </row>
    <row r="2375" spans="1:24" ht="35.1" customHeight="1" x14ac:dyDescent="0.25">
      <c r="A2375" s="12">
        <f t="shared" si="117"/>
        <v>2374</v>
      </c>
      <c r="B2375" s="12"/>
      <c r="C2375" s="20"/>
      <c r="D2375" s="18"/>
      <c r="H2375" s="12" t="str">
        <f t="shared" si="118"/>
        <v>0 г. 0 мес. 0 дн.</v>
      </c>
      <c r="V2375" s="12" t="str">
        <f t="shared" si="116"/>
        <v>0 г. 0 мес. 0 дн.</v>
      </c>
      <c r="W2375" s="22"/>
      <c r="X2375" s="72"/>
    </row>
    <row r="2376" spans="1:24" ht="35.1" customHeight="1" x14ac:dyDescent="0.25">
      <c r="A2376" s="12">
        <f t="shared" si="117"/>
        <v>2375</v>
      </c>
      <c r="B2376" s="12"/>
      <c r="C2376" s="20"/>
      <c r="D2376" s="18"/>
      <c r="H2376" s="12" t="str">
        <f t="shared" si="118"/>
        <v>0 г. 0 мес. 0 дн.</v>
      </c>
      <c r="V2376" s="12" t="str">
        <f t="shared" si="116"/>
        <v>0 г. 0 мес. 0 дн.</v>
      </c>
      <c r="W2376" s="22"/>
      <c r="X2376" s="72"/>
    </row>
    <row r="2377" spans="1:24" ht="35.1" customHeight="1" x14ac:dyDescent="0.25">
      <c r="A2377" s="12">
        <f t="shared" si="117"/>
        <v>2376</v>
      </c>
      <c r="B2377" s="12"/>
      <c r="C2377" s="20"/>
      <c r="D2377" s="18"/>
      <c r="H2377" s="12" t="str">
        <f t="shared" si="118"/>
        <v>0 г. 0 мес. 0 дн.</v>
      </c>
      <c r="V2377" s="12" t="str">
        <f t="shared" si="116"/>
        <v>0 г. 0 мес. 0 дн.</v>
      </c>
      <c r="W2377" s="22"/>
      <c r="X2377" s="72"/>
    </row>
    <row r="2378" spans="1:24" ht="35.1" customHeight="1" x14ac:dyDescent="0.25">
      <c r="A2378" s="12">
        <f t="shared" si="117"/>
        <v>2377</v>
      </c>
      <c r="B2378" s="12"/>
      <c r="C2378" s="20"/>
      <c r="D2378" s="18"/>
      <c r="H2378" s="12" t="str">
        <f t="shared" si="118"/>
        <v>0 г. 0 мес. 0 дн.</v>
      </c>
      <c r="V2378" s="12" t="str">
        <f t="shared" si="116"/>
        <v>0 г. 0 мес. 0 дн.</v>
      </c>
      <c r="W2378" s="22"/>
      <c r="X2378" s="72"/>
    </row>
    <row r="2379" spans="1:24" ht="35.1" customHeight="1" x14ac:dyDescent="0.25">
      <c r="A2379" s="12">
        <f t="shared" si="117"/>
        <v>2378</v>
      </c>
      <c r="B2379" s="12"/>
      <c r="C2379" s="20"/>
      <c r="D2379" s="18"/>
      <c r="H2379" s="12" t="str">
        <f t="shared" si="118"/>
        <v>0 г. 0 мес. 0 дн.</v>
      </c>
      <c r="V2379" s="12" t="str">
        <f t="shared" si="116"/>
        <v>0 г. 0 мес. 0 дн.</v>
      </c>
      <c r="W2379" s="22"/>
      <c r="X2379" s="72"/>
    </row>
    <row r="2380" spans="1:24" ht="35.1" customHeight="1" x14ac:dyDescent="0.25">
      <c r="A2380" s="12">
        <f t="shared" si="117"/>
        <v>2379</v>
      </c>
      <c r="B2380" s="12"/>
      <c r="C2380" s="20"/>
      <c r="D2380" s="18"/>
      <c r="H2380" s="12" t="str">
        <f t="shared" si="118"/>
        <v>0 г. 0 мес. 0 дн.</v>
      </c>
      <c r="V2380" s="12" t="str">
        <f t="shared" si="116"/>
        <v>0 г. 0 мес. 0 дн.</v>
      </c>
      <c r="W2380" s="22"/>
      <c r="X2380" s="72"/>
    </row>
    <row r="2381" spans="1:24" ht="35.1" customHeight="1" x14ac:dyDescent="0.25">
      <c r="A2381" s="12">
        <f t="shared" si="117"/>
        <v>2380</v>
      </c>
      <c r="B2381" s="12"/>
      <c r="C2381" s="20"/>
      <c r="D2381" s="18"/>
      <c r="H2381" s="12" t="str">
        <f t="shared" si="118"/>
        <v>0 г. 0 мес. 0 дн.</v>
      </c>
      <c r="V2381" s="12" t="str">
        <f t="shared" si="116"/>
        <v>0 г. 0 мес. 0 дн.</v>
      </c>
      <c r="W2381" s="22"/>
      <c r="X2381" s="72"/>
    </row>
    <row r="2382" spans="1:24" ht="35.1" customHeight="1" x14ac:dyDescent="0.25">
      <c r="A2382" s="12">
        <f t="shared" si="117"/>
        <v>2381</v>
      </c>
      <c r="B2382" s="12"/>
      <c r="C2382" s="20"/>
      <c r="D2382" s="18"/>
      <c r="H2382" s="12" t="str">
        <f t="shared" si="118"/>
        <v>0 г. 0 мес. 0 дн.</v>
      </c>
      <c r="V2382" s="12" t="str">
        <f t="shared" si="116"/>
        <v>0 г. 0 мес. 0 дн.</v>
      </c>
      <c r="W2382" s="22"/>
      <c r="X2382" s="72"/>
    </row>
    <row r="2383" spans="1:24" ht="35.1" customHeight="1" x14ac:dyDescent="0.25">
      <c r="A2383" s="12">
        <f t="shared" si="117"/>
        <v>2382</v>
      </c>
      <c r="B2383" s="12"/>
      <c r="C2383" s="20"/>
      <c r="D2383" s="18"/>
      <c r="H2383" s="12" t="str">
        <f t="shared" si="118"/>
        <v>0 г. 0 мес. 0 дн.</v>
      </c>
      <c r="V2383" s="12" t="str">
        <f t="shared" si="116"/>
        <v>0 г. 0 мес. 0 дн.</v>
      </c>
      <c r="W2383" s="22"/>
      <c r="X2383" s="72"/>
    </row>
    <row r="2384" spans="1:24" ht="35.1" customHeight="1" x14ac:dyDescent="0.25">
      <c r="A2384" s="12">
        <f t="shared" si="117"/>
        <v>2383</v>
      </c>
      <c r="B2384" s="12"/>
      <c r="C2384" s="20"/>
      <c r="D2384" s="18"/>
      <c r="H2384" s="12" t="str">
        <f t="shared" si="118"/>
        <v>0 г. 0 мес. 0 дн.</v>
      </c>
      <c r="V2384" s="12" t="str">
        <f t="shared" si="116"/>
        <v>0 г. 0 мес. 0 дн.</v>
      </c>
      <c r="W2384" s="22"/>
      <c r="X2384" s="72"/>
    </row>
    <row r="2385" spans="1:24" ht="35.1" customHeight="1" x14ac:dyDescent="0.25">
      <c r="A2385" s="12">
        <f t="shared" si="117"/>
        <v>2384</v>
      </c>
      <c r="B2385" s="12"/>
      <c r="C2385" s="20"/>
      <c r="D2385" s="18"/>
      <c r="H2385" s="12" t="str">
        <f t="shared" si="118"/>
        <v>0 г. 0 мес. 0 дн.</v>
      </c>
      <c r="V2385" s="12" t="str">
        <f t="shared" si="116"/>
        <v>0 г. 0 мес. 0 дн.</v>
      </c>
      <c r="W2385" s="22"/>
      <c r="X2385" s="72"/>
    </row>
    <row r="2386" spans="1:24" ht="35.1" customHeight="1" x14ac:dyDescent="0.25">
      <c r="A2386" s="12">
        <f t="shared" si="117"/>
        <v>2385</v>
      </c>
      <c r="B2386" s="12"/>
      <c r="C2386" s="20"/>
      <c r="D2386" s="18"/>
      <c r="H2386" s="12" t="str">
        <f t="shared" si="118"/>
        <v>0 г. 0 мес. 0 дн.</v>
      </c>
      <c r="V2386" s="12" t="str">
        <f t="shared" si="116"/>
        <v>0 г. 0 мес. 0 дн.</v>
      </c>
      <c r="W2386" s="22"/>
      <c r="X2386" s="72"/>
    </row>
    <row r="2387" spans="1:24" ht="35.1" customHeight="1" x14ac:dyDescent="0.25">
      <c r="A2387" s="12">
        <f t="shared" si="117"/>
        <v>2386</v>
      </c>
      <c r="B2387" s="12"/>
      <c r="C2387" s="20"/>
      <c r="D2387" s="18"/>
      <c r="H2387" s="12" t="str">
        <f t="shared" si="118"/>
        <v>0 г. 0 мес. 0 дн.</v>
      </c>
      <c r="V2387" s="12" t="str">
        <f t="shared" si="116"/>
        <v>0 г. 0 мес. 0 дн.</v>
      </c>
      <c r="W2387" s="22"/>
      <c r="X2387" s="72"/>
    </row>
    <row r="2388" spans="1:24" ht="35.1" customHeight="1" x14ac:dyDescent="0.25">
      <c r="A2388" s="12">
        <f t="shared" si="117"/>
        <v>2387</v>
      </c>
      <c r="B2388" s="12"/>
      <c r="C2388" s="20"/>
      <c r="D2388" s="18"/>
      <c r="H2388" s="12" t="str">
        <f t="shared" si="118"/>
        <v>0 г. 0 мес. 0 дн.</v>
      </c>
      <c r="V2388" s="12" t="str">
        <f t="shared" si="116"/>
        <v>0 г. 0 мес. 0 дн.</v>
      </c>
      <c r="W2388" s="22"/>
      <c r="X2388" s="72"/>
    </row>
    <row r="2389" spans="1:24" ht="35.1" customHeight="1" x14ac:dyDescent="0.25">
      <c r="A2389" s="12">
        <f t="shared" si="117"/>
        <v>2388</v>
      </c>
      <c r="B2389" s="12"/>
      <c r="C2389" s="20"/>
      <c r="D2389" s="18"/>
      <c r="H2389" s="12" t="str">
        <f t="shared" si="118"/>
        <v>0 г. 0 мес. 0 дн.</v>
      </c>
      <c r="V2389" s="12" t="str">
        <f t="shared" si="116"/>
        <v>0 г. 0 мес. 0 дн.</v>
      </c>
      <c r="W2389" s="22"/>
      <c r="X2389" s="72"/>
    </row>
    <row r="2390" spans="1:24" ht="35.1" customHeight="1" x14ac:dyDescent="0.25">
      <c r="A2390" s="12">
        <f t="shared" si="117"/>
        <v>2389</v>
      </c>
      <c r="B2390" s="12"/>
      <c r="C2390" s="20"/>
      <c r="D2390" s="18"/>
      <c r="H2390" s="12" t="str">
        <f t="shared" si="118"/>
        <v>0 г. 0 мес. 0 дн.</v>
      </c>
      <c r="V2390" s="12" t="str">
        <f t="shared" si="116"/>
        <v>0 г. 0 мес. 0 дн.</v>
      </c>
      <c r="W2390" s="22"/>
      <c r="X2390" s="72"/>
    </row>
    <row r="2391" spans="1:24" ht="35.1" customHeight="1" x14ac:dyDescent="0.25">
      <c r="A2391" s="12">
        <f t="shared" si="117"/>
        <v>2390</v>
      </c>
      <c r="B2391" s="12"/>
      <c r="C2391" s="20"/>
      <c r="D2391" s="18"/>
      <c r="H2391" s="12" t="str">
        <f t="shared" si="118"/>
        <v>0 г. 0 мес. 0 дн.</v>
      </c>
      <c r="V2391" s="12" t="str">
        <f t="shared" si="116"/>
        <v>0 г. 0 мес. 0 дн.</v>
      </c>
      <c r="W2391" s="22"/>
      <c r="X2391" s="72"/>
    </row>
    <row r="2392" spans="1:24" ht="35.1" customHeight="1" x14ac:dyDescent="0.25">
      <c r="A2392" s="12">
        <f t="shared" si="117"/>
        <v>2391</v>
      </c>
      <c r="B2392" s="12"/>
      <c r="C2392" s="20"/>
      <c r="D2392" s="18"/>
      <c r="H2392" s="12" t="str">
        <f t="shared" si="118"/>
        <v>0 г. 0 мес. 0 дн.</v>
      </c>
      <c r="V2392" s="12" t="str">
        <f t="shared" ref="V2392:V2455" si="119">DATEDIF(D2392,T2392,"y") &amp; " г. " &amp; DATEDIF(D2392,T2392,"ym") &amp; " мес. " &amp; DATEDIF(D2392,T2392,"md") &amp; " дн."</f>
        <v>0 г. 0 мес. 0 дн.</v>
      </c>
      <c r="W2392" s="22"/>
      <c r="X2392" s="72"/>
    </row>
    <row r="2393" spans="1:24" ht="35.1" customHeight="1" x14ac:dyDescent="0.25">
      <c r="A2393" s="12">
        <f t="shared" si="117"/>
        <v>2392</v>
      </c>
      <c r="B2393" s="12"/>
      <c r="C2393" s="20"/>
      <c r="D2393" s="18"/>
      <c r="H2393" s="12" t="str">
        <f t="shared" si="118"/>
        <v>0 г. 0 мес. 0 дн.</v>
      </c>
      <c r="V2393" s="12" t="str">
        <f t="shared" si="119"/>
        <v>0 г. 0 мес. 0 дн.</v>
      </c>
      <c r="W2393" s="22"/>
      <c r="X2393" s="72"/>
    </row>
    <row r="2394" spans="1:24" ht="35.1" customHeight="1" x14ac:dyDescent="0.25">
      <c r="A2394" s="12">
        <f t="shared" si="117"/>
        <v>2393</v>
      </c>
      <c r="B2394" s="12"/>
      <c r="C2394" s="20"/>
      <c r="D2394" s="18"/>
      <c r="H2394" s="12" t="str">
        <f t="shared" si="118"/>
        <v>0 г. 0 мес. 0 дн.</v>
      </c>
      <c r="V2394" s="12" t="str">
        <f t="shared" si="119"/>
        <v>0 г. 0 мес. 0 дн.</v>
      </c>
      <c r="W2394" s="22"/>
      <c r="X2394" s="72"/>
    </row>
    <row r="2395" spans="1:24" ht="35.1" customHeight="1" x14ac:dyDescent="0.25">
      <c r="A2395" s="12">
        <f t="shared" si="117"/>
        <v>2394</v>
      </c>
      <c r="B2395" s="12"/>
      <c r="C2395" s="20"/>
      <c r="D2395" s="18"/>
      <c r="H2395" s="12" t="str">
        <f t="shared" si="118"/>
        <v>0 г. 0 мес. 0 дн.</v>
      </c>
      <c r="V2395" s="12" t="str">
        <f t="shared" si="119"/>
        <v>0 г. 0 мес. 0 дн.</v>
      </c>
      <c r="W2395" s="22"/>
      <c r="X2395" s="72"/>
    </row>
    <row r="2396" spans="1:24" ht="35.1" customHeight="1" x14ac:dyDescent="0.25">
      <c r="A2396" s="12">
        <f t="shared" si="117"/>
        <v>2395</v>
      </c>
      <c r="B2396" s="12"/>
      <c r="C2396" s="20"/>
      <c r="D2396" s="18"/>
      <c r="H2396" s="12" t="str">
        <f t="shared" si="118"/>
        <v>0 г. 0 мес. 0 дн.</v>
      </c>
      <c r="V2396" s="12" t="str">
        <f t="shared" si="119"/>
        <v>0 г. 0 мес. 0 дн.</v>
      </c>
      <c r="W2396" s="22"/>
      <c r="X2396" s="72"/>
    </row>
    <row r="2397" spans="1:24" ht="35.1" customHeight="1" x14ac:dyDescent="0.25">
      <c r="A2397" s="12">
        <f t="shared" si="117"/>
        <v>2396</v>
      </c>
      <c r="B2397" s="12"/>
      <c r="C2397" s="20"/>
      <c r="D2397" s="18"/>
      <c r="H2397" s="12" t="str">
        <f t="shared" si="118"/>
        <v>0 г. 0 мес. 0 дн.</v>
      </c>
      <c r="V2397" s="12" t="str">
        <f t="shared" si="119"/>
        <v>0 г. 0 мес. 0 дн.</v>
      </c>
      <c r="W2397" s="22"/>
      <c r="X2397" s="72"/>
    </row>
    <row r="2398" spans="1:24" ht="35.1" customHeight="1" x14ac:dyDescent="0.25">
      <c r="A2398" s="12">
        <f t="shared" si="117"/>
        <v>2397</v>
      </c>
      <c r="B2398" s="12"/>
      <c r="C2398" s="20"/>
      <c r="D2398" s="18"/>
      <c r="H2398" s="12" t="str">
        <f t="shared" si="118"/>
        <v>0 г. 0 мес. 0 дн.</v>
      </c>
      <c r="V2398" s="12" t="str">
        <f t="shared" si="119"/>
        <v>0 г. 0 мес. 0 дн.</v>
      </c>
      <c r="W2398" s="22"/>
      <c r="X2398" s="72"/>
    </row>
    <row r="2399" spans="1:24" ht="35.1" customHeight="1" x14ac:dyDescent="0.25">
      <c r="A2399" s="12">
        <f t="shared" si="117"/>
        <v>2398</v>
      </c>
      <c r="B2399" s="12"/>
      <c r="C2399" s="20"/>
      <c r="D2399" s="18"/>
      <c r="H2399" s="12" t="str">
        <f t="shared" si="118"/>
        <v>0 г. 0 мес. 0 дн.</v>
      </c>
      <c r="V2399" s="12" t="str">
        <f t="shared" si="119"/>
        <v>0 г. 0 мес. 0 дн.</v>
      </c>
      <c r="W2399" s="22"/>
      <c r="X2399" s="72"/>
    </row>
    <row r="2400" spans="1:24" ht="35.1" customHeight="1" x14ac:dyDescent="0.25">
      <c r="A2400" s="12">
        <f t="shared" si="117"/>
        <v>2399</v>
      </c>
      <c r="B2400" s="12"/>
      <c r="C2400" s="20"/>
      <c r="D2400" s="18"/>
      <c r="H2400" s="12" t="str">
        <f t="shared" si="118"/>
        <v>0 г. 0 мес. 0 дн.</v>
      </c>
      <c r="V2400" s="12" t="str">
        <f t="shared" si="119"/>
        <v>0 г. 0 мес. 0 дн.</v>
      </c>
      <c r="W2400" s="22"/>
      <c r="X2400" s="72"/>
    </row>
    <row r="2401" spans="1:24" ht="35.1" customHeight="1" x14ac:dyDescent="0.25">
      <c r="A2401" s="12">
        <f t="shared" si="117"/>
        <v>2400</v>
      </c>
      <c r="B2401" s="12"/>
      <c r="C2401" s="20"/>
      <c r="D2401" s="18"/>
      <c r="H2401" s="12" t="str">
        <f t="shared" si="118"/>
        <v>0 г. 0 мес. 0 дн.</v>
      </c>
      <c r="V2401" s="12" t="str">
        <f t="shared" si="119"/>
        <v>0 г. 0 мес. 0 дн.</v>
      </c>
      <c r="W2401" s="22"/>
      <c r="X2401" s="72"/>
    </row>
    <row r="2402" spans="1:24" ht="35.1" customHeight="1" x14ac:dyDescent="0.25">
      <c r="A2402" s="12">
        <f t="shared" si="117"/>
        <v>2401</v>
      </c>
      <c r="B2402" s="12"/>
      <c r="C2402" s="20"/>
      <c r="D2402" s="18"/>
      <c r="H2402" s="12" t="str">
        <f t="shared" si="118"/>
        <v>0 г. 0 мес. 0 дн.</v>
      </c>
      <c r="V2402" s="12" t="str">
        <f t="shared" si="119"/>
        <v>0 г. 0 мес. 0 дн.</v>
      </c>
      <c r="W2402" s="22"/>
      <c r="X2402" s="72"/>
    </row>
    <row r="2403" spans="1:24" ht="35.1" customHeight="1" x14ac:dyDescent="0.25">
      <c r="A2403" s="12">
        <f t="shared" si="117"/>
        <v>2402</v>
      </c>
      <c r="B2403" s="12"/>
      <c r="C2403" s="20"/>
      <c r="D2403" s="18"/>
      <c r="H2403" s="12" t="str">
        <f t="shared" si="118"/>
        <v>0 г. 0 мес. 0 дн.</v>
      </c>
      <c r="V2403" s="12" t="str">
        <f t="shared" si="119"/>
        <v>0 г. 0 мес. 0 дн.</v>
      </c>
      <c r="W2403" s="22"/>
      <c r="X2403" s="72"/>
    </row>
    <row r="2404" spans="1:24" ht="35.1" customHeight="1" x14ac:dyDescent="0.25">
      <c r="A2404" s="12">
        <f t="shared" si="117"/>
        <v>2403</v>
      </c>
      <c r="B2404" s="12"/>
      <c r="C2404" s="20"/>
      <c r="D2404" s="18"/>
      <c r="H2404" s="12" t="str">
        <f t="shared" si="118"/>
        <v>0 г. 0 мес. 0 дн.</v>
      </c>
      <c r="V2404" s="12" t="str">
        <f t="shared" si="119"/>
        <v>0 г. 0 мес. 0 дн.</v>
      </c>
      <c r="W2404" s="22"/>
      <c r="X2404" s="72"/>
    </row>
    <row r="2405" spans="1:24" ht="35.1" customHeight="1" x14ac:dyDescent="0.25">
      <c r="A2405" s="12">
        <f t="shared" si="117"/>
        <v>2404</v>
      </c>
      <c r="B2405" s="12"/>
      <c r="C2405" s="20"/>
      <c r="D2405" s="18"/>
      <c r="H2405" s="12" t="str">
        <f t="shared" si="118"/>
        <v>0 г. 0 мес. 0 дн.</v>
      </c>
      <c r="V2405" s="12" t="str">
        <f t="shared" si="119"/>
        <v>0 г. 0 мес. 0 дн.</v>
      </c>
      <c r="W2405" s="22"/>
      <c r="X2405" s="72"/>
    </row>
    <row r="2406" spans="1:24" ht="35.1" customHeight="1" x14ac:dyDescent="0.25">
      <c r="A2406" s="12">
        <f t="shared" si="117"/>
        <v>2405</v>
      </c>
      <c r="B2406" s="12"/>
      <c r="C2406" s="20"/>
      <c r="D2406" s="18"/>
      <c r="H2406" s="12" t="str">
        <f t="shared" si="118"/>
        <v>0 г. 0 мес. 0 дн.</v>
      </c>
      <c r="V2406" s="12" t="str">
        <f t="shared" si="119"/>
        <v>0 г. 0 мес. 0 дн.</v>
      </c>
      <c r="W2406" s="22"/>
      <c r="X2406" s="72"/>
    </row>
    <row r="2407" spans="1:24" ht="35.1" customHeight="1" x14ac:dyDescent="0.25">
      <c r="A2407" s="12">
        <f t="shared" si="117"/>
        <v>2406</v>
      </c>
      <c r="B2407" s="12"/>
      <c r="C2407" s="20"/>
      <c r="D2407" s="18"/>
      <c r="H2407" s="12" t="str">
        <f t="shared" si="118"/>
        <v>0 г. 0 мес. 0 дн.</v>
      </c>
      <c r="V2407" s="12" t="str">
        <f t="shared" si="119"/>
        <v>0 г. 0 мес. 0 дн.</v>
      </c>
      <c r="W2407" s="22"/>
      <c r="X2407" s="72"/>
    </row>
    <row r="2408" spans="1:24" ht="35.1" customHeight="1" x14ac:dyDescent="0.25">
      <c r="A2408" s="12">
        <f t="shared" si="117"/>
        <v>2407</v>
      </c>
      <c r="B2408" s="12"/>
      <c r="C2408" s="20"/>
      <c r="D2408" s="18"/>
      <c r="H2408" s="12" t="str">
        <f t="shared" si="118"/>
        <v>0 г. 0 мес. 0 дн.</v>
      </c>
      <c r="V2408" s="12" t="str">
        <f t="shared" si="119"/>
        <v>0 г. 0 мес. 0 дн.</v>
      </c>
      <c r="W2408" s="22"/>
      <c r="X2408" s="72"/>
    </row>
    <row r="2409" spans="1:24" ht="35.1" customHeight="1" x14ac:dyDescent="0.25">
      <c r="A2409" s="12">
        <f t="shared" si="117"/>
        <v>2408</v>
      </c>
      <c r="B2409" s="12"/>
      <c r="C2409" s="20"/>
      <c r="D2409" s="18"/>
      <c r="H2409" s="12" t="str">
        <f t="shared" si="118"/>
        <v>0 г. 0 мес. 0 дн.</v>
      </c>
      <c r="V2409" s="12" t="str">
        <f t="shared" si="119"/>
        <v>0 г. 0 мес. 0 дн.</v>
      </c>
      <c r="W2409" s="22"/>
      <c r="X2409" s="72"/>
    </row>
    <row r="2410" spans="1:24" ht="35.1" customHeight="1" x14ac:dyDescent="0.25">
      <c r="A2410" s="12">
        <f t="shared" si="117"/>
        <v>2409</v>
      </c>
      <c r="B2410" s="12"/>
      <c r="C2410" s="20"/>
      <c r="D2410" s="18"/>
      <c r="H2410" s="12" t="str">
        <f t="shared" si="118"/>
        <v>0 г. 0 мес. 0 дн.</v>
      </c>
      <c r="V2410" s="12" t="str">
        <f t="shared" si="119"/>
        <v>0 г. 0 мес. 0 дн.</v>
      </c>
      <c r="W2410" s="22"/>
      <c r="X2410" s="72"/>
    </row>
    <row r="2411" spans="1:24" ht="35.1" customHeight="1" x14ac:dyDescent="0.25">
      <c r="A2411" s="12">
        <f t="shared" si="117"/>
        <v>2410</v>
      </c>
      <c r="B2411" s="12"/>
      <c r="C2411" s="20"/>
      <c r="D2411" s="18"/>
      <c r="H2411" s="12" t="str">
        <f t="shared" si="118"/>
        <v>0 г. 0 мес. 0 дн.</v>
      </c>
      <c r="V2411" s="12" t="str">
        <f t="shared" si="119"/>
        <v>0 г. 0 мес. 0 дн.</v>
      </c>
      <c r="W2411" s="22"/>
      <c r="X2411" s="72"/>
    </row>
    <row r="2412" spans="1:24" ht="35.1" customHeight="1" x14ac:dyDescent="0.25">
      <c r="A2412" s="12">
        <f t="shared" si="117"/>
        <v>2411</v>
      </c>
      <c r="B2412" s="12"/>
      <c r="C2412" s="20"/>
      <c r="D2412" s="18"/>
      <c r="H2412" s="12" t="str">
        <f t="shared" si="118"/>
        <v>0 г. 0 мес. 0 дн.</v>
      </c>
      <c r="V2412" s="12" t="str">
        <f t="shared" si="119"/>
        <v>0 г. 0 мес. 0 дн.</v>
      </c>
      <c r="W2412" s="22"/>
      <c r="X2412" s="72"/>
    </row>
    <row r="2413" spans="1:24" ht="35.1" customHeight="1" x14ac:dyDescent="0.25">
      <c r="A2413" s="12">
        <f t="shared" si="117"/>
        <v>2412</v>
      </c>
      <c r="B2413" s="12"/>
      <c r="C2413" s="20"/>
      <c r="D2413" s="18"/>
      <c r="H2413" s="12" t="str">
        <f t="shared" si="118"/>
        <v>0 г. 0 мес. 0 дн.</v>
      </c>
      <c r="V2413" s="12" t="str">
        <f t="shared" si="119"/>
        <v>0 г. 0 мес. 0 дн.</v>
      </c>
      <c r="W2413" s="22"/>
      <c r="X2413" s="72"/>
    </row>
    <row r="2414" spans="1:24" ht="35.1" customHeight="1" x14ac:dyDescent="0.25">
      <c r="A2414" s="12">
        <f t="shared" si="117"/>
        <v>2413</v>
      </c>
      <c r="B2414" s="12"/>
      <c r="C2414" s="20"/>
      <c r="D2414" s="18"/>
      <c r="H2414" s="12" t="str">
        <f t="shared" si="118"/>
        <v>0 г. 0 мес. 0 дн.</v>
      </c>
      <c r="V2414" s="12" t="str">
        <f t="shared" si="119"/>
        <v>0 г. 0 мес. 0 дн.</v>
      </c>
      <c r="W2414" s="22"/>
      <c r="X2414" s="72"/>
    </row>
    <row r="2415" spans="1:24" ht="35.1" customHeight="1" x14ac:dyDescent="0.25">
      <c r="A2415" s="12">
        <f t="shared" si="117"/>
        <v>2414</v>
      </c>
      <c r="B2415" s="12"/>
      <c r="C2415" s="20"/>
      <c r="D2415" s="18"/>
      <c r="H2415" s="12" t="str">
        <f t="shared" si="118"/>
        <v>0 г. 0 мес. 0 дн.</v>
      </c>
      <c r="V2415" s="12" t="str">
        <f t="shared" si="119"/>
        <v>0 г. 0 мес. 0 дн.</v>
      </c>
      <c r="W2415" s="22"/>
      <c r="X2415" s="72"/>
    </row>
    <row r="2416" spans="1:24" ht="35.1" customHeight="1" x14ac:dyDescent="0.25">
      <c r="A2416" s="12">
        <f t="shared" si="117"/>
        <v>2415</v>
      </c>
      <c r="B2416" s="12"/>
      <c r="C2416" s="20"/>
      <c r="D2416" s="18"/>
      <c r="H2416" s="12" t="str">
        <f t="shared" si="118"/>
        <v>0 г. 0 мес. 0 дн.</v>
      </c>
      <c r="V2416" s="12" t="str">
        <f t="shared" si="119"/>
        <v>0 г. 0 мес. 0 дн.</v>
      </c>
      <c r="W2416" s="22"/>
      <c r="X2416" s="72"/>
    </row>
    <row r="2417" spans="1:24" ht="35.1" customHeight="1" x14ac:dyDescent="0.25">
      <c r="A2417" s="12">
        <f t="shared" si="117"/>
        <v>2416</v>
      </c>
      <c r="B2417" s="12"/>
      <c r="C2417" s="20"/>
      <c r="D2417" s="18"/>
      <c r="H2417" s="12" t="str">
        <f t="shared" si="118"/>
        <v>0 г. 0 мес. 0 дн.</v>
      </c>
      <c r="V2417" s="12" t="str">
        <f t="shared" si="119"/>
        <v>0 г. 0 мес. 0 дн.</v>
      </c>
      <c r="W2417" s="22"/>
      <c r="X2417" s="72"/>
    </row>
    <row r="2418" spans="1:24" ht="35.1" customHeight="1" x14ac:dyDescent="0.25">
      <c r="A2418" s="12">
        <f t="shared" si="117"/>
        <v>2417</v>
      </c>
      <c r="B2418" s="12"/>
      <c r="C2418" s="20"/>
      <c r="D2418" s="18"/>
      <c r="H2418" s="12" t="str">
        <f t="shared" si="118"/>
        <v>0 г. 0 мес. 0 дн.</v>
      </c>
      <c r="V2418" s="12" t="str">
        <f t="shared" si="119"/>
        <v>0 г. 0 мес. 0 дн.</v>
      </c>
      <c r="W2418" s="22"/>
      <c r="X2418" s="72"/>
    </row>
    <row r="2419" spans="1:24" ht="35.1" customHeight="1" x14ac:dyDescent="0.25">
      <c r="A2419" s="12">
        <f t="shared" si="117"/>
        <v>2418</v>
      </c>
      <c r="B2419" s="12"/>
      <c r="C2419" s="20"/>
      <c r="D2419" s="18"/>
      <c r="H2419" s="12" t="str">
        <f t="shared" si="118"/>
        <v>0 г. 0 мес. 0 дн.</v>
      </c>
      <c r="V2419" s="12" t="str">
        <f t="shared" si="119"/>
        <v>0 г. 0 мес. 0 дн.</v>
      </c>
      <c r="W2419" s="22"/>
      <c r="X2419" s="72"/>
    </row>
    <row r="2420" spans="1:24" ht="35.1" customHeight="1" x14ac:dyDescent="0.25">
      <c r="A2420" s="12">
        <f t="shared" si="117"/>
        <v>2419</v>
      </c>
      <c r="B2420" s="12"/>
      <c r="C2420" s="20"/>
      <c r="D2420" s="18"/>
      <c r="H2420" s="12" t="str">
        <f t="shared" si="118"/>
        <v>0 г. 0 мес. 0 дн.</v>
      </c>
      <c r="V2420" s="12" t="str">
        <f t="shared" si="119"/>
        <v>0 г. 0 мес. 0 дн.</v>
      </c>
      <c r="W2420" s="22"/>
      <c r="X2420" s="72"/>
    </row>
    <row r="2421" spans="1:24" ht="35.1" customHeight="1" x14ac:dyDescent="0.25">
      <c r="A2421" s="12">
        <f t="shared" si="117"/>
        <v>2420</v>
      </c>
      <c r="B2421" s="12"/>
      <c r="C2421" s="20"/>
      <c r="D2421" s="18"/>
      <c r="H2421" s="12" t="str">
        <f t="shared" si="118"/>
        <v>0 г. 0 мес. 0 дн.</v>
      </c>
      <c r="V2421" s="12" t="str">
        <f t="shared" si="119"/>
        <v>0 г. 0 мес. 0 дн.</v>
      </c>
      <c r="W2421" s="22"/>
      <c r="X2421" s="72"/>
    </row>
    <row r="2422" spans="1:24" ht="35.1" customHeight="1" x14ac:dyDescent="0.25">
      <c r="A2422" s="12">
        <f t="shared" si="117"/>
        <v>2421</v>
      </c>
      <c r="B2422" s="12"/>
      <c r="C2422" s="20"/>
      <c r="D2422" s="18"/>
      <c r="H2422" s="12" t="str">
        <f t="shared" si="118"/>
        <v>0 г. 0 мес. 0 дн.</v>
      </c>
      <c r="V2422" s="12" t="str">
        <f t="shared" si="119"/>
        <v>0 г. 0 мес. 0 дн.</v>
      </c>
      <c r="W2422" s="22"/>
      <c r="X2422" s="72"/>
    </row>
    <row r="2423" spans="1:24" ht="35.1" customHeight="1" x14ac:dyDescent="0.25">
      <c r="A2423" s="12">
        <f t="shared" si="117"/>
        <v>2422</v>
      </c>
      <c r="B2423" s="12"/>
      <c r="C2423" s="20"/>
      <c r="D2423" s="18"/>
      <c r="H2423" s="12" t="str">
        <f t="shared" si="118"/>
        <v>0 г. 0 мес. 0 дн.</v>
      </c>
      <c r="V2423" s="12" t="str">
        <f t="shared" si="119"/>
        <v>0 г. 0 мес. 0 дн.</v>
      </c>
      <c r="W2423" s="22"/>
      <c r="X2423" s="72"/>
    </row>
    <row r="2424" spans="1:24" ht="35.1" customHeight="1" x14ac:dyDescent="0.25">
      <c r="A2424" s="12">
        <f t="shared" si="117"/>
        <v>2423</v>
      </c>
      <c r="B2424" s="12"/>
      <c r="C2424" s="20"/>
      <c r="D2424" s="18"/>
      <c r="H2424" s="12" t="str">
        <f t="shared" si="118"/>
        <v>0 г. 0 мес. 0 дн.</v>
      </c>
      <c r="V2424" s="12" t="str">
        <f t="shared" si="119"/>
        <v>0 г. 0 мес. 0 дн.</v>
      </c>
      <c r="W2424" s="22"/>
      <c r="X2424" s="72"/>
    </row>
    <row r="2425" spans="1:24" ht="35.1" customHeight="1" x14ac:dyDescent="0.25">
      <c r="A2425" s="12">
        <f t="shared" si="117"/>
        <v>2424</v>
      </c>
      <c r="B2425" s="12"/>
      <c r="C2425" s="20"/>
      <c r="D2425" s="18"/>
      <c r="H2425" s="12" t="str">
        <f t="shared" si="118"/>
        <v>0 г. 0 мес. 0 дн.</v>
      </c>
      <c r="V2425" s="12" t="str">
        <f t="shared" si="119"/>
        <v>0 г. 0 мес. 0 дн.</v>
      </c>
      <c r="W2425" s="22"/>
      <c r="X2425" s="72"/>
    </row>
    <row r="2426" spans="1:24" ht="35.1" customHeight="1" x14ac:dyDescent="0.25">
      <c r="A2426" s="12">
        <f t="shared" si="117"/>
        <v>2425</v>
      </c>
      <c r="B2426" s="12"/>
      <c r="C2426" s="20"/>
      <c r="D2426" s="18"/>
      <c r="H2426" s="12" t="str">
        <f t="shared" si="118"/>
        <v>0 г. 0 мес. 0 дн.</v>
      </c>
      <c r="V2426" s="12" t="str">
        <f t="shared" si="119"/>
        <v>0 г. 0 мес. 0 дн.</v>
      </c>
      <c r="W2426" s="22"/>
      <c r="X2426" s="72"/>
    </row>
    <row r="2427" spans="1:24" ht="35.1" customHeight="1" x14ac:dyDescent="0.25">
      <c r="A2427" s="12">
        <f t="shared" si="117"/>
        <v>2426</v>
      </c>
      <c r="B2427" s="12"/>
      <c r="C2427" s="20"/>
      <c r="D2427" s="18"/>
      <c r="H2427" s="12" t="str">
        <f t="shared" si="118"/>
        <v>0 г. 0 мес. 0 дн.</v>
      </c>
      <c r="V2427" s="12" t="str">
        <f t="shared" si="119"/>
        <v>0 г. 0 мес. 0 дн.</v>
      </c>
      <c r="W2427" s="22"/>
      <c r="X2427" s="72"/>
    </row>
    <row r="2428" spans="1:24" ht="35.1" customHeight="1" x14ac:dyDescent="0.25">
      <c r="A2428" s="12">
        <f t="shared" si="117"/>
        <v>2427</v>
      </c>
      <c r="B2428" s="12"/>
      <c r="C2428" s="20"/>
      <c r="D2428" s="18"/>
      <c r="H2428" s="12" t="str">
        <f t="shared" si="118"/>
        <v>0 г. 0 мес. 0 дн.</v>
      </c>
      <c r="V2428" s="12" t="str">
        <f t="shared" si="119"/>
        <v>0 г. 0 мес. 0 дн.</v>
      </c>
      <c r="W2428" s="22"/>
      <c r="X2428" s="72"/>
    </row>
    <row r="2429" spans="1:24" ht="35.1" customHeight="1" x14ac:dyDescent="0.25">
      <c r="A2429" s="12">
        <f t="shared" si="117"/>
        <v>2428</v>
      </c>
      <c r="B2429" s="12"/>
      <c r="C2429" s="20"/>
      <c r="D2429" s="18"/>
      <c r="H2429" s="12" t="str">
        <f t="shared" si="118"/>
        <v>0 г. 0 мес. 0 дн.</v>
      </c>
      <c r="V2429" s="12" t="str">
        <f t="shared" si="119"/>
        <v>0 г. 0 мес. 0 дн.</v>
      </c>
      <c r="W2429" s="22"/>
      <c r="X2429" s="72"/>
    </row>
    <row r="2430" spans="1:24" ht="35.1" customHeight="1" x14ac:dyDescent="0.25">
      <c r="A2430" s="12">
        <f t="shared" si="117"/>
        <v>2429</v>
      </c>
      <c r="B2430" s="12"/>
      <c r="C2430" s="20"/>
      <c r="D2430" s="18"/>
      <c r="H2430" s="12" t="str">
        <f t="shared" si="118"/>
        <v>0 г. 0 мес. 0 дн.</v>
      </c>
      <c r="V2430" s="12" t="str">
        <f t="shared" si="119"/>
        <v>0 г. 0 мес. 0 дн.</v>
      </c>
      <c r="W2430" s="22"/>
      <c r="X2430" s="72"/>
    </row>
    <row r="2431" spans="1:24" ht="35.1" customHeight="1" x14ac:dyDescent="0.25">
      <c r="A2431" s="12">
        <f t="shared" si="117"/>
        <v>2430</v>
      </c>
      <c r="B2431" s="12"/>
      <c r="C2431" s="20"/>
      <c r="D2431" s="18"/>
      <c r="H2431" s="12" t="str">
        <f t="shared" si="118"/>
        <v>0 г. 0 мес. 0 дн.</v>
      </c>
      <c r="V2431" s="12" t="str">
        <f t="shared" si="119"/>
        <v>0 г. 0 мес. 0 дн.</v>
      </c>
      <c r="W2431" s="22"/>
      <c r="X2431" s="72"/>
    </row>
    <row r="2432" spans="1:24" ht="35.1" customHeight="1" x14ac:dyDescent="0.25">
      <c r="A2432" s="12">
        <f t="shared" si="117"/>
        <v>2431</v>
      </c>
      <c r="B2432" s="12"/>
      <c r="C2432" s="20"/>
      <c r="D2432" s="18"/>
      <c r="H2432" s="12" t="str">
        <f t="shared" si="118"/>
        <v>0 г. 0 мес. 0 дн.</v>
      </c>
      <c r="V2432" s="12" t="str">
        <f t="shared" si="119"/>
        <v>0 г. 0 мес. 0 дн.</v>
      </c>
      <c r="W2432" s="22"/>
      <c r="X2432" s="72"/>
    </row>
    <row r="2433" spans="1:24" ht="35.1" customHeight="1" x14ac:dyDescent="0.25">
      <c r="A2433" s="12">
        <f t="shared" ref="A2433:A2496" si="120">ROW(A2432)</f>
        <v>2432</v>
      </c>
      <c r="B2433" s="12"/>
      <c r="C2433" s="20"/>
      <c r="D2433" s="18"/>
      <c r="H2433" s="12" t="str">
        <f t="shared" si="118"/>
        <v>0 г. 0 мес. 0 дн.</v>
      </c>
      <c r="V2433" s="12" t="str">
        <f t="shared" si="119"/>
        <v>0 г. 0 мес. 0 дн.</v>
      </c>
      <c r="W2433" s="22"/>
      <c r="X2433" s="72"/>
    </row>
    <row r="2434" spans="1:24" ht="35.1" customHeight="1" x14ac:dyDescent="0.25">
      <c r="A2434" s="12">
        <f t="shared" si="120"/>
        <v>2433</v>
      </c>
      <c r="B2434" s="12"/>
      <c r="C2434" s="20"/>
      <c r="D2434" s="18"/>
      <c r="H2434" s="12" t="str">
        <f t="shared" si="118"/>
        <v>0 г. 0 мес. 0 дн.</v>
      </c>
      <c r="V2434" s="12" t="str">
        <f t="shared" si="119"/>
        <v>0 г. 0 мес. 0 дн.</v>
      </c>
      <c r="W2434" s="22"/>
      <c r="X2434" s="72"/>
    </row>
    <row r="2435" spans="1:24" ht="35.1" customHeight="1" x14ac:dyDescent="0.25">
      <c r="A2435" s="12">
        <f t="shared" si="120"/>
        <v>2434</v>
      </c>
      <c r="B2435" s="12"/>
      <c r="C2435" s="20"/>
      <c r="D2435" s="18"/>
      <c r="H2435" s="12" t="str">
        <f t="shared" si="118"/>
        <v>0 г. 0 мес. 0 дн.</v>
      </c>
      <c r="V2435" s="12" t="str">
        <f t="shared" si="119"/>
        <v>0 г. 0 мес. 0 дн.</v>
      </c>
      <c r="W2435" s="22"/>
      <c r="X2435" s="72"/>
    </row>
    <row r="2436" spans="1:24" ht="35.1" customHeight="1" x14ac:dyDescent="0.25">
      <c r="A2436" s="12">
        <f t="shared" si="120"/>
        <v>2435</v>
      </c>
      <c r="B2436" s="12"/>
      <c r="C2436" s="20"/>
      <c r="D2436" s="18"/>
      <c r="H2436" s="12" t="str">
        <f t="shared" si="118"/>
        <v>0 г. 0 мес. 0 дн.</v>
      </c>
      <c r="V2436" s="12" t="str">
        <f t="shared" si="119"/>
        <v>0 г. 0 мес. 0 дн.</v>
      </c>
      <c r="W2436" s="22"/>
      <c r="X2436" s="72"/>
    </row>
    <row r="2437" spans="1:24" ht="35.1" customHeight="1" x14ac:dyDescent="0.25">
      <c r="A2437" s="12">
        <f t="shared" si="120"/>
        <v>2436</v>
      </c>
      <c r="B2437" s="12"/>
      <c r="C2437" s="20"/>
      <c r="D2437" s="18"/>
      <c r="H2437" s="12" t="str">
        <f t="shared" si="118"/>
        <v>0 г. 0 мес. 0 дн.</v>
      </c>
      <c r="V2437" s="12" t="str">
        <f t="shared" si="119"/>
        <v>0 г. 0 мес. 0 дн.</v>
      </c>
      <c r="W2437" s="22"/>
      <c r="X2437" s="72"/>
    </row>
    <row r="2438" spans="1:24" ht="35.1" customHeight="1" x14ac:dyDescent="0.25">
      <c r="A2438" s="12">
        <f t="shared" si="120"/>
        <v>2437</v>
      </c>
      <c r="B2438" s="12"/>
      <c r="C2438" s="20"/>
      <c r="D2438" s="18"/>
      <c r="H2438" s="12" t="str">
        <f t="shared" ref="H2438:H2501" si="121">DATEDIF(G2438,D2438,"y") &amp; " г. " &amp; DATEDIF(G2438,D2438,"ym") &amp; " мес. " &amp; DATEDIF(G2438,D2438,"md") &amp; " дн."</f>
        <v>0 г. 0 мес. 0 дн.</v>
      </c>
      <c r="V2438" s="12" t="str">
        <f t="shared" si="119"/>
        <v>0 г. 0 мес. 0 дн.</v>
      </c>
      <c r="W2438" s="22"/>
      <c r="X2438" s="72"/>
    </row>
    <row r="2439" spans="1:24" ht="35.1" customHeight="1" x14ac:dyDescent="0.25">
      <c r="A2439" s="12">
        <f t="shared" si="120"/>
        <v>2438</v>
      </c>
      <c r="B2439" s="12"/>
      <c r="C2439" s="20"/>
      <c r="D2439" s="18"/>
      <c r="H2439" s="12" t="str">
        <f t="shared" si="121"/>
        <v>0 г. 0 мес. 0 дн.</v>
      </c>
      <c r="V2439" s="12" t="str">
        <f t="shared" si="119"/>
        <v>0 г. 0 мес. 0 дн.</v>
      </c>
      <c r="W2439" s="22"/>
      <c r="X2439" s="72"/>
    </row>
    <row r="2440" spans="1:24" ht="35.1" customHeight="1" x14ac:dyDescent="0.25">
      <c r="A2440" s="12">
        <f t="shared" si="120"/>
        <v>2439</v>
      </c>
      <c r="B2440" s="12"/>
      <c r="C2440" s="20"/>
      <c r="D2440" s="18"/>
      <c r="H2440" s="12" t="str">
        <f t="shared" si="121"/>
        <v>0 г. 0 мес. 0 дн.</v>
      </c>
      <c r="V2440" s="12" t="str">
        <f t="shared" si="119"/>
        <v>0 г. 0 мес. 0 дн.</v>
      </c>
      <c r="W2440" s="22"/>
      <c r="X2440" s="72"/>
    </row>
    <row r="2441" spans="1:24" ht="35.1" customHeight="1" x14ac:dyDescent="0.25">
      <c r="A2441" s="12">
        <f t="shared" si="120"/>
        <v>2440</v>
      </c>
      <c r="B2441" s="12"/>
      <c r="C2441" s="20"/>
      <c r="D2441" s="18"/>
      <c r="H2441" s="12" t="str">
        <f t="shared" si="121"/>
        <v>0 г. 0 мес. 0 дн.</v>
      </c>
      <c r="V2441" s="12" t="str">
        <f t="shared" si="119"/>
        <v>0 г. 0 мес. 0 дн.</v>
      </c>
      <c r="W2441" s="22"/>
      <c r="X2441" s="72"/>
    </row>
    <row r="2442" spans="1:24" ht="35.1" customHeight="1" x14ac:dyDescent="0.25">
      <c r="A2442" s="12">
        <f t="shared" si="120"/>
        <v>2441</v>
      </c>
      <c r="B2442" s="12"/>
      <c r="C2442" s="20"/>
      <c r="D2442" s="18"/>
      <c r="H2442" s="12" t="str">
        <f t="shared" si="121"/>
        <v>0 г. 0 мес. 0 дн.</v>
      </c>
      <c r="V2442" s="12" t="str">
        <f t="shared" si="119"/>
        <v>0 г. 0 мес. 0 дн.</v>
      </c>
      <c r="W2442" s="22"/>
      <c r="X2442" s="72"/>
    </row>
    <row r="2443" spans="1:24" ht="35.1" customHeight="1" x14ac:dyDescent="0.25">
      <c r="A2443" s="12">
        <f t="shared" si="120"/>
        <v>2442</v>
      </c>
      <c r="B2443" s="12"/>
      <c r="C2443" s="20"/>
      <c r="D2443" s="18"/>
      <c r="H2443" s="12" t="str">
        <f t="shared" si="121"/>
        <v>0 г. 0 мес. 0 дн.</v>
      </c>
      <c r="V2443" s="12" t="str">
        <f t="shared" si="119"/>
        <v>0 г. 0 мес. 0 дн.</v>
      </c>
      <c r="W2443" s="22"/>
      <c r="X2443" s="72"/>
    </row>
    <row r="2444" spans="1:24" ht="35.1" customHeight="1" x14ac:dyDescent="0.25">
      <c r="A2444" s="12">
        <f t="shared" si="120"/>
        <v>2443</v>
      </c>
      <c r="B2444" s="12"/>
      <c r="C2444" s="20"/>
      <c r="D2444" s="18"/>
      <c r="H2444" s="12" t="str">
        <f t="shared" si="121"/>
        <v>0 г. 0 мес. 0 дн.</v>
      </c>
      <c r="V2444" s="12" t="str">
        <f t="shared" si="119"/>
        <v>0 г. 0 мес. 0 дн.</v>
      </c>
      <c r="W2444" s="22"/>
      <c r="X2444" s="72"/>
    </row>
    <row r="2445" spans="1:24" ht="35.1" customHeight="1" x14ac:dyDescent="0.25">
      <c r="A2445" s="12">
        <f t="shared" si="120"/>
        <v>2444</v>
      </c>
      <c r="B2445" s="12"/>
      <c r="C2445" s="20"/>
      <c r="D2445" s="18"/>
      <c r="H2445" s="12" t="str">
        <f t="shared" si="121"/>
        <v>0 г. 0 мес. 0 дн.</v>
      </c>
      <c r="V2445" s="12" t="str">
        <f t="shared" si="119"/>
        <v>0 г. 0 мес. 0 дн.</v>
      </c>
      <c r="W2445" s="22"/>
      <c r="X2445" s="72"/>
    </row>
    <row r="2446" spans="1:24" ht="35.1" customHeight="1" x14ac:dyDescent="0.25">
      <c r="A2446" s="12">
        <f t="shared" si="120"/>
        <v>2445</v>
      </c>
      <c r="B2446" s="12"/>
      <c r="C2446" s="20"/>
      <c r="D2446" s="18"/>
      <c r="H2446" s="12" t="str">
        <f t="shared" si="121"/>
        <v>0 г. 0 мес. 0 дн.</v>
      </c>
      <c r="V2446" s="12" t="str">
        <f t="shared" si="119"/>
        <v>0 г. 0 мес. 0 дн.</v>
      </c>
      <c r="W2446" s="22"/>
      <c r="X2446" s="72"/>
    </row>
    <row r="2447" spans="1:24" ht="35.1" customHeight="1" x14ac:dyDescent="0.25">
      <c r="A2447" s="12">
        <f t="shared" si="120"/>
        <v>2446</v>
      </c>
      <c r="B2447" s="12"/>
      <c r="C2447" s="20"/>
      <c r="D2447" s="18"/>
      <c r="H2447" s="12" t="str">
        <f t="shared" si="121"/>
        <v>0 г. 0 мес. 0 дн.</v>
      </c>
      <c r="V2447" s="12" t="str">
        <f t="shared" si="119"/>
        <v>0 г. 0 мес. 0 дн.</v>
      </c>
      <c r="W2447" s="22"/>
      <c r="X2447" s="72"/>
    </row>
    <row r="2448" spans="1:24" ht="35.1" customHeight="1" x14ac:dyDescent="0.25">
      <c r="A2448" s="12">
        <f t="shared" si="120"/>
        <v>2447</v>
      </c>
      <c r="B2448" s="12"/>
      <c r="C2448" s="20"/>
      <c r="D2448" s="18"/>
      <c r="H2448" s="12" t="str">
        <f t="shared" si="121"/>
        <v>0 г. 0 мес. 0 дн.</v>
      </c>
      <c r="V2448" s="12" t="str">
        <f t="shared" si="119"/>
        <v>0 г. 0 мес. 0 дн.</v>
      </c>
      <c r="W2448" s="22"/>
      <c r="X2448" s="72"/>
    </row>
    <row r="2449" spans="1:24" ht="35.1" customHeight="1" x14ac:dyDescent="0.25">
      <c r="A2449" s="12">
        <f t="shared" si="120"/>
        <v>2448</v>
      </c>
      <c r="B2449" s="12"/>
      <c r="C2449" s="20"/>
      <c r="D2449" s="18"/>
      <c r="H2449" s="12" t="str">
        <f t="shared" si="121"/>
        <v>0 г. 0 мес. 0 дн.</v>
      </c>
      <c r="V2449" s="12" t="str">
        <f t="shared" si="119"/>
        <v>0 г. 0 мес. 0 дн.</v>
      </c>
      <c r="W2449" s="22"/>
      <c r="X2449" s="72"/>
    </row>
    <row r="2450" spans="1:24" ht="35.1" customHeight="1" x14ac:dyDescent="0.25">
      <c r="A2450" s="12">
        <f t="shared" si="120"/>
        <v>2449</v>
      </c>
      <c r="B2450" s="12"/>
      <c r="C2450" s="20"/>
      <c r="D2450" s="18"/>
      <c r="H2450" s="12" t="str">
        <f t="shared" si="121"/>
        <v>0 г. 0 мес. 0 дн.</v>
      </c>
      <c r="V2450" s="12" t="str">
        <f t="shared" si="119"/>
        <v>0 г. 0 мес. 0 дн.</v>
      </c>
      <c r="W2450" s="22"/>
      <c r="X2450" s="72"/>
    </row>
    <row r="2451" spans="1:24" ht="35.1" customHeight="1" x14ac:dyDescent="0.25">
      <c r="A2451" s="12">
        <f t="shared" si="120"/>
        <v>2450</v>
      </c>
      <c r="B2451" s="12"/>
      <c r="C2451" s="20"/>
      <c r="D2451" s="18"/>
      <c r="H2451" s="12" t="str">
        <f t="shared" si="121"/>
        <v>0 г. 0 мес. 0 дн.</v>
      </c>
      <c r="V2451" s="12" t="str">
        <f t="shared" si="119"/>
        <v>0 г. 0 мес. 0 дн.</v>
      </c>
      <c r="W2451" s="22"/>
      <c r="X2451" s="72"/>
    </row>
    <row r="2452" spans="1:24" ht="35.1" customHeight="1" x14ac:dyDescent="0.25">
      <c r="A2452" s="12">
        <f t="shared" si="120"/>
        <v>2451</v>
      </c>
      <c r="B2452" s="12"/>
      <c r="C2452" s="20"/>
      <c r="D2452" s="18"/>
      <c r="H2452" s="12" t="str">
        <f t="shared" si="121"/>
        <v>0 г. 0 мес. 0 дн.</v>
      </c>
      <c r="V2452" s="12" t="str">
        <f t="shared" si="119"/>
        <v>0 г. 0 мес. 0 дн.</v>
      </c>
      <c r="W2452" s="22"/>
      <c r="X2452" s="72"/>
    </row>
    <row r="2453" spans="1:24" ht="35.1" customHeight="1" x14ac:dyDescent="0.25">
      <c r="A2453" s="12">
        <f t="shared" si="120"/>
        <v>2452</v>
      </c>
      <c r="B2453" s="12"/>
      <c r="C2453" s="20"/>
      <c r="D2453" s="18"/>
      <c r="H2453" s="12" t="str">
        <f t="shared" si="121"/>
        <v>0 г. 0 мес. 0 дн.</v>
      </c>
      <c r="V2453" s="12" t="str">
        <f t="shared" si="119"/>
        <v>0 г. 0 мес. 0 дн.</v>
      </c>
      <c r="W2453" s="22"/>
      <c r="X2453" s="72"/>
    </row>
    <row r="2454" spans="1:24" ht="35.1" customHeight="1" x14ac:dyDescent="0.25">
      <c r="A2454" s="12">
        <f t="shared" si="120"/>
        <v>2453</v>
      </c>
      <c r="B2454" s="12"/>
      <c r="C2454" s="20"/>
      <c r="D2454" s="18"/>
      <c r="H2454" s="12" t="str">
        <f t="shared" si="121"/>
        <v>0 г. 0 мес. 0 дн.</v>
      </c>
      <c r="V2454" s="12" t="str">
        <f t="shared" si="119"/>
        <v>0 г. 0 мес. 0 дн.</v>
      </c>
      <c r="W2454" s="22"/>
      <c r="X2454" s="72"/>
    </row>
    <row r="2455" spans="1:24" ht="35.1" customHeight="1" x14ac:dyDescent="0.25">
      <c r="A2455" s="12">
        <f t="shared" si="120"/>
        <v>2454</v>
      </c>
      <c r="B2455" s="12"/>
      <c r="C2455" s="20"/>
      <c r="D2455" s="18"/>
      <c r="H2455" s="12" t="str">
        <f t="shared" si="121"/>
        <v>0 г. 0 мес. 0 дн.</v>
      </c>
      <c r="V2455" s="12" t="str">
        <f t="shared" si="119"/>
        <v>0 г. 0 мес. 0 дн.</v>
      </c>
      <c r="W2455" s="22"/>
      <c r="X2455" s="72"/>
    </row>
    <row r="2456" spans="1:24" ht="35.1" customHeight="1" x14ac:dyDescent="0.25">
      <c r="A2456" s="12">
        <f t="shared" si="120"/>
        <v>2455</v>
      </c>
      <c r="B2456" s="12"/>
      <c r="C2456" s="20"/>
      <c r="D2456" s="18"/>
      <c r="H2456" s="12" t="str">
        <f t="shared" si="121"/>
        <v>0 г. 0 мес. 0 дн.</v>
      </c>
      <c r="V2456" s="12" t="str">
        <f t="shared" ref="V2456:V2511" si="122">DATEDIF(D2456,T2456,"y") &amp; " г. " &amp; DATEDIF(D2456,T2456,"ym") &amp; " мес. " &amp; DATEDIF(D2456,T2456,"md") &amp; " дн."</f>
        <v>0 г. 0 мес. 0 дн.</v>
      </c>
      <c r="W2456" s="22"/>
      <c r="X2456" s="72"/>
    </row>
    <row r="2457" spans="1:24" ht="35.1" customHeight="1" x14ac:dyDescent="0.25">
      <c r="A2457" s="12">
        <f t="shared" si="120"/>
        <v>2456</v>
      </c>
      <c r="B2457" s="12"/>
      <c r="C2457" s="20"/>
      <c r="D2457" s="18"/>
      <c r="H2457" s="12" t="str">
        <f t="shared" si="121"/>
        <v>0 г. 0 мес. 0 дн.</v>
      </c>
      <c r="V2457" s="12" t="str">
        <f t="shared" si="122"/>
        <v>0 г. 0 мес. 0 дн.</v>
      </c>
      <c r="W2457" s="22"/>
      <c r="X2457" s="72"/>
    </row>
    <row r="2458" spans="1:24" ht="35.1" customHeight="1" x14ac:dyDescent="0.25">
      <c r="A2458" s="12">
        <f t="shared" si="120"/>
        <v>2457</v>
      </c>
      <c r="B2458" s="12"/>
      <c r="C2458" s="20"/>
      <c r="D2458" s="18"/>
      <c r="H2458" s="12" t="str">
        <f t="shared" si="121"/>
        <v>0 г. 0 мес. 0 дн.</v>
      </c>
      <c r="V2458" s="12" t="str">
        <f t="shared" si="122"/>
        <v>0 г. 0 мес. 0 дн.</v>
      </c>
      <c r="W2458" s="22"/>
      <c r="X2458" s="72"/>
    </row>
    <row r="2459" spans="1:24" ht="35.1" customHeight="1" x14ac:dyDescent="0.25">
      <c r="A2459" s="12">
        <f t="shared" si="120"/>
        <v>2458</v>
      </c>
      <c r="B2459" s="12"/>
      <c r="C2459" s="20"/>
      <c r="D2459" s="18"/>
      <c r="H2459" s="12" t="str">
        <f t="shared" si="121"/>
        <v>0 г. 0 мес. 0 дн.</v>
      </c>
      <c r="V2459" s="12" t="str">
        <f t="shared" si="122"/>
        <v>0 г. 0 мес. 0 дн.</v>
      </c>
      <c r="W2459" s="22"/>
      <c r="X2459" s="72"/>
    </row>
    <row r="2460" spans="1:24" ht="35.1" customHeight="1" x14ac:dyDescent="0.25">
      <c r="A2460" s="12">
        <f t="shared" si="120"/>
        <v>2459</v>
      </c>
      <c r="B2460" s="12"/>
      <c r="C2460" s="20"/>
      <c r="D2460" s="18"/>
      <c r="H2460" s="12" t="str">
        <f t="shared" si="121"/>
        <v>0 г. 0 мес. 0 дн.</v>
      </c>
      <c r="V2460" s="12" t="str">
        <f t="shared" si="122"/>
        <v>0 г. 0 мес. 0 дн.</v>
      </c>
      <c r="W2460" s="22"/>
      <c r="X2460" s="72"/>
    </row>
    <row r="2461" spans="1:24" ht="35.1" customHeight="1" x14ac:dyDescent="0.25">
      <c r="A2461" s="12">
        <f t="shared" si="120"/>
        <v>2460</v>
      </c>
      <c r="B2461" s="12"/>
      <c r="C2461" s="20"/>
      <c r="D2461" s="18"/>
      <c r="H2461" s="12" t="str">
        <f t="shared" si="121"/>
        <v>0 г. 0 мес. 0 дн.</v>
      </c>
      <c r="V2461" s="12" t="str">
        <f t="shared" si="122"/>
        <v>0 г. 0 мес. 0 дн.</v>
      </c>
      <c r="W2461" s="22"/>
      <c r="X2461" s="72"/>
    </row>
    <row r="2462" spans="1:24" ht="35.1" customHeight="1" x14ac:dyDescent="0.25">
      <c r="A2462" s="12">
        <f t="shared" si="120"/>
        <v>2461</v>
      </c>
      <c r="B2462" s="12"/>
      <c r="C2462" s="20"/>
      <c r="D2462" s="18"/>
      <c r="H2462" s="12" t="str">
        <f t="shared" si="121"/>
        <v>0 г. 0 мес. 0 дн.</v>
      </c>
      <c r="V2462" s="12" t="str">
        <f t="shared" si="122"/>
        <v>0 г. 0 мес. 0 дн.</v>
      </c>
      <c r="W2462" s="22"/>
      <c r="X2462" s="72"/>
    </row>
    <row r="2463" spans="1:24" ht="35.1" customHeight="1" x14ac:dyDescent="0.25">
      <c r="A2463" s="12">
        <f t="shared" si="120"/>
        <v>2462</v>
      </c>
      <c r="B2463" s="12"/>
      <c r="C2463" s="20"/>
      <c r="D2463" s="18"/>
      <c r="H2463" s="12" t="str">
        <f t="shared" si="121"/>
        <v>0 г. 0 мес. 0 дн.</v>
      </c>
      <c r="V2463" s="12" t="str">
        <f t="shared" si="122"/>
        <v>0 г. 0 мес. 0 дн.</v>
      </c>
      <c r="W2463" s="22"/>
      <c r="X2463" s="72"/>
    </row>
    <row r="2464" spans="1:24" ht="35.1" customHeight="1" x14ac:dyDescent="0.25">
      <c r="A2464" s="12">
        <f t="shared" si="120"/>
        <v>2463</v>
      </c>
      <c r="B2464" s="12"/>
      <c r="C2464" s="20"/>
      <c r="D2464" s="18"/>
      <c r="H2464" s="12" t="str">
        <f t="shared" si="121"/>
        <v>0 г. 0 мес. 0 дн.</v>
      </c>
      <c r="V2464" s="12" t="str">
        <f t="shared" si="122"/>
        <v>0 г. 0 мес. 0 дн.</v>
      </c>
      <c r="W2464" s="22"/>
      <c r="X2464" s="72"/>
    </row>
    <row r="2465" spans="1:24" ht="35.1" customHeight="1" x14ac:dyDescent="0.25">
      <c r="A2465" s="12">
        <f t="shared" si="120"/>
        <v>2464</v>
      </c>
      <c r="B2465" s="12"/>
      <c r="C2465" s="20"/>
      <c r="D2465" s="18"/>
      <c r="H2465" s="12" t="str">
        <f t="shared" si="121"/>
        <v>0 г. 0 мес. 0 дн.</v>
      </c>
      <c r="V2465" s="12" t="str">
        <f t="shared" si="122"/>
        <v>0 г. 0 мес. 0 дн.</v>
      </c>
      <c r="W2465" s="22"/>
      <c r="X2465" s="72"/>
    </row>
    <row r="2466" spans="1:24" ht="35.1" customHeight="1" x14ac:dyDescent="0.25">
      <c r="A2466" s="12">
        <f t="shared" si="120"/>
        <v>2465</v>
      </c>
      <c r="B2466" s="12"/>
      <c r="C2466" s="20"/>
      <c r="D2466" s="18"/>
      <c r="H2466" s="12" t="str">
        <f t="shared" si="121"/>
        <v>0 г. 0 мес. 0 дн.</v>
      </c>
      <c r="V2466" s="12" t="str">
        <f t="shared" si="122"/>
        <v>0 г. 0 мес. 0 дн.</v>
      </c>
      <c r="W2466" s="22"/>
      <c r="X2466" s="72"/>
    </row>
    <row r="2467" spans="1:24" ht="35.1" customHeight="1" x14ac:dyDescent="0.25">
      <c r="A2467" s="12">
        <f t="shared" si="120"/>
        <v>2466</v>
      </c>
      <c r="B2467" s="12"/>
      <c r="C2467" s="20"/>
      <c r="D2467" s="18"/>
      <c r="H2467" s="12" t="str">
        <f t="shared" si="121"/>
        <v>0 г. 0 мес. 0 дн.</v>
      </c>
      <c r="V2467" s="12" t="str">
        <f t="shared" si="122"/>
        <v>0 г. 0 мес. 0 дн.</v>
      </c>
      <c r="W2467" s="22"/>
      <c r="X2467" s="72"/>
    </row>
    <row r="2468" spans="1:24" ht="35.1" customHeight="1" x14ac:dyDescent="0.25">
      <c r="A2468" s="12">
        <f t="shared" si="120"/>
        <v>2467</v>
      </c>
      <c r="B2468" s="12"/>
      <c r="C2468" s="20"/>
      <c r="D2468" s="18"/>
      <c r="H2468" s="12" t="str">
        <f t="shared" si="121"/>
        <v>0 г. 0 мес. 0 дн.</v>
      </c>
      <c r="V2468" s="12" t="str">
        <f t="shared" si="122"/>
        <v>0 г. 0 мес. 0 дн.</v>
      </c>
      <c r="W2468" s="22"/>
      <c r="X2468" s="72"/>
    </row>
    <row r="2469" spans="1:24" ht="35.1" customHeight="1" x14ac:dyDescent="0.25">
      <c r="A2469" s="12">
        <f t="shared" si="120"/>
        <v>2468</v>
      </c>
      <c r="B2469" s="12"/>
      <c r="C2469" s="20"/>
      <c r="D2469" s="18"/>
      <c r="H2469" s="12" t="str">
        <f t="shared" si="121"/>
        <v>0 г. 0 мес. 0 дн.</v>
      </c>
      <c r="V2469" s="12" t="str">
        <f t="shared" si="122"/>
        <v>0 г. 0 мес. 0 дн.</v>
      </c>
      <c r="W2469" s="22"/>
      <c r="X2469" s="72"/>
    </row>
    <row r="2470" spans="1:24" ht="35.1" customHeight="1" x14ac:dyDescent="0.25">
      <c r="A2470" s="12">
        <f t="shared" si="120"/>
        <v>2469</v>
      </c>
      <c r="B2470" s="12"/>
      <c r="C2470" s="20"/>
      <c r="D2470" s="18"/>
      <c r="H2470" s="12" t="str">
        <f t="shared" si="121"/>
        <v>0 г. 0 мес. 0 дн.</v>
      </c>
      <c r="V2470" s="12" t="str">
        <f t="shared" si="122"/>
        <v>0 г. 0 мес. 0 дн.</v>
      </c>
      <c r="W2470" s="22"/>
      <c r="X2470" s="72"/>
    </row>
    <row r="2471" spans="1:24" ht="35.1" customHeight="1" x14ac:dyDescent="0.25">
      <c r="A2471" s="12">
        <f t="shared" si="120"/>
        <v>2470</v>
      </c>
      <c r="B2471" s="12"/>
      <c r="C2471" s="20"/>
      <c r="D2471" s="18"/>
      <c r="H2471" s="12" t="str">
        <f t="shared" si="121"/>
        <v>0 г. 0 мес. 0 дн.</v>
      </c>
      <c r="V2471" s="12" t="str">
        <f t="shared" si="122"/>
        <v>0 г. 0 мес. 0 дн.</v>
      </c>
      <c r="W2471" s="22"/>
      <c r="X2471" s="72"/>
    </row>
    <row r="2472" spans="1:24" ht="35.1" customHeight="1" x14ac:dyDescent="0.25">
      <c r="A2472" s="12">
        <f t="shared" si="120"/>
        <v>2471</v>
      </c>
      <c r="B2472" s="12"/>
      <c r="C2472" s="20"/>
      <c r="D2472" s="18"/>
      <c r="H2472" s="12" t="str">
        <f t="shared" si="121"/>
        <v>0 г. 0 мес. 0 дн.</v>
      </c>
      <c r="V2472" s="12" t="str">
        <f t="shared" si="122"/>
        <v>0 г. 0 мес. 0 дн.</v>
      </c>
      <c r="W2472" s="22"/>
      <c r="X2472" s="72"/>
    </row>
    <row r="2473" spans="1:24" ht="35.1" customHeight="1" x14ac:dyDescent="0.25">
      <c r="A2473" s="12">
        <f t="shared" si="120"/>
        <v>2472</v>
      </c>
      <c r="B2473" s="12"/>
      <c r="C2473" s="20"/>
      <c r="D2473" s="18"/>
      <c r="H2473" s="12" t="str">
        <f t="shared" si="121"/>
        <v>0 г. 0 мес. 0 дн.</v>
      </c>
      <c r="V2473" s="12" t="str">
        <f t="shared" si="122"/>
        <v>0 г. 0 мес. 0 дн.</v>
      </c>
      <c r="W2473" s="22"/>
      <c r="X2473" s="72"/>
    </row>
    <row r="2474" spans="1:24" ht="35.1" customHeight="1" x14ac:dyDescent="0.25">
      <c r="A2474" s="12">
        <f t="shared" si="120"/>
        <v>2473</v>
      </c>
      <c r="B2474" s="12"/>
      <c r="C2474" s="20"/>
      <c r="D2474" s="18"/>
      <c r="H2474" s="12" t="str">
        <f t="shared" si="121"/>
        <v>0 г. 0 мес. 0 дн.</v>
      </c>
      <c r="V2474" s="12" t="str">
        <f t="shared" si="122"/>
        <v>0 г. 0 мес. 0 дн.</v>
      </c>
      <c r="W2474" s="22"/>
      <c r="X2474" s="72"/>
    </row>
    <row r="2475" spans="1:24" ht="35.1" customHeight="1" x14ac:dyDescent="0.25">
      <c r="A2475" s="12">
        <f t="shared" si="120"/>
        <v>2474</v>
      </c>
      <c r="B2475" s="12"/>
      <c r="C2475" s="20"/>
      <c r="D2475" s="18"/>
      <c r="H2475" s="12" t="str">
        <f t="shared" si="121"/>
        <v>0 г. 0 мес. 0 дн.</v>
      </c>
      <c r="V2475" s="12" t="str">
        <f t="shared" si="122"/>
        <v>0 г. 0 мес. 0 дн.</v>
      </c>
      <c r="W2475" s="22"/>
      <c r="X2475" s="72"/>
    </row>
    <row r="2476" spans="1:24" ht="35.1" customHeight="1" x14ac:dyDescent="0.25">
      <c r="A2476" s="12">
        <f t="shared" si="120"/>
        <v>2475</v>
      </c>
      <c r="B2476" s="12"/>
      <c r="C2476" s="20"/>
      <c r="D2476" s="18"/>
      <c r="H2476" s="12" t="str">
        <f t="shared" si="121"/>
        <v>0 г. 0 мес. 0 дн.</v>
      </c>
      <c r="V2476" s="12" t="str">
        <f t="shared" si="122"/>
        <v>0 г. 0 мес. 0 дн.</v>
      </c>
      <c r="W2476" s="22"/>
      <c r="X2476" s="72"/>
    </row>
    <row r="2477" spans="1:24" ht="35.1" customHeight="1" x14ac:dyDescent="0.25">
      <c r="A2477" s="12">
        <f t="shared" si="120"/>
        <v>2476</v>
      </c>
      <c r="B2477" s="12"/>
      <c r="C2477" s="20"/>
      <c r="D2477" s="18"/>
      <c r="H2477" s="12" t="str">
        <f t="shared" si="121"/>
        <v>0 г. 0 мес. 0 дн.</v>
      </c>
      <c r="V2477" s="12" t="str">
        <f t="shared" si="122"/>
        <v>0 г. 0 мес. 0 дн.</v>
      </c>
      <c r="W2477" s="22"/>
      <c r="X2477" s="72"/>
    </row>
    <row r="2478" spans="1:24" ht="35.1" customHeight="1" x14ac:dyDescent="0.25">
      <c r="A2478" s="12">
        <f t="shared" si="120"/>
        <v>2477</v>
      </c>
      <c r="B2478" s="12"/>
      <c r="C2478" s="20"/>
      <c r="D2478" s="18"/>
      <c r="H2478" s="12" t="str">
        <f t="shared" si="121"/>
        <v>0 г. 0 мес. 0 дн.</v>
      </c>
      <c r="V2478" s="12" t="str">
        <f t="shared" si="122"/>
        <v>0 г. 0 мес. 0 дн.</v>
      </c>
      <c r="W2478" s="22"/>
      <c r="X2478" s="72"/>
    </row>
    <row r="2479" spans="1:24" ht="35.1" customHeight="1" x14ac:dyDescent="0.25">
      <c r="A2479" s="12">
        <f t="shared" si="120"/>
        <v>2478</v>
      </c>
      <c r="B2479" s="12"/>
      <c r="C2479" s="20"/>
      <c r="D2479" s="18"/>
      <c r="H2479" s="12" t="str">
        <f t="shared" si="121"/>
        <v>0 г. 0 мес. 0 дн.</v>
      </c>
      <c r="V2479" s="12" t="str">
        <f t="shared" si="122"/>
        <v>0 г. 0 мес. 0 дн.</v>
      </c>
      <c r="W2479" s="22"/>
      <c r="X2479" s="72"/>
    </row>
    <row r="2480" spans="1:24" ht="35.1" customHeight="1" x14ac:dyDescent="0.25">
      <c r="A2480" s="12">
        <f t="shared" si="120"/>
        <v>2479</v>
      </c>
      <c r="B2480" s="12"/>
      <c r="C2480" s="20"/>
      <c r="D2480" s="18"/>
      <c r="H2480" s="12" t="str">
        <f t="shared" si="121"/>
        <v>0 г. 0 мес. 0 дн.</v>
      </c>
      <c r="V2480" s="12" t="str">
        <f t="shared" si="122"/>
        <v>0 г. 0 мес. 0 дн.</v>
      </c>
      <c r="W2480" s="22"/>
      <c r="X2480" s="72"/>
    </row>
    <row r="2481" spans="1:24" ht="35.1" customHeight="1" x14ac:dyDescent="0.25">
      <c r="A2481" s="12">
        <f t="shared" si="120"/>
        <v>2480</v>
      </c>
      <c r="B2481" s="12"/>
      <c r="C2481" s="20"/>
      <c r="D2481" s="18"/>
      <c r="H2481" s="12" t="str">
        <f t="shared" si="121"/>
        <v>0 г. 0 мес. 0 дн.</v>
      </c>
      <c r="V2481" s="12" t="str">
        <f t="shared" si="122"/>
        <v>0 г. 0 мес. 0 дн.</v>
      </c>
      <c r="W2481" s="22"/>
      <c r="X2481" s="72"/>
    </row>
    <row r="2482" spans="1:24" ht="35.1" customHeight="1" x14ac:dyDescent="0.25">
      <c r="A2482" s="12">
        <f t="shared" si="120"/>
        <v>2481</v>
      </c>
      <c r="B2482" s="12"/>
      <c r="C2482" s="20"/>
      <c r="D2482" s="18"/>
      <c r="H2482" s="12" t="str">
        <f t="shared" si="121"/>
        <v>0 г. 0 мес. 0 дн.</v>
      </c>
      <c r="V2482" s="12" t="str">
        <f t="shared" si="122"/>
        <v>0 г. 0 мес. 0 дн.</v>
      </c>
      <c r="W2482" s="22"/>
      <c r="X2482" s="72"/>
    </row>
    <row r="2483" spans="1:24" ht="35.1" customHeight="1" x14ac:dyDescent="0.25">
      <c r="A2483" s="12">
        <f t="shared" si="120"/>
        <v>2482</v>
      </c>
      <c r="B2483" s="12"/>
      <c r="C2483" s="20"/>
      <c r="D2483" s="18"/>
      <c r="H2483" s="12" t="str">
        <f t="shared" si="121"/>
        <v>0 г. 0 мес. 0 дн.</v>
      </c>
      <c r="V2483" s="12" t="str">
        <f t="shared" si="122"/>
        <v>0 г. 0 мес. 0 дн.</v>
      </c>
      <c r="W2483" s="22"/>
      <c r="X2483" s="72"/>
    </row>
    <row r="2484" spans="1:24" ht="35.1" customHeight="1" x14ac:dyDescent="0.25">
      <c r="A2484" s="12">
        <f t="shared" si="120"/>
        <v>2483</v>
      </c>
      <c r="B2484" s="12"/>
      <c r="C2484" s="20"/>
      <c r="D2484" s="18"/>
      <c r="H2484" s="12" t="str">
        <f t="shared" si="121"/>
        <v>0 г. 0 мес. 0 дн.</v>
      </c>
      <c r="V2484" s="12" t="str">
        <f t="shared" si="122"/>
        <v>0 г. 0 мес. 0 дн.</v>
      </c>
      <c r="W2484" s="22"/>
      <c r="X2484" s="72"/>
    </row>
    <row r="2485" spans="1:24" ht="35.1" customHeight="1" x14ac:dyDescent="0.25">
      <c r="A2485" s="12">
        <f t="shared" si="120"/>
        <v>2484</v>
      </c>
      <c r="B2485" s="12"/>
      <c r="C2485" s="20"/>
      <c r="D2485" s="18"/>
      <c r="H2485" s="12" t="str">
        <f t="shared" si="121"/>
        <v>0 г. 0 мес. 0 дн.</v>
      </c>
      <c r="V2485" s="12" t="str">
        <f t="shared" si="122"/>
        <v>0 г. 0 мес. 0 дн.</v>
      </c>
      <c r="W2485" s="22"/>
      <c r="X2485" s="72"/>
    </row>
    <row r="2486" spans="1:24" ht="35.1" customHeight="1" x14ac:dyDescent="0.25">
      <c r="A2486" s="12">
        <f t="shared" si="120"/>
        <v>2485</v>
      </c>
      <c r="B2486" s="12"/>
      <c r="C2486" s="20"/>
      <c r="D2486" s="18"/>
      <c r="H2486" s="12" t="str">
        <f t="shared" si="121"/>
        <v>0 г. 0 мес. 0 дн.</v>
      </c>
      <c r="V2486" s="12" t="str">
        <f t="shared" si="122"/>
        <v>0 г. 0 мес. 0 дн.</v>
      </c>
      <c r="W2486" s="22"/>
      <c r="X2486" s="72"/>
    </row>
    <row r="2487" spans="1:24" ht="35.1" customHeight="1" x14ac:dyDescent="0.25">
      <c r="A2487" s="12">
        <f t="shared" si="120"/>
        <v>2486</v>
      </c>
      <c r="B2487" s="12"/>
      <c r="C2487" s="20"/>
      <c r="D2487" s="18"/>
      <c r="H2487" s="12" t="str">
        <f t="shared" si="121"/>
        <v>0 г. 0 мес. 0 дн.</v>
      </c>
      <c r="V2487" s="12" t="str">
        <f t="shared" si="122"/>
        <v>0 г. 0 мес. 0 дн.</v>
      </c>
      <c r="W2487" s="22"/>
      <c r="X2487" s="72"/>
    </row>
    <row r="2488" spans="1:24" ht="35.1" customHeight="1" x14ac:dyDescent="0.25">
      <c r="A2488" s="12">
        <f t="shared" si="120"/>
        <v>2487</v>
      </c>
      <c r="B2488" s="12"/>
      <c r="C2488" s="20"/>
      <c r="D2488" s="18"/>
      <c r="H2488" s="12" t="str">
        <f t="shared" si="121"/>
        <v>0 г. 0 мес. 0 дн.</v>
      </c>
      <c r="V2488" s="12" t="str">
        <f t="shared" si="122"/>
        <v>0 г. 0 мес. 0 дн.</v>
      </c>
      <c r="W2488" s="22"/>
      <c r="X2488" s="72"/>
    </row>
    <row r="2489" spans="1:24" ht="35.1" customHeight="1" x14ac:dyDescent="0.25">
      <c r="A2489" s="12">
        <f t="shared" si="120"/>
        <v>2488</v>
      </c>
      <c r="B2489" s="12"/>
      <c r="C2489" s="20"/>
      <c r="D2489" s="18"/>
      <c r="H2489" s="12" t="str">
        <f t="shared" si="121"/>
        <v>0 г. 0 мес. 0 дн.</v>
      </c>
      <c r="V2489" s="12" t="str">
        <f t="shared" si="122"/>
        <v>0 г. 0 мес. 0 дн.</v>
      </c>
      <c r="W2489" s="22"/>
      <c r="X2489" s="72"/>
    </row>
    <row r="2490" spans="1:24" ht="35.1" customHeight="1" x14ac:dyDescent="0.25">
      <c r="A2490" s="12">
        <f t="shared" si="120"/>
        <v>2489</v>
      </c>
      <c r="B2490" s="12"/>
      <c r="C2490" s="20"/>
      <c r="D2490" s="18"/>
      <c r="H2490" s="12" t="str">
        <f t="shared" si="121"/>
        <v>0 г. 0 мес. 0 дн.</v>
      </c>
      <c r="V2490" s="12" t="str">
        <f t="shared" si="122"/>
        <v>0 г. 0 мес. 0 дн.</v>
      </c>
      <c r="W2490" s="22"/>
      <c r="X2490" s="72"/>
    </row>
    <row r="2491" spans="1:24" ht="35.1" customHeight="1" x14ac:dyDescent="0.25">
      <c r="A2491" s="12">
        <f t="shared" si="120"/>
        <v>2490</v>
      </c>
      <c r="B2491" s="12"/>
      <c r="C2491" s="20"/>
      <c r="D2491" s="18"/>
      <c r="H2491" s="12" t="str">
        <f t="shared" si="121"/>
        <v>0 г. 0 мес. 0 дн.</v>
      </c>
      <c r="V2491" s="12" t="str">
        <f t="shared" si="122"/>
        <v>0 г. 0 мес. 0 дн.</v>
      </c>
      <c r="W2491" s="22"/>
      <c r="X2491" s="72"/>
    </row>
    <row r="2492" spans="1:24" ht="35.1" customHeight="1" x14ac:dyDescent="0.25">
      <c r="A2492" s="12">
        <f t="shared" si="120"/>
        <v>2491</v>
      </c>
      <c r="B2492" s="12"/>
      <c r="C2492" s="20"/>
      <c r="D2492" s="18"/>
      <c r="H2492" s="12" t="str">
        <f t="shared" si="121"/>
        <v>0 г. 0 мес. 0 дн.</v>
      </c>
      <c r="V2492" s="12" t="str">
        <f t="shared" si="122"/>
        <v>0 г. 0 мес. 0 дн.</v>
      </c>
      <c r="W2492" s="22"/>
      <c r="X2492" s="72"/>
    </row>
    <row r="2493" spans="1:24" ht="35.1" customHeight="1" x14ac:dyDescent="0.25">
      <c r="A2493" s="12">
        <f t="shared" si="120"/>
        <v>2492</v>
      </c>
      <c r="B2493" s="12"/>
      <c r="C2493" s="20"/>
      <c r="D2493" s="18"/>
      <c r="H2493" s="12" t="str">
        <f t="shared" si="121"/>
        <v>0 г. 0 мес. 0 дн.</v>
      </c>
      <c r="V2493" s="12" t="str">
        <f t="shared" si="122"/>
        <v>0 г. 0 мес. 0 дн.</v>
      </c>
      <c r="W2493" s="22"/>
      <c r="X2493" s="72"/>
    </row>
    <row r="2494" spans="1:24" ht="35.1" customHeight="1" x14ac:dyDescent="0.25">
      <c r="A2494" s="12">
        <f t="shared" si="120"/>
        <v>2493</v>
      </c>
      <c r="B2494" s="12"/>
      <c r="C2494" s="20"/>
      <c r="D2494" s="18"/>
      <c r="H2494" s="12" t="str">
        <f t="shared" si="121"/>
        <v>0 г. 0 мес. 0 дн.</v>
      </c>
      <c r="V2494" s="12" t="str">
        <f t="shared" si="122"/>
        <v>0 г. 0 мес. 0 дн.</v>
      </c>
      <c r="W2494" s="22"/>
      <c r="X2494" s="72"/>
    </row>
    <row r="2495" spans="1:24" ht="35.1" customHeight="1" x14ac:dyDescent="0.25">
      <c r="A2495" s="12">
        <f t="shared" si="120"/>
        <v>2494</v>
      </c>
      <c r="B2495" s="12"/>
      <c r="C2495" s="20"/>
      <c r="D2495" s="18"/>
      <c r="H2495" s="12" t="str">
        <f t="shared" si="121"/>
        <v>0 г. 0 мес. 0 дн.</v>
      </c>
      <c r="V2495" s="12" t="str">
        <f t="shared" si="122"/>
        <v>0 г. 0 мес. 0 дн.</v>
      </c>
      <c r="W2495" s="22"/>
      <c r="X2495" s="72"/>
    </row>
    <row r="2496" spans="1:24" ht="35.1" customHeight="1" x14ac:dyDescent="0.25">
      <c r="A2496" s="12">
        <f t="shared" si="120"/>
        <v>2495</v>
      </c>
      <c r="B2496" s="12"/>
      <c r="C2496" s="20"/>
      <c r="D2496" s="18"/>
      <c r="H2496" s="12" t="str">
        <f t="shared" si="121"/>
        <v>0 г. 0 мес. 0 дн.</v>
      </c>
      <c r="V2496" s="12" t="str">
        <f t="shared" si="122"/>
        <v>0 г. 0 мес. 0 дн.</v>
      </c>
      <c r="W2496" s="22"/>
      <c r="X2496" s="72"/>
    </row>
    <row r="2497" spans="1:24" ht="35.1" customHeight="1" x14ac:dyDescent="0.25">
      <c r="A2497" s="12">
        <f t="shared" ref="A2497:A2510" si="123">ROW(A2496)</f>
        <v>2496</v>
      </c>
      <c r="B2497" s="12"/>
      <c r="C2497" s="20"/>
      <c r="D2497" s="18"/>
      <c r="H2497" s="12" t="str">
        <f t="shared" si="121"/>
        <v>0 г. 0 мес. 0 дн.</v>
      </c>
      <c r="V2497" s="12" t="str">
        <f t="shared" si="122"/>
        <v>0 г. 0 мес. 0 дн.</v>
      </c>
      <c r="W2497" s="22"/>
      <c r="X2497" s="72"/>
    </row>
    <row r="2498" spans="1:24" ht="35.1" customHeight="1" x14ac:dyDescent="0.25">
      <c r="A2498" s="12">
        <f t="shared" si="123"/>
        <v>2497</v>
      </c>
      <c r="B2498" s="12"/>
      <c r="C2498" s="20"/>
      <c r="D2498" s="18"/>
      <c r="H2498" s="12" t="str">
        <f t="shared" si="121"/>
        <v>0 г. 0 мес. 0 дн.</v>
      </c>
      <c r="V2498" s="12" t="str">
        <f t="shared" si="122"/>
        <v>0 г. 0 мес. 0 дн.</v>
      </c>
      <c r="W2498" s="22"/>
      <c r="X2498" s="72"/>
    </row>
    <row r="2499" spans="1:24" ht="35.1" customHeight="1" x14ac:dyDescent="0.25">
      <c r="A2499" s="12">
        <f t="shared" si="123"/>
        <v>2498</v>
      </c>
      <c r="B2499" s="12"/>
      <c r="C2499" s="20"/>
      <c r="D2499" s="18"/>
      <c r="H2499" s="12" t="str">
        <f t="shared" si="121"/>
        <v>0 г. 0 мес. 0 дн.</v>
      </c>
      <c r="V2499" s="12" t="str">
        <f t="shared" si="122"/>
        <v>0 г. 0 мес. 0 дн.</v>
      </c>
      <c r="W2499" s="22"/>
      <c r="X2499" s="72"/>
    </row>
    <row r="2500" spans="1:24" ht="35.1" customHeight="1" x14ac:dyDescent="0.25">
      <c r="A2500" s="12">
        <f t="shared" si="123"/>
        <v>2499</v>
      </c>
      <c r="B2500" s="12"/>
      <c r="C2500" s="20"/>
      <c r="D2500" s="18"/>
      <c r="H2500" s="12" t="str">
        <f t="shared" si="121"/>
        <v>0 г. 0 мес. 0 дн.</v>
      </c>
      <c r="V2500" s="12" t="str">
        <f t="shared" si="122"/>
        <v>0 г. 0 мес. 0 дн.</v>
      </c>
      <c r="W2500" s="22"/>
      <c r="X2500" s="72"/>
    </row>
    <row r="2501" spans="1:24" ht="35.1" customHeight="1" x14ac:dyDescent="0.25">
      <c r="A2501" s="12">
        <f t="shared" si="123"/>
        <v>2500</v>
      </c>
      <c r="B2501" s="12"/>
      <c r="C2501" s="20"/>
      <c r="D2501" s="18"/>
      <c r="H2501" s="12" t="str">
        <f t="shared" si="121"/>
        <v>0 г. 0 мес. 0 дн.</v>
      </c>
      <c r="V2501" s="12" t="str">
        <f t="shared" si="122"/>
        <v>0 г. 0 мес. 0 дн.</v>
      </c>
      <c r="W2501" s="22"/>
      <c r="X2501" s="72"/>
    </row>
    <row r="2502" spans="1:24" ht="35.1" customHeight="1" x14ac:dyDescent="0.25">
      <c r="A2502" s="12">
        <f t="shared" si="123"/>
        <v>2501</v>
      </c>
      <c r="B2502" s="12"/>
      <c r="C2502" s="20"/>
      <c r="D2502" s="18"/>
      <c r="H2502" s="12" t="str">
        <f t="shared" ref="H2502:H2510" si="124">DATEDIF(G2502,D2502,"y") &amp; " г. " &amp; DATEDIF(G2502,D2502,"ym") &amp; " мес. " &amp; DATEDIF(G2502,D2502,"md") &amp; " дн."</f>
        <v>0 г. 0 мес. 0 дн.</v>
      </c>
      <c r="V2502" s="12" t="str">
        <f t="shared" si="122"/>
        <v>0 г. 0 мес. 0 дн.</v>
      </c>
      <c r="W2502" s="22"/>
      <c r="X2502" s="72"/>
    </row>
    <row r="2503" spans="1:24" ht="35.1" customHeight="1" x14ac:dyDescent="0.25">
      <c r="A2503" s="12">
        <f t="shared" si="123"/>
        <v>2502</v>
      </c>
      <c r="B2503" s="12"/>
      <c r="C2503" s="20"/>
      <c r="D2503" s="18"/>
      <c r="H2503" s="12" t="str">
        <f t="shared" si="124"/>
        <v>0 г. 0 мес. 0 дн.</v>
      </c>
      <c r="V2503" s="12" t="str">
        <f t="shared" si="122"/>
        <v>0 г. 0 мес. 0 дн.</v>
      </c>
      <c r="W2503" s="22"/>
      <c r="X2503" s="72"/>
    </row>
    <row r="2504" spans="1:24" ht="35.1" customHeight="1" x14ac:dyDescent="0.25">
      <c r="A2504" s="12">
        <f t="shared" si="123"/>
        <v>2503</v>
      </c>
      <c r="B2504" s="12"/>
      <c r="C2504" s="20"/>
      <c r="D2504" s="18"/>
      <c r="H2504" s="12" t="str">
        <f t="shared" si="124"/>
        <v>0 г. 0 мес. 0 дн.</v>
      </c>
      <c r="V2504" s="12" t="str">
        <f t="shared" si="122"/>
        <v>0 г. 0 мес. 0 дн.</v>
      </c>
      <c r="W2504" s="22"/>
      <c r="X2504" s="72"/>
    </row>
    <row r="2505" spans="1:24" ht="35.1" customHeight="1" x14ac:dyDescent="0.25">
      <c r="A2505" s="12">
        <f t="shared" si="123"/>
        <v>2504</v>
      </c>
      <c r="B2505" s="12"/>
      <c r="C2505" s="20"/>
      <c r="D2505" s="18"/>
      <c r="H2505" s="12" t="str">
        <f t="shared" si="124"/>
        <v>0 г. 0 мес. 0 дн.</v>
      </c>
      <c r="V2505" s="12" t="str">
        <f t="shared" si="122"/>
        <v>0 г. 0 мес. 0 дн.</v>
      </c>
      <c r="W2505" s="22"/>
      <c r="X2505" s="72"/>
    </row>
    <row r="2506" spans="1:24" ht="35.1" customHeight="1" x14ac:dyDescent="0.25">
      <c r="A2506" s="12">
        <f t="shared" si="123"/>
        <v>2505</v>
      </c>
      <c r="B2506" s="12"/>
      <c r="C2506" s="20"/>
      <c r="D2506" s="18"/>
      <c r="H2506" s="12" t="str">
        <f t="shared" si="124"/>
        <v>0 г. 0 мес. 0 дн.</v>
      </c>
      <c r="V2506" s="12" t="str">
        <f t="shared" si="122"/>
        <v>0 г. 0 мес. 0 дн.</v>
      </c>
      <c r="W2506" s="22"/>
      <c r="X2506" s="72"/>
    </row>
    <row r="2507" spans="1:24" ht="35.1" customHeight="1" x14ac:dyDescent="0.25">
      <c r="A2507" s="12">
        <f t="shared" si="123"/>
        <v>2506</v>
      </c>
      <c r="B2507" s="12"/>
      <c r="C2507" s="20"/>
      <c r="D2507" s="18"/>
      <c r="H2507" s="12" t="str">
        <f t="shared" si="124"/>
        <v>0 г. 0 мес. 0 дн.</v>
      </c>
      <c r="V2507" s="12" t="str">
        <f t="shared" si="122"/>
        <v>0 г. 0 мес. 0 дн.</v>
      </c>
      <c r="W2507" s="22"/>
      <c r="X2507" s="72"/>
    </row>
    <row r="2508" spans="1:24" ht="35.1" customHeight="1" x14ac:dyDescent="0.25">
      <c r="A2508" s="12">
        <f t="shared" si="123"/>
        <v>2507</v>
      </c>
      <c r="B2508" s="12"/>
      <c r="C2508" s="20"/>
      <c r="D2508" s="18"/>
      <c r="H2508" s="12" t="str">
        <f t="shared" si="124"/>
        <v>0 г. 0 мес. 0 дн.</v>
      </c>
      <c r="V2508" s="12" t="str">
        <f t="shared" si="122"/>
        <v>0 г. 0 мес. 0 дн.</v>
      </c>
      <c r="W2508" s="22"/>
      <c r="X2508" s="72"/>
    </row>
    <row r="2509" spans="1:24" ht="35.1" customHeight="1" x14ac:dyDescent="0.25">
      <c r="A2509" s="12">
        <f t="shared" si="123"/>
        <v>2508</v>
      </c>
      <c r="B2509" s="12"/>
      <c r="C2509" s="20"/>
      <c r="D2509" s="18"/>
      <c r="H2509" s="12" t="str">
        <f t="shared" si="124"/>
        <v>0 г. 0 мес. 0 дн.</v>
      </c>
      <c r="V2509" s="12" t="str">
        <f t="shared" si="122"/>
        <v>0 г. 0 мес. 0 дн.</v>
      </c>
      <c r="W2509" s="22"/>
      <c r="X2509" s="72"/>
    </row>
    <row r="2510" spans="1:24" ht="35.1" customHeight="1" x14ac:dyDescent="0.25">
      <c r="A2510" s="12">
        <f t="shared" si="123"/>
        <v>2509</v>
      </c>
      <c r="B2510" s="12"/>
      <c r="C2510" s="20"/>
      <c r="D2510" s="18"/>
      <c r="H2510" s="12" t="str">
        <f t="shared" si="124"/>
        <v>0 г. 0 мес. 0 дн.</v>
      </c>
      <c r="V2510" s="12" t="str">
        <f t="shared" si="122"/>
        <v>0 г. 0 мес. 0 дн.</v>
      </c>
      <c r="W2510" s="22"/>
      <c r="X2510" s="72"/>
    </row>
    <row r="2511" spans="1:24" ht="35.1" customHeight="1" x14ac:dyDescent="0.25">
      <c r="A2511" s="68">
        <v>2510</v>
      </c>
      <c r="B2511" s="69"/>
      <c r="C2511" s="70"/>
      <c r="D2511" s="71"/>
      <c r="E2511" s="72"/>
      <c r="F2511" s="72"/>
      <c r="G2511" s="72"/>
      <c r="H2511" s="68" t="str">
        <f>DATEDIF(G2511,D2511,"y") &amp; " г. " &amp; DATEDIF(G2511,D2511,"ym") &amp; " мес. " &amp; DATEDIF(G2511,D2511,"md") &amp; " дн."</f>
        <v>0 г. 0 мес. 0 дн.</v>
      </c>
      <c r="I2511" s="68"/>
      <c r="J2511" s="72"/>
      <c r="K2511" s="72"/>
      <c r="L2511" s="72"/>
      <c r="M2511" s="72"/>
      <c r="N2511" s="68"/>
      <c r="O2511" s="72"/>
      <c r="P2511" s="72"/>
      <c r="Q2511" s="72"/>
      <c r="R2511" s="72"/>
      <c r="S2511" s="72"/>
      <c r="T2511" s="72"/>
      <c r="U2511" s="72"/>
      <c r="V2511" s="12" t="str">
        <f t="shared" si="122"/>
        <v>0 г. 0 мес. 0 дн.</v>
      </c>
      <c r="W2511" s="73"/>
      <c r="X2511" s="72"/>
    </row>
  </sheetData>
  <scenarios current="1" show="0">
    <scenario name="I2=Повторное поступление;Другие отделения;Операционная" locked="1" count="1" user="Автор" comment="Автор: Автор , 28.12.2022">
      <inputCells r="J2" val=""/>
    </scenario>
    <scenario name="$I$2=Повторное поступление;Другие отделения;Операционная" locked="1" count="1" user="Автор" comment="Автор: Автор , 28.12.2022">
      <inputCells r="J2" val=""/>
    </scenario>
  </scenarios>
  <dataConsolidate/>
  <dataValidations xWindow="268" yWindow="558" count="26">
    <dataValidation type="list" allowBlank="1" showInputMessage="1" showErrorMessage="1" prompt="Выбрать из списка" sqref="C1 B2511:B1048576" xr:uid="{00000000-0002-0000-0000-000000000000}">
      <formula1>Отделения</formula1>
    </dataValidation>
    <dataValidation type="list" allowBlank="1" showInputMessage="1" showErrorMessage="1" prompt="Выбрать из списка при поступлении из профильного отделения (список &quot;Канал поступления&quot;)" sqref="H2511:H1048576 J1" xr:uid="{00000000-0002-0000-0000-000001000000}">
      <formula1>Отделения</formula1>
    </dataValidation>
    <dataValidation allowBlank="1" showInputMessage="1" showErrorMessage="1" prompt="Номер истории болезни" sqref="F209 B1 A2511:A1048576" xr:uid="{00000000-0002-0000-0000-000002000000}"/>
    <dataValidation allowBlank="1" showInputMessage="1" showErrorMessage="1" prompt="Указать дату перевода в формате дд.мм.гггг, например, 01.09.2018" sqref="T1 R2511:R1048576" xr:uid="{00000000-0002-0000-0000-000003000000}"/>
    <dataValidation type="list" allowBlank="1" showInputMessage="1" showErrorMessage="1" prompt="Выбрать из списка" sqref="I1 G2511:G1048576" xr:uid="{00000000-0002-0000-0000-000004000000}">
      <formula1>Канал_поступления</formula1>
    </dataValidation>
    <dataValidation allowBlank="1" showInputMessage="1" showErrorMessage="1" prompt="Дата в формате дд.мм.гггг, например, 01.01.2018" sqref="F184 D1 C2511:C1048576" xr:uid="{00000000-0002-0000-0000-000005000000}"/>
    <dataValidation allowBlank="1" showInputMessage="1" showErrorMessage="1" prompt="Дата в формате дд.мм.гггг, например, 27.05.2014" sqref="G1" xr:uid="{00000000-0002-0000-0000-000006000000}"/>
    <dataValidation type="time" allowBlank="1" showInputMessage="1" showErrorMessage="1" prompt="Время в формате 24 ч. в виде чч:мм, например, 05:07" sqref="D2511:D1048576 E1" xr:uid="{00000000-0002-0000-0000-000007000000}">
      <formula1>0</formula1>
      <formula2>0.999305555555556</formula2>
    </dataValidation>
    <dataValidation allowBlank="1" showInputMessage="1" prompt="ТОЛЬКО в случае ИВЛ - продолжительность в часах, например, 142" sqref="R1 N1:P1 L2511:N1048576 P2511:P1048576" xr:uid="{00000000-0002-0000-0000-000008000000}"/>
    <dataValidation type="list" allowBlank="1" showInputMessage="1" showErrorMessage="1" prompt="Выбрать маршрут пациента из списка" sqref="S1 Q2511:Q1048576" xr:uid="{00000000-0002-0000-0000-000009000000}">
      <formula1>Куда_переведён</formula1>
    </dataValidation>
    <dataValidation type="list" allowBlank="1" showInputMessage="1" showErrorMessage="1" prompt="Выбрать категорию ОСНОВНОГО диагноза _x000a_из списка" sqref="K2511:K1048576 M1" xr:uid="{00000000-0002-0000-0000-00000A000000}">
      <formula1>Категории_диагнозов</formula1>
    </dataValidation>
    <dataValidation allowBlank="1" showInputMessage="1" showErrorMessage="1" prompt="Номер по порядку" sqref="A1" xr:uid="{00000000-0002-0000-0000-00000B000000}"/>
    <dataValidation type="list" allowBlank="1" showInputMessage="1" showErrorMessage="1" error="Выберите из списка" prompt="Выберите из списка" sqref="J13 J32:J37 S237:S238 S233:S235 S219 S259:S261 S391:S392 S360:S361 J138 S112 S265 S358 C2:C492 C494:C2510" xr:uid="{00000000-0002-0000-0000-00000C000000}">
      <formula1>Отделения</formula1>
    </dataValidation>
    <dataValidation type="decimal" allowBlank="1" showInputMessage="1" showErrorMessage="1" error="Введите длительность ИВЛ в пересчёте на часы" prompt="ТОЛЬКО в случае ИВЛ - продолжительность в часах, например, 142" sqref="N2:N19 N21:N2510" xr:uid="{00000000-0002-0000-0000-00000D000000}">
      <formula1>0.1</formula1>
      <formula2>10000</formula2>
    </dataValidation>
    <dataValidation type="time" allowBlank="1" showInputMessage="1" showErrorMessage="1" error="Время перевода в формате чч:мм, например, 12:15." prompt="Время перевода в формате чч:мм, например, 12:15." sqref="U2:U2511" xr:uid="{00000000-0002-0000-0000-00000F000000}">
      <formula1>0</formula1>
      <formula2>0.999988425925926</formula2>
    </dataValidation>
    <dataValidation type="whole" allowBlank="1" showInputMessage="1" showErrorMessage="1" error="Введите целое число - номер истории болезни. Max 5000" prompt="Номер истории болезни" sqref="B2:B296 B300:B492 B494:B2510" xr:uid="{00000000-0002-0000-0000-000010000000}">
      <formula1>1</formula1>
      <formula2>5000</formula2>
    </dataValidation>
    <dataValidation type="list" allowBlank="1" showInputMessage="1" showErrorMessage="1" error="Выберите из списка." prompt="Маршрут пациента - выберите из списка" sqref="S220:S232 S362:S390 S236 S239:S258 S2:S111 S113:S218 S262:S264 S266:S357 S359 S393:S2510" xr:uid="{00000000-0002-0000-0000-000011000000}">
      <formula1>Куда_переведён</formula1>
    </dataValidation>
    <dataValidation type="list" allowBlank="1" showInputMessage="1" showErrorMessage="1" error="ТОЛЬКО при поступлении из отделения - выберите из списка" prompt="ТОЛЬКО при поступлении из отделения - выберите из списка." sqref="J2:J12 J14:J31 J38:J137 J139:J248 J250:J2510" xr:uid="{00000000-0002-0000-0000-000012000000}">
      <formula1>INDIRECT($I2)</formula1>
    </dataValidation>
    <dataValidation allowBlank="1" showInputMessage="1" showErrorMessage="1" prompt="Возраст на момент поступления" sqref="F2511:F1048576 H1:H2510" xr:uid="{00000000-0002-0000-0000-000013000000}"/>
    <dataValidation type="date" allowBlank="1" showInputMessage="1" showErrorMessage="1" error="Дата в формате дд.мм.гггг, например, 01.01.2023. Год только 2023й." prompt="Дата в формате дд.мм.гггг, например, 01.01.2023" sqref="T45:T46 T66 T90 D2:D178 G336 T265 T437 D181:D492 D494:D2510" xr:uid="{00000000-0002-0000-0000-000014000000}">
      <formula1>44896</formula1>
      <formula2>45657</formula2>
    </dataValidation>
    <dataValidation type="date" allowBlank="1" showInputMessage="1" showErrorMessage="1" sqref="T2:T44 T47:T65 T67:T89 D179:D180 T91:T264 T266:T357 T363:T436 T438:T2510" xr:uid="{00000000-0002-0000-0000-000015000000}">
      <formula1>45292</formula1>
      <formula2>46022</formula2>
    </dataValidation>
    <dataValidation type="date" allowBlank="1" showInputMessage="1" showErrorMessage="1" error="Дата в формате дд.мм.гггг., например, 12.04.2015" prompt="Дата в формате дд.мм.гггг., например, 12.04.2015" sqref="G2:G335 T358:T362 G337:G2510" xr:uid="{00000000-0002-0000-0000-000017000000}">
      <formula1>36526</formula1>
      <formula2>73415</formula2>
    </dataValidation>
    <dataValidation type="whole" allowBlank="1" showInputMessage="1" showErrorMessage="1" error="Введите целое число. Max 5000." prompt="Номер по порядку" sqref="A2:A2510" xr:uid="{00000000-0002-0000-0000-000018000000}">
      <formula1>1</formula1>
      <formula2>5000</formula2>
    </dataValidation>
    <dataValidation type="list" allowBlank="1" showInputMessage="1" showErrorMessage="1" error="Выбрать из списка" prompt="Выбрать из списка" sqref="J249 I2:I2511" xr:uid="{00000000-0002-0000-0000-000019000000}">
      <formula1>Канал_поступления</formula1>
    </dataValidation>
    <dataValidation type="list" allowBlank="1" showInputMessage="1" showErrorMessage="1" error="Выбрать из списка" prompt="Выбрать категорию ОСНОВНОГО диагноза _x000a_из списка" sqref="M2:M2510" xr:uid="{00000000-0002-0000-0000-00001A000000}">
      <formula1>Категории_диагнозов</formula1>
    </dataValidation>
    <dataValidation type="time" allowBlank="1" showInputMessage="1" showErrorMessage="1" error="Время в формате 24 ч. в виде чч:мм, например, 05:07" prompt="Время в формате 24 ч. в виде чч:мм, например, 05:07" sqref="E2:E2511" xr:uid="{00000000-0002-0000-0000-000016000000}">
      <formula1>0</formula1>
      <formula2>0.999988425925926</formula2>
    </dataValidation>
  </dataValidations>
  <pageMargins left="0.25" right="0.25" top="0.75" bottom="0.75" header="0.3" footer="0.3"/>
  <pageSetup paperSize="9" orientation="landscape" verticalDpi="0" r:id="rId1"/>
  <ignoredErrors>
    <ignoredError sqref="G14558:G1048576 K14558:K1048576 H2511:H1048576 Q14558:Q1048576 C1 I1:J1 M1 Q1 S1 E1" listDataValidation="1"/>
    <ignoredError sqref="A320 H457 H493:H494" calculatedColumn="1"/>
    <ignoredError sqref="V381 V372" evalError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268" yWindow="558" count="5">
        <x14:dataValidation type="list" allowBlank="1" showInputMessage="1" showErrorMessage="1" error="Выберите из списка." prompt="При наличии трансфузий - выберите из списка." xr:uid="{00000000-0002-0000-0000-00001B000000}">
          <x14:formula1>
            <xm:f>Лист2!$Q$2:$Q$8</xm:f>
          </x14:formula1>
          <xm:sqref>O2511:O1048576 Q432:Q2510 Q1:Q405 Q408:Q430</xm:sqref>
        </x14:dataValidation>
        <x14:dataValidation type="list" allowBlank="1" showInputMessage="1" showErrorMessage="1" error="Выберите из списка" prompt="Выберите из списка" xr:uid="{00000000-0002-0000-0000-00001C000000}">
          <x14:formula1>
            <xm:f>Лист2!$M$2:$M$8</xm:f>
          </x14:formula1>
          <xm:sqref>O2:O2510</xm:sqref>
        </x14:dataValidation>
        <x14:dataValidation type="list" allowBlank="1" showInputMessage="1" showErrorMessage="1" error="Выберите из списка." prompt="При наличии - выберите из списка." xr:uid="{00000000-0002-0000-0000-00001D000000}">
          <x14:formula1>
            <xm:f>Лист2!$O$2:$O$4</xm:f>
          </x14:formula1>
          <xm:sqref>P2:P405 P408:P2510</xm:sqref>
        </x14:dataValidation>
        <x14:dataValidation type="list" allowBlank="1" showInputMessage="1" showErrorMessage="1" error="Выберите из списка." prompt="При наличии - выберите из списка" xr:uid="{00000000-0002-0000-0000-00001E000000}">
          <x14:formula1>
            <xm:f>Лист2!$S$2:$S$9</xm:f>
          </x14:formula1>
          <xm:sqref>R2:R405 R408:R2510</xm:sqref>
        </x14:dataValidation>
        <x14:dataValidation type="list" allowBlank="1" showInputMessage="1" showErrorMessage="1" error="Выбрать из списка" prompt="Укажите при наличии особенности - выбрать из списка" xr:uid="{00000000-0002-0000-0000-00001F000000}">
          <x14:formula1>
            <xm:f>Лист2!$AD$2:$AD$7</xm:f>
          </x14:formula1>
          <xm:sqref>W2:W2511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14"/>
  <sheetViews>
    <sheetView topLeftCell="F4" workbookViewId="0">
      <selection activeCell="S9" sqref="S9"/>
    </sheetView>
  </sheetViews>
  <sheetFormatPr defaultColWidth="9.140625" defaultRowHeight="24.95" customHeight="1" x14ac:dyDescent="0.25"/>
  <cols>
    <col min="1" max="1" width="14.7109375" style="1" customWidth="1"/>
    <col min="2" max="2" width="9.140625" style="1"/>
    <col min="3" max="3" width="9.42578125" style="1" customWidth="1"/>
    <col min="4" max="4" width="9.7109375" style="1" customWidth="1"/>
    <col min="5" max="5" width="18.85546875" style="1" customWidth="1"/>
    <col min="6" max="6" width="9.7109375" style="1" customWidth="1"/>
    <col min="7" max="7" width="15.85546875" style="1" customWidth="1"/>
    <col min="8" max="8" width="9.7109375" style="1" customWidth="1"/>
    <col min="9" max="9" width="21.28515625" style="1" customWidth="1"/>
    <col min="10" max="10" width="9.7109375" style="1" customWidth="1"/>
    <col min="11" max="11" width="15.5703125" style="1" customWidth="1"/>
    <col min="12" max="14" width="9.7109375" style="1" customWidth="1"/>
    <col min="15" max="21" width="9.140625" style="1"/>
    <col min="22" max="22" width="18.5703125" style="1" customWidth="1"/>
    <col min="23" max="23" width="15.140625" style="1" customWidth="1"/>
    <col min="24" max="25" width="9.140625" style="1"/>
    <col min="26" max="26" width="11.7109375" style="1" customWidth="1"/>
    <col min="27" max="29" width="9.140625" style="1"/>
    <col min="30" max="30" width="13.85546875" style="1" customWidth="1"/>
    <col min="31" max="16384" width="9.140625" style="1"/>
  </cols>
  <sheetData>
    <row r="1" spans="1:30" ht="24.95" customHeight="1" x14ac:dyDescent="0.25">
      <c r="A1" s="1" t="s">
        <v>11</v>
      </c>
      <c r="B1" s="1" t="s">
        <v>14</v>
      </c>
      <c r="C1" s="1" t="s">
        <v>5</v>
      </c>
      <c r="D1" s="1" t="s">
        <v>61</v>
      </c>
      <c r="E1" s="1" t="s">
        <v>6</v>
      </c>
      <c r="F1" s="1" t="s">
        <v>62</v>
      </c>
      <c r="G1" s="1" t="s">
        <v>8</v>
      </c>
      <c r="H1" s="1" t="s">
        <v>63</v>
      </c>
      <c r="I1" s="1" t="s">
        <v>32</v>
      </c>
      <c r="J1" s="1" t="s">
        <v>64</v>
      </c>
      <c r="K1" s="1" t="s">
        <v>33</v>
      </c>
      <c r="L1" s="1" t="s">
        <v>65</v>
      </c>
      <c r="M1" s="1" t="s">
        <v>81</v>
      </c>
      <c r="N1" s="1" t="s">
        <v>89</v>
      </c>
      <c r="O1" s="1" t="s">
        <v>97</v>
      </c>
      <c r="P1" s="1" t="s">
        <v>85</v>
      </c>
      <c r="Q1" s="1" t="s">
        <v>83</v>
      </c>
      <c r="R1" s="1" t="s">
        <v>98</v>
      </c>
      <c r="S1" s="1" t="s">
        <v>84</v>
      </c>
      <c r="T1" s="1" t="s">
        <v>99</v>
      </c>
      <c r="U1" s="1" t="s">
        <v>131</v>
      </c>
      <c r="V1" s="1" t="s">
        <v>70</v>
      </c>
      <c r="W1" s="1" t="s">
        <v>71</v>
      </c>
    </row>
    <row r="2" spans="1:30" ht="24.95" customHeight="1" x14ac:dyDescent="0.25">
      <c r="A2" s="1" t="s">
        <v>12</v>
      </c>
      <c r="B2" s="1">
        <f>COUNTIF(V:V, "&gt;=0")-COUNTIF(V:V, "&gt;=1")-COUNTIF(Лист1!R:R, "=0")</f>
        <v>2037</v>
      </c>
      <c r="C2" s="1" t="s">
        <v>16</v>
      </c>
      <c r="D2" s="1">
        <f>COUNTIF(W:W,"&gt;=0")-COUNTIF(W:W, "&gt;=7")-COUNTIF(Лист1!R:R, "=0")</f>
        <v>1992</v>
      </c>
      <c r="E2" s="1" t="s">
        <v>118</v>
      </c>
      <c r="F2" s="1">
        <f>COUNTIF(Лист1!I:I, "Доставлен_СМП")</f>
        <v>285</v>
      </c>
      <c r="G2" s="1" t="s">
        <v>80</v>
      </c>
      <c r="H2" s="1">
        <f>COUNTIF(Лист1!S:S, "Пед. паллиатив")</f>
        <v>27</v>
      </c>
      <c r="I2" s="1" t="s">
        <v>16</v>
      </c>
      <c r="J2" s="1">
        <f>COUNTIFS(W2:W2500,"&lt;7",Лист1!N2:N2500,"&gt;0")</f>
        <v>1</v>
      </c>
      <c r="K2" s="1" t="s">
        <v>12</v>
      </c>
      <c r="L2" s="1">
        <f>COUNTIFS(Лист1!N2:N2510,"&lt;24")-COUNTIFS(Лист1!N2:N2510,"=0")</f>
        <v>5</v>
      </c>
      <c r="M2" s="1" t="s">
        <v>88</v>
      </c>
      <c r="N2" s="1">
        <f>COUNTIF(Лист1!O:O,"=Без доступа")</f>
        <v>5</v>
      </c>
      <c r="O2" s="1" t="s">
        <v>94</v>
      </c>
      <c r="P2" s="1">
        <f>COUNTIF(Лист1!P:P,"=Эпидур. анест.")</f>
        <v>45</v>
      </c>
      <c r="Q2" s="1" t="s">
        <v>100</v>
      </c>
      <c r="R2" s="1">
        <f>COUNTIF(Лист1!Q:Q,"СЗП+/-крио")</f>
        <v>16</v>
      </c>
      <c r="S2" s="1" t="s">
        <v>103</v>
      </c>
      <c r="T2" s="1">
        <f>COUNTIF(Лист1!R:R,"CVVHDF")</f>
        <v>2</v>
      </c>
      <c r="U2" s="1" t="s">
        <v>132</v>
      </c>
      <c r="V2" s="2">
        <f>Таблица1[[#This Row],[Дата перевода]]-Таблица1[[#This Row],[Дата поступления]]</f>
        <v>29</v>
      </c>
      <c r="W2" s="2">
        <f>Таблица1[[#This Row],[Дата поступления]]-Таблица1[[#This Row],[Дата рождения]]</f>
        <v>268</v>
      </c>
      <c r="Y2" s="3"/>
      <c r="Z2" s="1" t="s">
        <v>88</v>
      </c>
      <c r="AA2" s="1" t="s">
        <v>94</v>
      </c>
      <c r="AB2" s="1" t="s">
        <v>100</v>
      </c>
      <c r="AC2" s="1" t="s">
        <v>103</v>
      </c>
      <c r="AD2" s="1" t="s">
        <v>132</v>
      </c>
    </row>
    <row r="3" spans="1:30" ht="24.95" customHeight="1" x14ac:dyDescent="0.25">
      <c r="A3" s="1" t="s">
        <v>36</v>
      </c>
      <c r="B3" s="1">
        <f>COUNTIF(V:V, "&gt;=1")-COUNTIF(V:V, "&gt;=3")</f>
        <v>306</v>
      </c>
      <c r="C3" s="1" t="s">
        <v>17</v>
      </c>
      <c r="D3" s="1">
        <f>COUNTIF(W:W,"&gt;=7")-COUNTIF(W:W, "&gt;=29")</f>
        <v>8</v>
      </c>
      <c r="E3" s="1" t="s">
        <v>119</v>
      </c>
      <c r="F3" s="1">
        <f>COUNTIF(Лист1!I:I, "Из_операционной")</f>
        <v>86</v>
      </c>
      <c r="G3" s="1" t="s">
        <v>77</v>
      </c>
      <c r="H3" s="1">
        <f>COUNTIF(Лист1!S:S, "ДХО")</f>
        <v>169</v>
      </c>
      <c r="I3" s="1" t="s">
        <v>17</v>
      </c>
      <c r="J3" s="1">
        <f>COUNTIFS(W2:W2500,"&lt;29",Лист1!N2:N2500,"&gt;0")-COUNTIFS(W2:W2500,"&lt;7",Лист1!N2:N2500,"&gt;0")</f>
        <v>0</v>
      </c>
      <c r="K3" s="1" t="s">
        <v>36</v>
      </c>
      <c r="L3" s="1">
        <f>COUNTIFS(Лист1!N2:N2510,"&lt;96")-COUNTIFS(Лист1!N2:N2510,"&lt;24")</f>
        <v>13</v>
      </c>
      <c r="M3" s="1" t="s">
        <v>87</v>
      </c>
      <c r="N3" s="1">
        <f>COUNTIF(Лист1!O:O,"=Периф. вен. кат.")</f>
        <v>414</v>
      </c>
      <c r="O3" s="1" t="s">
        <v>95</v>
      </c>
      <c r="P3" s="1">
        <f>COUNTIF(Лист1!P:P,"=СМА")</f>
        <v>0</v>
      </c>
      <c r="Q3" s="1" t="s">
        <v>101</v>
      </c>
      <c r="R3" s="1">
        <f>COUNTIF(Лист1!Q:Q,"Эр. масса")</f>
        <v>15</v>
      </c>
      <c r="S3" s="1" t="s">
        <v>104</v>
      </c>
      <c r="T3" s="1">
        <f>COUNTIF(Лист1!R:R,"MPS")</f>
        <v>0</v>
      </c>
      <c r="U3" s="11">
        <f>COUNTIF(Лист1!W:W,"Интестин. зонд")+COUNTIF(Лист1!W:W,"Интестин. Зонд+датчик ВЧД")+COUNTIF(Лист1!W:W,"Интестин. Зонд+датчик ВЧД+инваз. АД")</f>
        <v>6</v>
      </c>
      <c r="V3" s="2">
        <f>Таблица1[[#This Row],[Дата перевода]]-Таблица1[[#This Row],[Дата поступления]]</f>
        <v>9</v>
      </c>
      <c r="W3" s="2">
        <f>Таблица1[[#This Row],[Дата поступления]]-Таблица1[[#This Row],[Дата рождения]]</f>
        <v>3779</v>
      </c>
      <c r="Y3" s="3"/>
      <c r="Z3" s="1" t="s">
        <v>87</v>
      </c>
      <c r="AA3" s="1" t="s">
        <v>95</v>
      </c>
      <c r="AB3" s="1" t="s">
        <v>101</v>
      </c>
      <c r="AC3" s="1" t="s">
        <v>104</v>
      </c>
      <c r="AD3" s="1" t="s">
        <v>133</v>
      </c>
    </row>
    <row r="4" spans="1:30" ht="24.95" customHeight="1" x14ac:dyDescent="0.25">
      <c r="A4" s="1" t="s">
        <v>72</v>
      </c>
      <c r="B4" s="1">
        <f>COUNTIF(V:V, "&gt;=3")-COUNTIF(V:V, "&gt;=30")</f>
        <v>160</v>
      </c>
      <c r="C4" s="1" t="s">
        <v>18</v>
      </c>
      <c r="D4" s="1">
        <f>COUNTIF(W:W,"&gt;=29")-COUNTIF(W:W, "&gt;=365")</f>
        <v>68</v>
      </c>
      <c r="E4" s="1" t="s">
        <v>120</v>
      </c>
      <c r="F4" s="1">
        <f>COUNTIF(Лист1!I:I,"Из_профильных_отделений")</f>
        <v>65</v>
      </c>
      <c r="G4" s="1" t="s">
        <v>23</v>
      </c>
      <c r="H4" s="1">
        <f>COUNTIF(Лист1!S:S, "ДОТО")</f>
        <v>63</v>
      </c>
      <c r="I4" s="1" t="s">
        <v>18</v>
      </c>
      <c r="J4" s="1">
        <f>COUNTIFS(W2:W2500,"&lt;365",Лист1!N2:N2500,"&gt;0")-COUNTIFS(W2:W2500,"&lt;29",Лист1!N2:N2500,"&gt;0")</f>
        <v>9</v>
      </c>
      <c r="K4" s="1" t="s">
        <v>35</v>
      </c>
      <c r="L4" s="1">
        <f>COUNTIFS(Лист1!N2:N2510,"&lt;168")-COUNTIFS(Лист1!N2:N2510,"&lt;96")</f>
        <v>3</v>
      </c>
      <c r="M4" s="1" t="s">
        <v>73</v>
      </c>
      <c r="N4" s="1">
        <f>COUNTIF(Лист1!O:O,"=ЦВК")</f>
        <v>94</v>
      </c>
      <c r="O4" s="1" t="s">
        <v>96</v>
      </c>
      <c r="P4" s="1">
        <f>COUNTIF(Лист1!P:P,"=Блокады сплетений")</f>
        <v>0</v>
      </c>
      <c r="Q4" s="1" t="s">
        <v>102</v>
      </c>
      <c r="R4" s="1">
        <f>COUNTIF(Лист1!Q:Q,"Тромб.")</f>
        <v>1</v>
      </c>
      <c r="S4" s="1" t="s">
        <v>105</v>
      </c>
      <c r="T4" s="1">
        <f>COUNTIF(Лист1!R:R,"PD")</f>
        <v>1</v>
      </c>
      <c r="U4" s="1" t="s">
        <v>133</v>
      </c>
      <c r="V4" s="2">
        <f>Таблица1[[#This Row],[Дата перевода]]-Таблица1[[#This Row],[Дата поступления]]</f>
        <v>0</v>
      </c>
      <c r="W4" s="2">
        <f>Таблица1[[#This Row],[Дата поступления]]-Таблица1[[#This Row],[Дата рождения]]</f>
        <v>5624</v>
      </c>
      <c r="Y4" s="7"/>
      <c r="Z4" s="1" t="s">
        <v>73</v>
      </c>
      <c r="AA4" s="1" t="s">
        <v>96</v>
      </c>
      <c r="AB4" s="1" t="s">
        <v>102</v>
      </c>
      <c r="AC4" s="1" t="s">
        <v>105</v>
      </c>
      <c r="AD4" s="1" t="s">
        <v>134</v>
      </c>
    </row>
    <row r="5" spans="1:30" ht="24.95" customHeight="1" x14ac:dyDescent="0.25">
      <c r="A5" s="1" t="s">
        <v>13</v>
      </c>
      <c r="B5" s="1">
        <f>COUNTIF(V:V, "&gt;=30")</f>
        <v>7</v>
      </c>
      <c r="C5" s="1" t="s">
        <v>19</v>
      </c>
      <c r="D5" s="1">
        <f>COUNTIF(W:W,"&gt;=365")-COUNTIF(W:W, "&gt;=1095")</f>
        <v>75</v>
      </c>
      <c r="E5" s="1" t="s">
        <v>121</v>
      </c>
      <c r="F5" s="1">
        <f>COUNTIF(Лист1!I:I,"Из_других_больниц")</f>
        <v>50</v>
      </c>
      <c r="G5" s="1" t="s">
        <v>24</v>
      </c>
      <c r="H5" s="1">
        <f>COUNTIF(Лист1!S:S, "Нефро")</f>
        <v>6</v>
      </c>
      <c r="I5" s="1" t="s">
        <v>19</v>
      </c>
      <c r="J5" s="1">
        <f>COUNTIFS(W2:W2500,"&lt;1095",Лист1!N2:N2500,"&gt;0")-COUNTIFS(W2:W2500,"&lt;365",Лист1!N2:N2500,"&gt;0")</f>
        <v>6</v>
      </c>
      <c r="K5" s="1" t="s">
        <v>37</v>
      </c>
      <c r="L5" s="1">
        <f>COUNTIFS(Лист1!N2:N2510,"&lt;480")-COUNTIFS(Лист1!N2:N2510,"&lt;168")</f>
        <v>18</v>
      </c>
      <c r="M5" s="1" t="s">
        <v>90</v>
      </c>
      <c r="N5" s="1">
        <f>COUNTIF(Лист1!O:O,"=ЦВК №2")</f>
        <v>1</v>
      </c>
      <c r="Q5" s="1" t="s">
        <v>124</v>
      </c>
      <c r="R5" s="1">
        <f>COUNTIF(Лист1!Q:Q,"СЗП+Эр")</f>
        <v>12</v>
      </c>
      <c r="S5" s="1" t="s">
        <v>107</v>
      </c>
      <c r="T5" s="1">
        <f>COUNTIF(Лист1!R:R,"Кишеч. лаваж")</f>
        <v>1</v>
      </c>
      <c r="U5" s="11">
        <f>COUNTIF(Лист1!W:W,"Датчик ВЧД")+COUNTIF(Лист1!W:W,"Интестин. Зонд+датчик ВЧД")+COUNTIF(Лист1!W:W,"Датчик ВЧД+Инваз. АД")+COUNTIF(Лист1!W:W,"Интестин. Зонд+датчик ВЧД+инваз. АД")</f>
        <v>1</v>
      </c>
      <c r="V5" s="2">
        <f>Таблица1[[#This Row],[Дата перевода]]-Таблица1[[#This Row],[Дата поступления]]</f>
        <v>0</v>
      </c>
      <c r="W5" s="2">
        <f>Таблица1[[#This Row],[Дата поступления]]-Таблица1[[#This Row],[Дата рождения]]</f>
        <v>5529</v>
      </c>
      <c r="Z5" s="1" t="s">
        <v>90</v>
      </c>
      <c r="AC5" s="1" t="s">
        <v>107</v>
      </c>
      <c r="AD5" s="1" t="s">
        <v>135</v>
      </c>
    </row>
    <row r="6" spans="1:30" ht="24.95" customHeight="1" x14ac:dyDescent="0.25">
      <c r="A6" s="1" t="s">
        <v>15</v>
      </c>
      <c r="B6" s="1">
        <f>SUM(B2:B5)</f>
        <v>2510</v>
      </c>
      <c r="C6" s="1" t="s">
        <v>20</v>
      </c>
      <c r="D6" s="1">
        <f>COUNTIF(W:W,"&gt;=1095")-COUNTIF(W:W, "&gt;=2555")</f>
        <v>64</v>
      </c>
      <c r="E6" s="1" t="s">
        <v>122</v>
      </c>
      <c r="F6" s="1">
        <f>COUNTIF(Лист1!I:I,"Из_родильных_домов")</f>
        <v>5</v>
      </c>
      <c r="G6" s="1" t="s">
        <v>25</v>
      </c>
      <c r="H6" s="1">
        <f>COUNTIF(Лист1!S:S, "ОПНН")</f>
        <v>9</v>
      </c>
      <c r="I6" s="1" t="s">
        <v>20</v>
      </c>
      <c r="J6" s="1">
        <f>COUNTIFS(W2:W2500,"&lt;2555",Лист1!N2:N2500,"&gt;0")-COUNTIFS(W2:W2500,"&lt;1095",Лист1!N2:N2500,"&gt;0")</f>
        <v>4</v>
      </c>
      <c r="K6" s="1" t="s">
        <v>38</v>
      </c>
      <c r="L6" s="1">
        <f>COUNTIFS(Лист1!N2:N2510,"&gt;480")</f>
        <v>5</v>
      </c>
      <c r="M6" s="1" t="s">
        <v>93</v>
      </c>
      <c r="N6" s="1">
        <f>COUNTIF(Лист1!O:O,"=ЦВК&gt;=3")</f>
        <v>2</v>
      </c>
      <c r="Q6" s="1" t="s">
        <v>125</v>
      </c>
      <c r="R6" s="1">
        <f>COUNTIF(Лист1!Q:Q,"СЗП+Тр")</f>
        <v>2</v>
      </c>
      <c r="S6" s="1" t="s">
        <v>108</v>
      </c>
      <c r="T6" s="1">
        <f>COUNTIF(Лист1!R:R,"CVVHDF+MPS")</f>
        <v>0</v>
      </c>
      <c r="U6" s="11" t="s">
        <v>134</v>
      </c>
      <c r="V6" s="2">
        <f>Таблица1[[#This Row],[Дата перевода]]-Таблица1[[#This Row],[Дата поступления]]</f>
        <v>4</v>
      </c>
      <c r="W6" s="2">
        <f>Таблица1[[#This Row],[Дата поступления]]-Таблица1[[#This Row],[Дата рождения]]</f>
        <v>5148</v>
      </c>
      <c r="Y6" s="7"/>
      <c r="Z6" s="1" t="s">
        <v>91</v>
      </c>
      <c r="AC6" s="1" t="s">
        <v>108</v>
      </c>
      <c r="AD6" s="1" t="s">
        <v>136</v>
      </c>
    </row>
    <row r="7" spans="1:30" ht="24.95" customHeight="1" x14ac:dyDescent="0.25">
      <c r="C7" s="1" t="s">
        <v>21</v>
      </c>
      <c r="D7" s="1">
        <f>COUNTIF(W:W,"&gt;=2555")-COUNTIF(W:W, "&gt;=5475")</f>
        <v>185</v>
      </c>
      <c r="E7" s="1" t="s">
        <v>123</v>
      </c>
      <c r="F7" s="1">
        <f>COUNTIF(Лист1!I:I,"Повторное_поступление")</f>
        <v>25</v>
      </c>
      <c r="G7" s="1" t="s">
        <v>27</v>
      </c>
      <c r="H7" s="1">
        <f>COUNTIF(Лист1!S:S, "Пульмо")</f>
        <v>29</v>
      </c>
      <c r="I7" s="1" t="s">
        <v>21</v>
      </c>
      <c r="J7" s="1">
        <f>COUNTIFS(W2:W2500,"&lt;5475",Лист1!N2:N2500,"&gt;0")-COUNTIFS(W2:W2500,"&lt;2555",Лист1!N2:N2500,"&gt;0")</f>
        <v>15</v>
      </c>
      <c r="K7" s="1" t="s">
        <v>34</v>
      </c>
      <c r="L7" s="1">
        <f>COUNTIFS(W2:W2500,"&lt;=28",Лист1!N2:N2500,"&gt;0")</f>
        <v>1</v>
      </c>
      <c r="M7" s="1" t="s">
        <v>86</v>
      </c>
      <c r="N7" s="1">
        <f>COUNTIF(Лист1!O:O,"=Гл. вен. линия")</f>
        <v>8</v>
      </c>
      <c r="Q7" s="1" t="s">
        <v>126</v>
      </c>
      <c r="R7" s="1">
        <f>COUNTIF(Лист1!Q:Q,"Эр+Тр")</f>
        <v>2</v>
      </c>
      <c r="S7" s="1" t="s">
        <v>109</v>
      </c>
      <c r="T7" s="1">
        <f>COUNTIF(Лист1!R:R,"CVVHDF+PD")</f>
        <v>0</v>
      </c>
      <c r="U7" s="11">
        <f>COUNTIF(Лист1!W:W,"Инваз. АД")+COUNTIF(Лист1!W:W,"Датчик ВЧД+Инваз. АД")+COUNTIF(Лист1!W:W,"Интестин. Зонд+датчик ВЧД+инваз. АД")</f>
        <v>1</v>
      </c>
      <c r="V7" s="2">
        <f>Таблица1[[#This Row],[Дата перевода]]-Таблица1[[#This Row],[Дата поступления]]</f>
        <v>1</v>
      </c>
      <c r="W7" s="2">
        <f>Таблица1[[#This Row],[Дата поступления]]-Таблица1[[#This Row],[Дата рождения]]</f>
        <v>3904</v>
      </c>
      <c r="Y7" s="7"/>
      <c r="Z7" s="1" t="s">
        <v>86</v>
      </c>
      <c r="AC7" s="1" t="s">
        <v>109</v>
      </c>
      <c r="AD7" s="1" t="s">
        <v>137</v>
      </c>
    </row>
    <row r="8" spans="1:30" ht="24.95" customHeight="1" x14ac:dyDescent="0.25">
      <c r="C8" s="1" t="s">
        <v>22</v>
      </c>
      <c r="D8" s="1">
        <f>COUNTIF(W:W,"&gt;=5475")-COUNTIF(W:W, "&gt;=6575")</f>
        <v>117</v>
      </c>
      <c r="E8" s="1" t="s">
        <v>75</v>
      </c>
      <c r="F8" s="1">
        <f>COUNTIF(Лист1!I:I,"Самотёком")</f>
        <v>10</v>
      </c>
      <c r="G8" s="1" t="s">
        <v>26</v>
      </c>
      <c r="H8" s="1">
        <f>COUNTIF(Лист1!S:S, "Педиатрия")</f>
        <v>119</v>
      </c>
      <c r="I8" s="1" t="s">
        <v>22</v>
      </c>
      <c r="J8" s="1">
        <f>COUNTIFS(W2:W2500,"&lt;6575",Лист1!N2:N2500,"&gt;0")-COUNTIFS(W2:W2500,"&lt;5475",Лист1!N2:N2500,"&gt;0")</f>
        <v>9</v>
      </c>
      <c r="K8" s="1" t="s">
        <v>15</v>
      </c>
      <c r="L8" s="1">
        <f>SUM(L2:L6)</f>
        <v>44</v>
      </c>
      <c r="M8" s="1" t="s">
        <v>92</v>
      </c>
      <c r="N8" s="1">
        <f>COUNTIF(Лист1!O:O,"=Диализ. катетер")</f>
        <v>2</v>
      </c>
      <c r="Q8" s="1" t="s">
        <v>127</v>
      </c>
      <c r="R8" s="1">
        <f>COUNTIF(Лист1!Q:Q,"СЗП+Эр+Тр")</f>
        <v>7</v>
      </c>
      <c r="S8" s="1" t="s">
        <v>110</v>
      </c>
      <c r="T8" s="1">
        <f>COUNTIF(Лист1!R:R,"CVVHDF+Кишеч. лаваж")</f>
        <v>0</v>
      </c>
      <c r="U8" s="11"/>
      <c r="V8" s="2">
        <f>Таблица1[[#This Row],[Дата перевода]]-Таблица1[[#This Row],[Дата поступления]]</f>
        <v>18</v>
      </c>
      <c r="W8" s="2">
        <f>Таблица1[[#This Row],[Дата поступления]]-Таблица1[[#This Row],[Дата рождения]]</f>
        <v>2108</v>
      </c>
      <c r="Y8" s="7"/>
      <c r="Z8" s="1" t="s">
        <v>92</v>
      </c>
      <c r="AC8" s="1" t="s">
        <v>110</v>
      </c>
    </row>
    <row r="9" spans="1:30" ht="24.95" customHeight="1" x14ac:dyDescent="0.25">
      <c r="C9" s="1" t="s">
        <v>15</v>
      </c>
      <c r="D9" s="1">
        <f>SUM(D2:D8)</f>
        <v>2509</v>
      </c>
      <c r="E9" s="1" t="s">
        <v>15</v>
      </c>
      <c r="F9" s="1">
        <f>SUM(F2:F8)</f>
        <v>526</v>
      </c>
      <c r="G9" s="1" t="s">
        <v>28</v>
      </c>
      <c r="H9" s="1">
        <f>COUNTIF(Лист1!S:S, "Неврология")</f>
        <v>37</v>
      </c>
      <c r="I9" s="1" t="s">
        <v>15</v>
      </c>
      <c r="J9" s="1">
        <f>SUM(J2:J8)</f>
        <v>44</v>
      </c>
      <c r="M9" s="1" t="s">
        <v>111</v>
      </c>
      <c r="N9" s="1">
        <f>SUM(N4:N6,N8)</f>
        <v>99</v>
      </c>
      <c r="Q9" s="1" t="s">
        <v>15</v>
      </c>
      <c r="R9" s="1">
        <f>SUM(R2:R8)</f>
        <v>55</v>
      </c>
      <c r="S9" s="1" t="s">
        <v>106</v>
      </c>
      <c r="T9" s="1">
        <f>COUNTIF(Лист1!R:R,"Плазмаферез")</f>
        <v>2</v>
      </c>
      <c r="U9" s="11"/>
      <c r="V9" s="2">
        <f>Таблица1[[#This Row],[Дата перевода]]-Таблица1[[#This Row],[Дата поступления]]</f>
        <v>1</v>
      </c>
      <c r="W9" s="2">
        <f>Таблица1[[#This Row],[Дата поступления]]-Таблица1[[#This Row],[Дата рождения]]</f>
        <v>3970</v>
      </c>
      <c r="Y9" s="8"/>
      <c r="AC9" s="1" t="s">
        <v>106</v>
      </c>
    </row>
    <row r="10" spans="1:30" ht="24.95" customHeight="1" x14ac:dyDescent="0.25">
      <c r="G10" s="1" t="s">
        <v>29</v>
      </c>
      <c r="H10" s="1">
        <f>COUNTIF(Лист1!S:S, "Другие больницы")</f>
        <v>41</v>
      </c>
      <c r="Q10" s="1" t="s">
        <v>128</v>
      </c>
      <c r="R10" s="1">
        <f>COUNTIF(Лист1!Q:Q,"СЗП+/-крио")+COUNTIF(Лист1!Q:Q,"СЗП+Эр")+COUNTIF(Лист1!Q:Q,"СЗП+Тр")+COUNTIF(Лист1!Q:Q,"СЗП+Эр+Тр")</f>
        <v>37</v>
      </c>
      <c r="S10" s="1" t="s">
        <v>113</v>
      </c>
      <c r="T10" s="1">
        <f>SUM(T2,T6:T8)</f>
        <v>2</v>
      </c>
      <c r="U10" s="11"/>
      <c r="V10" s="2">
        <f>Таблица1[[#This Row],[Дата перевода]]-Таблица1[[#This Row],[Дата поступления]]</f>
        <v>1</v>
      </c>
      <c r="W10" s="2">
        <f>Таблица1[[#This Row],[Дата поступления]]-Таблица1[[#This Row],[Дата рождения]]</f>
        <v>2273</v>
      </c>
      <c r="Y10" s="7"/>
    </row>
    <row r="11" spans="1:30" ht="24.95" customHeight="1" x14ac:dyDescent="0.25">
      <c r="G11" s="1" t="s">
        <v>30</v>
      </c>
      <c r="H11" s="1">
        <f>COUNTIF(Лист1!S:S, "Летальный исход")</f>
        <v>11</v>
      </c>
      <c r="Q11" s="1" t="s">
        <v>129</v>
      </c>
      <c r="R11" s="1">
        <f>COUNTIF(Лист1!Q:Q,"Эр. масса")+COUNTIF(Лист1!Q:Q,"СЗП+Эр")+COUNTIF(Лист1!Q:Q,"Эр+Тр")+COUNTIF(Лист1!Q:Q,"СЗП+Эр+Тр")</f>
        <v>36</v>
      </c>
      <c r="S11" s="1" t="s">
        <v>114</v>
      </c>
      <c r="T11" s="1">
        <f>SUM(T3,T6)</f>
        <v>0</v>
      </c>
      <c r="U11" s="11"/>
      <c r="V11" s="2">
        <f>Таблица1[[#This Row],[Дата перевода]]-Таблица1[[#This Row],[Дата поступления]]</f>
        <v>1</v>
      </c>
      <c r="W11" s="2">
        <f>Таблица1[[#This Row],[Дата поступления]]-Таблица1[[#This Row],[Дата рождения]]</f>
        <v>85</v>
      </c>
      <c r="Y11" s="7"/>
    </row>
    <row r="12" spans="1:30" ht="24.95" customHeight="1" x14ac:dyDescent="0.25">
      <c r="G12" s="1" t="s">
        <v>31</v>
      </c>
      <c r="H12" s="1">
        <f>COUNTIF(Лист1!S:S, "Прочее")</f>
        <v>15</v>
      </c>
      <c r="Q12" s="1" t="s">
        <v>130</v>
      </c>
      <c r="R12" s="1">
        <f>COUNTIF(Лист1!Q:Q,"Тромб.")+COUNTIF(Лист1!Q:Q,"СЗП+Тр")+COUNTIF(Лист1!Q:Q,"Эр+Тр")+COUNTIF(Лист1!Q:Q,"СЗП+Эр+Тр")</f>
        <v>12</v>
      </c>
      <c r="S12" s="1" t="s">
        <v>115</v>
      </c>
      <c r="T12" s="1">
        <f>SUM(T4,T7)</f>
        <v>1</v>
      </c>
      <c r="U12" s="11"/>
      <c r="V12" s="2">
        <f>Таблица1[[#This Row],[Дата перевода]]-Таблица1[[#This Row],[Дата поступления]]</f>
        <v>1</v>
      </c>
      <c r="W12" s="2">
        <f>Таблица1[[#This Row],[Дата поступления]]-Таблица1[[#This Row],[Дата рождения]]</f>
        <v>535</v>
      </c>
      <c r="Y12" s="6"/>
    </row>
    <row r="13" spans="1:30" ht="24.95" customHeight="1" x14ac:dyDescent="0.25">
      <c r="G13" s="1" t="s">
        <v>15</v>
      </c>
      <c r="H13" s="1">
        <f>SUM(H2:H12)</f>
        <v>526</v>
      </c>
      <c r="S13" s="1" t="s">
        <v>116</v>
      </c>
      <c r="T13" s="1">
        <f>SUM(T5,T8)</f>
        <v>1</v>
      </c>
      <c r="U13" s="11"/>
      <c r="V13" s="2">
        <f>Таблица1[[#This Row],[Дата перевода]]-Таблица1[[#This Row],[Дата поступления]]</f>
        <v>0</v>
      </c>
      <c r="W13" s="2">
        <f>Таблица1[[#This Row],[Дата поступления]]-Таблица1[[#This Row],[Дата рождения]]</f>
        <v>6334</v>
      </c>
      <c r="Y13" s="6"/>
    </row>
    <row r="14" spans="1:30" ht="24.95" customHeight="1" x14ac:dyDescent="0.25">
      <c r="A14" s="1" t="s">
        <v>117</v>
      </c>
      <c r="B14" s="5">
        <f>SUM(V2:V2511)</f>
        <v>2624</v>
      </c>
      <c r="D14" s="5"/>
      <c r="F14" s="5"/>
      <c r="H14" s="5"/>
      <c r="J14" s="5"/>
      <c r="L14" s="5"/>
      <c r="M14" s="5"/>
      <c r="N14" s="5"/>
      <c r="P14" s="5"/>
      <c r="S14" s="1" t="s">
        <v>112</v>
      </c>
      <c r="T14" s="1">
        <f>SUM(T9:T13)</f>
        <v>6</v>
      </c>
      <c r="U14" s="11"/>
      <c r="V14" s="2">
        <f>Таблица1[[#This Row],[Дата перевода]]-Таблица1[[#This Row],[Дата поступления]]</f>
        <v>5</v>
      </c>
      <c r="W14" s="2">
        <f>Таблица1[[#This Row],[Дата поступления]]-Таблица1[[#This Row],[Дата рождения]]</f>
        <v>2773</v>
      </c>
    </row>
    <row r="15" spans="1:30" ht="24.95" customHeight="1" x14ac:dyDescent="0.25">
      <c r="B15" s="5"/>
      <c r="D15" s="5"/>
      <c r="F15" s="5"/>
      <c r="H15" s="5"/>
      <c r="J15" s="5"/>
      <c r="L15" s="5"/>
      <c r="M15" s="5"/>
      <c r="N15" s="5"/>
      <c r="V15" s="2">
        <f>Таблица1[[#This Row],[Дата перевода]]-Таблица1[[#This Row],[Дата поступления]]</f>
        <v>1</v>
      </c>
      <c r="W15" s="2">
        <f>Таблица1[[#This Row],[Дата поступления]]-Таблица1[[#This Row],[Дата рождения]]</f>
        <v>2669</v>
      </c>
    </row>
    <row r="16" spans="1:30" ht="24.95" customHeight="1" x14ac:dyDescent="0.25">
      <c r="B16" s="5"/>
      <c r="D16" s="5"/>
      <c r="F16" s="5"/>
      <c r="G16" s="9" t="s">
        <v>80</v>
      </c>
      <c r="H16" s="5"/>
      <c r="I16" s="9" t="s">
        <v>80</v>
      </c>
      <c r="J16" s="5"/>
      <c r="K16" s="9" t="s">
        <v>80</v>
      </c>
      <c r="L16" s="5"/>
      <c r="M16" s="5"/>
      <c r="N16" s="5"/>
      <c r="V16" s="2">
        <f>Таблица1[[#This Row],[Дата перевода]]-Таблица1[[#This Row],[Дата поступления]]</f>
        <v>366</v>
      </c>
      <c r="W16" s="2">
        <f>Таблица1[[#This Row],[Дата поступления]]-Таблица1[[#This Row],[Дата рождения]]</f>
        <v>558</v>
      </c>
    </row>
    <row r="17" spans="2:23" ht="24.95" customHeight="1" x14ac:dyDescent="0.25">
      <c r="B17" s="5"/>
      <c r="D17" s="5"/>
      <c r="F17" s="5"/>
      <c r="G17" s="10" t="s">
        <v>77</v>
      </c>
      <c r="H17" s="5"/>
      <c r="I17" s="10" t="s">
        <v>77</v>
      </c>
      <c r="J17" s="5"/>
      <c r="K17" s="10" t="s">
        <v>77</v>
      </c>
      <c r="L17" s="5"/>
      <c r="M17" s="5"/>
      <c r="N17" s="5"/>
      <c r="V17" s="2">
        <f>Таблица1[[#This Row],[Дата перевода]]-Таблица1[[#This Row],[Дата поступления]]</f>
        <v>1</v>
      </c>
      <c r="W17" s="2">
        <f>Таблица1[[#This Row],[Дата поступления]]-Таблица1[[#This Row],[Дата рождения]]</f>
        <v>608</v>
      </c>
    </row>
    <row r="18" spans="2:23" ht="24.95" customHeight="1" x14ac:dyDescent="0.25">
      <c r="B18" s="5"/>
      <c r="D18" s="5"/>
      <c r="F18" s="5"/>
      <c r="G18" s="9" t="s">
        <v>23</v>
      </c>
      <c r="H18" s="5"/>
      <c r="I18" s="9" t="s">
        <v>23</v>
      </c>
      <c r="J18" s="5"/>
      <c r="K18" s="9" t="s">
        <v>23</v>
      </c>
      <c r="L18" s="5"/>
      <c r="M18" s="5"/>
      <c r="N18" s="5"/>
      <c r="V18" s="2">
        <f>Таблица1[[#This Row],[Дата перевода]]-Таблица1[[#This Row],[Дата поступления]]</f>
        <v>1</v>
      </c>
      <c r="W18" s="2">
        <f>Таблица1[[#This Row],[Дата поступления]]-Таблица1[[#This Row],[Дата рождения]]</f>
        <v>564</v>
      </c>
    </row>
    <row r="19" spans="2:23" ht="24.95" customHeight="1" x14ac:dyDescent="0.25">
      <c r="B19" s="5"/>
      <c r="D19" s="5"/>
      <c r="F19" s="5"/>
      <c r="G19" s="10" t="s">
        <v>24</v>
      </c>
      <c r="H19" s="5"/>
      <c r="I19" s="10" t="s">
        <v>24</v>
      </c>
      <c r="J19" s="5"/>
      <c r="K19" s="10" t="s">
        <v>24</v>
      </c>
      <c r="L19" s="5"/>
      <c r="M19" s="5"/>
      <c r="N19" s="5"/>
      <c r="V19" s="2">
        <f>Таблица1[[#This Row],[Дата перевода]]-Таблица1[[#This Row],[Дата поступления]]</f>
        <v>1</v>
      </c>
      <c r="W19" s="2">
        <f>Таблица1[[#This Row],[Дата поступления]]-Таблица1[[#This Row],[Дата рождения]]</f>
        <v>1419</v>
      </c>
    </row>
    <row r="20" spans="2:23" ht="24.95" customHeight="1" x14ac:dyDescent="0.25">
      <c r="B20" s="5"/>
      <c r="D20" s="5"/>
      <c r="F20" s="5"/>
      <c r="G20" s="9" t="s">
        <v>25</v>
      </c>
      <c r="H20" s="5"/>
      <c r="I20" s="9" t="s">
        <v>25</v>
      </c>
      <c r="J20" s="5"/>
      <c r="K20" s="9" t="s">
        <v>25</v>
      </c>
      <c r="L20" s="5"/>
      <c r="M20" s="5"/>
      <c r="N20" s="5"/>
      <c r="V20" s="2">
        <f>Таблица1[[#This Row],[Дата перевода]]-Таблица1[[#This Row],[Дата поступления]]</f>
        <v>1</v>
      </c>
      <c r="W20" s="2">
        <f>Таблица1[[#This Row],[Дата поступления]]-Таблица1[[#This Row],[Дата рождения]]</f>
        <v>789</v>
      </c>
    </row>
    <row r="21" spans="2:23" ht="24.95" customHeight="1" x14ac:dyDescent="0.25">
      <c r="B21" s="5"/>
      <c r="D21" s="5"/>
      <c r="F21" s="5"/>
      <c r="G21" s="10" t="s">
        <v>27</v>
      </c>
      <c r="H21" s="5"/>
      <c r="I21" s="10" t="s">
        <v>27</v>
      </c>
      <c r="J21" s="5"/>
      <c r="K21" s="10" t="s">
        <v>27</v>
      </c>
      <c r="L21" s="5"/>
      <c r="M21" s="5"/>
      <c r="N21" s="5"/>
      <c r="V21" s="2">
        <f>Таблица1[[#This Row],[Дата перевода]]-Таблица1[[#This Row],[Дата поступления]]</f>
        <v>2</v>
      </c>
      <c r="W21" s="2">
        <f>Таблица1[[#This Row],[Дата поступления]]-Таблица1[[#This Row],[Дата рождения]]</f>
        <v>1657</v>
      </c>
    </row>
    <row r="22" spans="2:23" ht="24.95" customHeight="1" x14ac:dyDescent="0.25">
      <c r="B22" s="5"/>
      <c r="D22" s="5"/>
      <c r="F22" s="5"/>
      <c r="G22" s="9" t="s">
        <v>26</v>
      </c>
      <c r="H22" s="5"/>
      <c r="I22" s="9" t="s">
        <v>26</v>
      </c>
      <c r="J22" s="5"/>
      <c r="K22" s="9" t="s">
        <v>26</v>
      </c>
      <c r="L22" s="5"/>
      <c r="M22" s="5"/>
      <c r="N22" s="5"/>
      <c r="V22" s="2">
        <f>Таблица1[[#This Row],[Дата перевода]]-Таблица1[[#This Row],[Дата поступления]]</f>
        <v>1</v>
      </c>
      <c r="W22" s="2">
        <f>Таблица1[[#This Row],[Дата поступления]]-Таблица1[[#This Row],[Дата рождения]]</f>
        <v>421</v>
      </c>
    </row>
    <row r="23" spans="2:23" ht="24.95" customHeight="1" x14ac:dyDescent="0.25">
      <c r="B23" s="5"/>
      <c r="D23" s="5"/>
      <c r="F23" s="5"/>
      <c r="G23" s="10" t="s">
        <v>28</v>
      </c>
      <c r="H23" s="5"/>
      <c r="I23" s="10" t="s">
        <v>28</v>
      </c>
      <c r="J23" s="5"/>
      <c r="K23" s="10" t="s">
        <v>28</v>
      </c>
      <c r="L23" s="5"/>
      <c r="M23" s="5"/>
      <c r="N23" s="5"/>
      <c r="V23" s="2">
        <f>Таблица1[[#This Row],[Дата перевода]]-Таблица1[[#This Row],[Дата поступления]]</f>
        <v>1</v>
      </c>
      <c r="W23" s="2">
        <f>Таблица1[[#This Row],[Дата поступления]]-Таблица1[[#This Row],[Дата рождения]]</f>
        <v>2492</v>
      </c>
    </row>
    <row r="24" spans="2:23" ht="24.95" customHeight="1" x14ac:dyDescent="0.25">
      <c r="B24" s="5"/>
      <c r="D24" s="5"/>
      <c r="F24" s="5"/>
      <c r="H24" s="5"/>
      <c r="J24" s="5"/>
      <c r="L24" s="5"/>
      <c r="M24" s="5"/>
      <c r="N24" s="5"/>
      <c r="V24" s="2">
        <f>Таблица1[[#This Row],[Дата перевода]]-Таблица1[[#This Row],[Дата поступления]]</f>
        <v>14</v>
      </c>
      <c r="W24" s="2">
        <f>Таблица1[[#This Row],[Дата поступления]]-Таблица1[[#This Row],[Дата рождения]]</f>
        <v>32</v>
      </c>
    </row>
    <row r="25" spans="2:23" ht="24.95" customHeight="1" x14ac:dyDescent="0.25">
      <c r="B25" s="5"/>
      <c r="D25" s="5"/>
      <c r="F25" s="5"/>
      <c r="H25" s="5"/>
      <c r="J25" s="5"/>
      <c r="L25" s="5"/>
      <c r="M25" s="5"/>
      <c r="N25" s="5"/>
      <c r="V25" s="2">
        <f>Таблица1[[#This Row],[Дата перевода]]-Таблица1[[#This Row],[Дата поступления]]</f>
        <v>14</v>
      </c>
      <c r="W25" s="2">
        <f>Таблица1[[#This Row],[Дата поступления]]-Таблица1[[#This Row],[Дата рождения]]</f>
        <v>3615</v>
      </c>
    </row>
    <row r="26" spans="2:23" ht="24.95" customHeight="1" x14ac:dyDescent="0.25">
      <c r="B26" s="5"/>
      <c r="D26" s="5"/>
      <c r="F26" s="5"/>
      <c r="H26" s="5"/>
      <c r="J26" s="5"/>
      <c r="L26" s="5"/>
      <c r="M26" s="5"/>
      <c r="N26" s="5"/>
      <c r="V26" s="2">
        <f>Таблица1[[#This Row],[Дата перевода]]-Таблица1[[#This Row],[Дата поступления]]</f>
        <v>3</v>
      </c>
      <c r="W26" s="2">
        <f>Таблица1[[#This Row],[Дата поступления]]-Таблица1[[#This Row],[Дата рождения]]</f>
        <v>42</v>
      </c>
    </row>
    <row r="27" spans="2:23" ht="24.95" customHeight="1" x14ac:dyDescent="0.25">
      <c r="B27" s="5"/>
      <c r="D27" s="5"/>
      <c r="F27" s="5"/>
      <c r="H27" s="5"/>
      <c r="J27" s="5"/>
      <c r="L27" s="5"/>
      <c r="M27" s="5"/>
      <c r="N27" s="5"/>
      <c r="V27" s="2">
        <f>Таблица1[[#This Row],[Дата перевода]]-Таблица1[[#This Row],[Дата поступления]]</f>
        <v>3</v>
      </c>
      <c r="W27" s="2">
        <f>Таблица1[[#This Row],[Дата поступления]]-Таблица1[[#This Row],[Дата рождения]]</f>
        <v>5338</v>
      </c>
    </row>
    <row r="28" spans="2:23" ht="24.95" customHeight="1" x14ac:dyDescent="0.25">
      <c r="B28" s="5"/>
      <c r="D28" s="5"/>
      <c r="F28" s="5"/>
      <c r="H28" s="5"/>
      <c r="J28" s="5"/>
      <c r="L28" s="5"/>
      <c r="M28" s="5"/>
      <c r="N28" s="5"/>
      <c r="V28" s="2">
        <f>Таблица1[[#This Row],[Дата перевода]]-Таблица1[[#This Row],[Дата поступления]]</f>
        <v>13</v>
      </c>
      <c r="W28" s="2">
        <f>Таблица1[[#This Row],[Дата поступления]]-Таблица1[[#This Row],[Дата рождения]]</f>
        <v>46</v>
      </c>
    </row>
    <row r="29" spans="2:23" ht="24.95" customHeight="1" x14ac:dyDescent="0.25">
      <c r="B29" s="5"/>
      <c r="D29" s="5"/>
      <c r="F29" s="5"/>
      <c r="H29" s="5"/>
      <c r="J29" s="5"/>
      <c r="L29" s="5"/>
      <c r="M29" s="5"/>
      <c r="N29" s="5"/>
      <c r="V29" s="2">
        <f>Таблица1[[#This Row],[Дата перевода]]-Таблица1[[#This Row],[Дата поступления]]</f>
        <v>1</v>
      </c>
      <c r="W29" s="2">
        <f>Таблица1[[#This Row],[Дата поступления]]-Таблица1[[#This Row],[Дата рождения]]</f>
        <v>1025</v>
      </c>
    </row>
    <row r="30" spans="2:23" ht="24.95" customHeight="1" x14ac:dyDescent="0.25">
      <c r="B30" s="5"/>
      <c r="D30" s="5"/>
      <c r="F30" s="5"/>
      <c r="H30" s="5"/>
      <c r="J30" s="5"/>
      <c r="L30" s="5"/>
      <c r="M30" s="5"/>
      <c r="N30" s="5"/>
      <c r="V30" s="2">
        <f>Таблица1[[#This Row],[Дата перевода]]-Таблица1[[#This Row],[Дата поступления]]</f>
        <v>5</v>
      </c>
      <c r="W30" s="2">
        <f>Таблица1[[#This Row],[Дата поступления]]-Таблица1[[#This Row],[Дата рождения]]</f>
        <v>1027</v>
      </c>
    </row>
    <row r="31" spans="2:23" ht="24.95" customHeight="1" x14ac:dyDescent="0.25">
      <c r="B31" s="5"/>
      <c r="D31" s="5"/>
      <c r="F31" s="5"/>
      <c r="H31" s="5"/>
      <c r="J31" s="5"/>
      <c r="L31" s="5"/>
      <c r="M31" s="5"/>
      <c r="N31" s="5"/>
      <c r="V31" s="2">
        <f>Таблица1[[#This Row],[Дата перевода]]-Таблица1[[#This Row],[Дата поступления]]</f>
        <v>34</v>
      </c>
      <c r="W31" s="2">
        <f>Таблица1[[#This Row],[Дата поступления]]-Таблица1[[#This Row],[Дата рождения]]</f>
        <v>198</v>
      </c>
    </row>
    <row r="32" spans="2:23" ht="24.95" customHeight="1" x14ac:dyDescent="0.25">
      <c r="B32" s="5"/>
      <c r="D32" s="5"/>
      <c r="F32" s="5"/>
      <c r="H32" s="5"/>
      <c r="J32" s="5"/>
      <c r="L32" s="5"/>
      <c r="M32" s="5"/>
      <c r="N32" s="5"/>
      <c r="V32" s="2">
        <f>Таблица1[[#This Row],[Дата перевода]]-Таблица1[[#This Row],[Дата поступления]]</f>
        <v>4</v>
      </c>
      <c r="W32" s="2">
        <f>Таблица1[[#This Row],[Дата поступления]]-Таблица1[[#This Row],[Дата рождения]]</f>
        <v>56</v>
      </c>
    </row>
    <row r="33" spans="2:23" ht="24.95" customHeight="1" x14ac:dyDescent="0.25">
      <c r="B33" s="5"/>
      <c r="D33" s="5"/>
      <c r="F33" s="5"/>
      <c r="H33" s="5"/>
      <c r="J33" s="5"/>
      <c r="L33" s="5"/>
      <c r="M33" s="5"/>
      <c r="N33" s="5"/>
      <c r="V33" s="2">
        <f>Таблица1[[#This Row],[Дата перевода]]-Таблица1[[#This Row],[Дата поступления]]</f>
        <v>1</v>
      </c>
      <c r="W33" s="2">
        <f>Таблица1[[#This Row],[Дата поступления]]-Таблица1[[#This Row],[Дата рождения]]</f>
        <v>496</v>
      </c>
    </row>
    <row r="34" spans="2:23" ht="24.95" customHeight="1" x14ac:dyDescent="0.25">
      <c r="B34" s="5"/>
      <c r="D34" s="5"/>
      <c r="F34" s="5"/>
      <c r="H34" s="5"/>
      <c r="J34" s="5"/>
      <c r="L34" s="5"/>
      <c r="M34" s="5"/>
      <c r="N34" s="5"/>
      <c r="V34" s="2">
        <f>Таблица1[[#This Row],[Дата перевода]]-Таблица1[[#This Row],[Дата поступления]]</f>
        <v>5</v>
      </c>
      <c r="W34" s="2">
        <f>Таблица1[[#This Row],[Дата поступления]]-Таблица1[[#This Row],[Дата рождения]]</f>
        <v>656</v>
      </c>
    </row>
    <row r="35" spans="2:23" ht="24.95" customHeight="1" x14ac:dyDescent="0.25">
      <c r="B35" s="5"/>
      <c r="D35" s="5"/>
      <c r="F35" s="5"/>
      <c r="H35" s="5"/>
      <c r="J35" s="5"/>
      <c r="L35" s="5"/>
      <c r="M35" s="5"/>
      <c r="N35" s="5"/>
      <c r="V35" s="2">
        <f>Таблица1[[#This Row],[Дата перевода]]-Таблица1[[#This Row],[Дата поступления]]</f>
        <v>1</v>
      </c>
      <c r="W35" s="2">
        <f>Таблица1[[#This Row],[Дата поступления]]-Таблица1[[#This Row],[Дата рождения]]</f>
        <v>6505</v>
      </c>
    </row>
    <row r="36" spans="2:23" ht="24.95" customHeight="1" x14ac:dyDescent="0.25">
      <c r="V36" s="2">
        <f>Таблица1[[#This Row],[Дата перевода]]-Таблица1[[#This Row],[Дата поступления]]</f>
        <v>1</v>
      </c>
      <c r="W36" s="2">
        <f>Таблица1[[#This Row],[Дата поступления]]-Таблица1[[#This Row],[Дата рождения]]</f>
        <v>6275</v>
      </c>
    </row>
    <row r="37" spans="2:23" ht="24.95" customHeight="1" x14ac:dyDescent="0.25">
      <c r="V37" s="2">
        <f>Таблица1[[#This Row],[Дата перевода]]-Таблица1[[#This Row],[Дата поступления]]</f>
        <v>1</v>
      </c>
      <c r="W37" s="2">
        <f>Таблица1[[#This Row],[Дата поступления]]-Таблица1[[#This Row],[Дата рождения]]</f>
        <v>2251</v>
      </c>
    </row>
    <row r="38" spans="2:23" ht="24.95" customHeight="1" x14ac:dyDescent="0.25">
      <c r="V38" s="2">
        <f>Таблица1[[#This Row],[Дата перевода]]-Таблица1[[#This Row],[Дата поступления]]</f>
        <v>1</v>
      </c>
      <c r="W38" s="2">
        <f>Таблица1[[#This Row],[Дата поступления]]-Таблица1[[#This Row],[Дата рождения]]</f>
        <v>3590</v>
      </c>
    </row>
    <row r="39" spans="2:23" ht="24.95" customHeight="1" x14ac:dyDescent="0.25">
      <c r="V39" s="2">
        <f>Таблица1[[#This Row],[Дата перевода]]-Таблица1[[#This Row],[Дата поступления]]</f>
        <v>2</v>
      </c>
      <c r="W39" s="2">
        <f>Таблица1[[#This Row],[Дата поступления]]-Таблица1[[#This Row],[Дата рождения]]</f>
        <v>571</v>
      </c>
    </row>
    <row r="40" spans="2:23" ht="24.95" customHeight="1" x14ac:dyDescent="0.25">
      <c r="V40" s="2">
        <f>Таблица1[[#This Row],[Дата перевода]]-Таблица1[[#This Row],[Дата поступления]]</f>
        <v>1</v>
      </c>
      <c r="W40" s="2">
        <f>Таблица1[[#This Row],[Дата поступления]]-Таблица1[[#This Row],[Дата рождения]]</f>
        <v>5274</v>
      </c>
    </row>
    <row r="41" spans="2:23" ht="24.95" customHeight="1" x14ac:dyDescent="0.25">
      <c r="V41" s="2">
        <f>Таблица1[[#This Row],[Дата перевода]]-Таблица1[[#This Row],[Дата поступления]]</f>
        <v>3</v>
      </c>
      <c r="W41" s="2">
        <f>Таблица1[[#This Row],[Дата поступления]]-Таблица1[[#This Row],[Дата рождения]]</f>
        <v>5998</v>
      </c>
    </row>
    <row r="42" spans="2:23" ht="24.95" customHeight="1" x14ac:dyDescent="0.25">
      <c r="V42" s="2">
        <f>Таблица1[[#This Row],[Дата перевода]]-Таблица1[[#This Row],[Дата поступления]]</f>
        <v>2</v>
      </c>
      <c r="W42" s="2">
        <f>Таблица1[[#This Row],[Дата поступления]]-Таблица1[[#This Row],[Дата рождения]]</f>
        <v>5283</v>
      </c>
    </row>
    <row r="43" spans="2:23" ht="24.95" customHeight="1" x14ac:dyDescent="0.25">
      <c r="V43" s="2">
        <f>Таблица1[[#This Row],[Дата перевода]]-Таблица1[[#This Row],[Дата поступления]]</f>
        <v>2</v>
      </c>
      <c r="W43" s="2">
        <f>Таблица1[[#This Row],[Дата поступления]]-Таблица1[[#This Row],[Дата рождения]]</f>
        <v>1</v>
      </c>
    </row>
    <row r="44" spans="2:23" ht="24.95" customHeight="1" x14ac:dyDescent="0.25">
      <c r="V44" s="2">
        <f>Таблица1[[#This Row],[Дата перевода]]-Таблица1[[#This Row],[Дата поступления]]</f>
        <v>4</v>
      </c>
      <c r="W44" s="2">
        <f>Таблица1[[#This Row],[Дата поступления]]-Таблица1[[#This Row],[Дата рождения]]</f>
        <v>2818</v>
      </c>
    </row>
    <row r="45" spans="2:23" ht="24.95" customHeight="1" x14ac:dyDescent="0.25">
      <c r="V45" s="2">
        <f>Таблица1[[#This Row],[Дата перевода]]-Таблица1[[#This Row],[Дата поступления]]</f>
        <v>0</v>
      </c>
      <c r="W45" s="2">
        <f>Таблица1[[#This Row],[Дата поступления]]-Таблица1[[#This Row],[Дата рождения]]</f>
        <v>6219</v>
      </c>
    </row>
    <row r="46" spans="2:23" ht="24.95" customHeight="1" x14ac:dyDescent="0.25">
      <c r="V46" s="2">
        <f>Таблица1[[#This Row],[Дата перевода]]-Таблица1[[#This Row],[Дата поступления]]</f>
        <v>0</v>
      </c>
      <c r="W46" s="2">
        <f>Таблица1[[#This Row],[Дата поступления]]-Таблица1[[#This Row],[Дата рождения]]</f>
        <v>170</v>
      </c>
    </row>
    <row r="47" spans="2:23" ht="24.95" customHeight="1" x14ac:dyDescent="0.25">
      <c r="V47" s="2">
        <f>Таблица1[[#This Row],[Дата перевода]]-Таблица1[[#This Row],[Дата поступления]]</f>
        <v>5</v>
      </c>
      <c r="W47" s="2">
        <f>Таблица1[[#This Row],[Дата поступления]]-Таблица1[[#This Row],[Дата рождения]]</f>
        <v>5857</v>
      </c>
    </row>
    <row r="48" spans="2:23" ht="24.95" customHeight="1" x14ac:dyDescent="0.25">
      <c r="V48" s="2">
        <f>Таблица1[[#This Row],[Дата перевода]]-Таблица1[[#This Row],[Дата поступления]]</f>
        <v>1</v>
      </c>
      <c r="W48" s="2">
        <f>Таблица1[[#This Row],[Дата поступления]]-Таблица1[[#This Row],[Дата рождения]]</f>
        <v>2791</v>
      </c>
    </row>
    <row r="49" spans="22:23" ht="24.95" customHeight="1" x14ac:dyDescent="0.25">
      <c r="V49" s="2">
        <f>Таблица1[[#This Row],[Дата перевода]]-Таблица1[[#This Row],[Дата поступления]]</f>
        <v>29</v>
      </c>
      <c r="W49" s="2">
        <f>Таблица1[[#This Row],[Дата поступления]]-Таблица1[[#This Row],[Дата рождения]]</f>
        <v>298</v>
      </c>
    </row>
    <row r="50" spans="22:23" ht="24.95" customHeight="1" x14ac:dyDescent="0.25">
      <c r="V50" s="2">
        <f>Таблица1[[#This Row],[Дата перевода]]-Таблица1[[#This Row],[Дата поступления]]</f>
        <v>15</v>
      </c>
      <c r="W50" s="2">
        <f>Таблица1[[#This Row],[Дата поступления]]-Таблица1[[#This Row],[Дата рождения]]</f>
        <v>237</v>
      </c>
    </row>
    <row r="51" spans="22:23" ht="24.95" customHeight="1" x14ac:dyDescent="0.25">
      <c r="V51" s="2">
        <f>Таблица1[[#This Row],[Дата перевода]]-Таблица1[[#This Row],[Дата поступления]]</f>
        <v>1</v>
      </c>
      <c r="W51" s="2">
        <f>Таблица1[[#This Row],[Дата поступления]]-Таблица1[[#This Row],[Дата рождения]]</f>
        <v>911</v>
      </c>
    </row>
    <row r="52" spans="22:23" ht="24.95" customHeight="1" x14ac:dyDescent="0.25">
      <c r="V52" s="2">
        <f>Таблица1[[#This Row],[Дата перевода]]-Таблица1[[#This Row],[Дата поступления]]</f>
        <v>1</v>
      </c>
      <c r="W52" s="2">
        <f>Таблица1[[#This Row],[Дата поступления]]-Таблица1[[#This Row],[Дата рождения]]</f>
        <v>1069</v>
      </c>
    </row>
    <row r="53" spans="22:23" ht="24.95" customHeight="1" x14ac:dyDescent="0.25">
      <c r="V53" s="2">
        <f>Таблица1[[#This Row],[Дата перевода]]-Таблица1[[#This Row],[Дата поступления]]</f>
        <v>1</v>
      </c>
      <c r="W53" s="2">
        <f>Таблица1[[#This Row],[Дата поступления]]-Таблица1[[#This Row],[Дата рождения]]</f>
        <v>505</v>
      </c>
    </row>
    <row r="54" spans="22:23" ht="24.95" customHeight="1" x14ac:dyDescent="0.25">
      <c r="V54" s="2">
        <f>Таблица1[[#This Row],[Дата перевода]]-Таблица1[[#This Row],[Дата поступления]]</f>
        <v>2</v>
      </c>
      <c r="W54" s="2">
        <f>Таблица1[[#This Row],[Дата поступления]]-Таблица1[[#This Row],[Дата рождения]]</f>
        <v>591</v>
      </c>
    </row>
    <row r="55" spans="22:23" ht="24.95" customHeight="1" x14ac:dyDescent="0.25">
      <c r="V55" s="2">
        <f>Таблица1[[#This Row],[Дата перевода]]-Таблица1[[#This Row],[Дата поступления]]</f>
        <v>3</v>
      </c>
      <c r="W55" s="2">
        <f>Таблица1[[#This Row],[Дата поступления]]-Таблица1[[#This Row],[Дата рождения]]</f>
        <v>46</v>
      </c>
    </row>
    <row r="56" spans="22:23" ht="24.95" customHeight="1" x14ac:dyDescent="0.25">
      <c r="V56" s="2">
        <f>Таблица1[[#This Row],[Дата перевода]]-Таблица1[[#This Row],[Дата поступления]]</f>
        <v>5</v>
      </c>
      <c r="W56" s="2">
        <f>Таблица1[[#This Row],[Дата поступления]]-Таблица1[[#This Row],[Дата рождения]]</f>
        <v>3263</v>
      </c>
    </row>
    <row r="57" spans="22:23" ht="24.95" customHeight="1" x14ac:dyDescent="0.25">
      <c r="V57" s="2">
        <f>Таблица1[[#This Row],[Дата перевода]]-Таблица1[[#This Row],[Дата поступления]]</f>
        <v>2</v>
      </c>
      <c r="W57" s="2">
        <f>Таблица1[[#This Row],[Дата поступления]]-Таблица1[[#This Row],[Дата рождения]]</f>
        <v>3221</v>
      </c>
    </row>
    <row r="58" spans="22:23" ht="24.95" customHeight="1" x14ac:dyDescent="0.25">
      <c r="V58" s="2">
        <f>Таблица1[[#This Row],[Дата перевода]]-Таблица1[[#This Row],[Дата поступления]]</f>
        <v>7</v>
      </c>
      <c r="W58" s="2">
        <f>Таблица1[[#This Row],[Дата поступления]]-Таблица1[[#This Row],[Дата рождения]]</f>
        <v>911</v>
      </c>
    </row>
    <row r="59" spans="22:23" ht="24.95" customHeight="1" x14ac:dyDescent="0.25">
      <c r="V59" s="2">
        <f>Таблица1[[#This Row],[Дата перевода]]-Таблица1[[#This Row],[Дата поступления]]</f>
        <v>20</v>
      </c>
      <c r="W59" s="2">
        <f>Таблица1[[#This Row],[Дата поступления]]-Таблица1[[#This Row],[Дата рождения]]</f>
        <v>123</v>
      </c>
    </row>
    <row r="60" spans="22:23" ht="24.95" customHeight="1" x14ac:dyDescent="0.25">
      <c r="V60" s="2">
        <f>Таблица1[[#This Row],[Дата перевода]]-Таблица1[[#This Row],[Дата поступления]]</f>
        <v>2</v>
      </c>
      <c r="W60" s="2">
        <f>Таблица1[[#This Row],[Дата поступления]]-Таблица1[[#This Row],[Дата рождения]]</f>
        <v>2429</v>
      </c>
    </row>
    <row r="61" spans="22:23" ht="24.95" customHeight="1" x14ac:dyDescent="0.25">
      <c r="V61" s="2">
        <f>Таблица1[[#This Row],[Дата перевода]]-Таблица1[[#This Row],[Дата поступления]]</f>
        <v>2</v>
      </c>
      <c r="W61" s="2">
        <f>Таблица1[[#This Row],[Дата поступления]]-Таблица1[[#This Row],[Дата рождения]]</f>
        <v>6324</v>
      </c>
    </row>
    <row r="62" spans="22:23" ht="24.95" customHeight="1" x14ac:dyDescent="0.25">
      <c r="V62" s="2">
        <f>Таблица1[[#This Row],[Дата перевода]]-Таблица1[[#This Row],[Дата поступления]]</f>
        <v>7</v>
      </c>
      <c r="W62" s="2">
        <f>Таблица1[[#This Row],[Дата поступления]]-Таблица1[[#This Row],[Дата рождения]]</f>
        <v>406</v>
      </c>
    </row>
    <row r="63" spans="22:23" ht="24.95" customHeight="1" x14ac:dyDescent="0.25">
      <c r="V63" s="2">
        <f>Таблица1[[#This Row],[Дата перевода]]-Таблица1[[#This Row],[Дата поступления]]</f>
        <v>1</v>
      </c>
      <c r="W63" s="2">
        <f>Таблица1[[#This Row],[Дата поступления]]-Таблица1[[#This Row],[Дата рождения]]</f>
        <v>4880</v>
      </c>
    </row>
    <row r="64" spans="22:23" ht="24.95" customHeight="1" x14ac:dyDescent="0.25">
      <c r="V64" s="2">
        <f>Таблица1[[#This Row],[Дата перевода]]-Таблица1[[#This Row],[Дата поступления]]</f>
        <v>8</v>
      </c>
      <c r="W64" s="2">
        <f>Таблица1[[#This Row],[Дата поступления]]-Таблица1[[#This Row],[Дата рождения]]</f>
        <v>29</v>
      </c>
    </row>
    <row r="65" spans="22:23" ht="24.95" customHeight="1" x14ac:dyDescent="0.25">
      <c r="V65" s="2">
        <f>Таблица1[[#This Row],[Дата перевода]]-Таблица1[[#This Row],[Дата поступления]]</f>
        <v>7</v>
      </c>
      <c r="W65" s="2">
        <f>Таблица1[[#This Row],[Дата поступления]]-Таблица1[[#This Row],[Дата рождения]]</f>
        <v>3824</v>
      </c>
    </row>
    <row r="66" spans="22:23" ht="24.95" customHeight="1" x14ac:dyDescent="0.25">
      <c r="V66" s="2">
        <f>Таблица1[[#This Row],[Дата перевода]]-Таблица1[[#This Row],[Дата поступления]]</f>
        <v>1</v>
      </c>
      <c r="W66" s="2">
        <f>Таблица1[[#This Row],[Дата поступления]]-Таблица1[[#This Row],[Дата рождения]]</f>
        <v>3870</v>
      </c>
    </row>
    <row r="67" spans="22:23" ht="24.95" customHeight="1" x14ac:dyDescent="0.25">
      <c r="V67" s="2">
        <f>Таблица1[[#This Row],[Дата перевода]]-Таблица1[[#This Row],[Дата поступления]]</f>
        <v>7</v>
      </c>
      <c r="W67" s="2">
        <f>Таблица1[[#This Row],[Дата поступления]]-Таблица1[[#This Row],[Дата рождения]]</f>
        <v>1395</v>
      </c>
    </row>
    <row r="68" spans="22:23" ht="24.95" customHeight="1" x14ac:dyDescent="0.25">
      <c r="V68" s="2">
        <f>Таблица1[[#This Row],[Дата перевода]]-Таблица1[[#This Row],[Дата поступления]]</f>
        <v>1</v>
      </c>
      <c r="W68" s="2">
        <f>Таблица1[[#This Row],[Дата поступления]]-Таблица1[[#This Row],[Дата рождения]]</f>
        <v>906</v>
      </c>
    </row>
    <row r="69" spans="22:23" ht="24.95" customHeight="1" x14ac:dyDescent="0.25">
      <c r="V69" s="2">
        <f>Таблица1[[#This Row],[Дата перевода]]-Таблица1[[#This Row],[Дата поступления]]</f>
        <v>0</v>
      </c>
      <c r="W69" s="2">
        <f>Таблица1[[#This Row],[Дата поступления]]-Таблица1[[#This Row],[Дата рождения]]</f>
        <v>6005</v>
      </c>
    </row>
    <row r="70" spans="22:23" ht="24.95" customHeight="1" x14ac:dyDescent="0.25">
      <c r="V70" s="2">
        <f>Таблица1[[#This Row],[Дата перевода]]-Таблица1[[#This Row],[Дата поступления]]</f>
        <v>1</v>
      </c>
      <c r="W70" s="2">
        <f>Таблица1[[#This Row],[Дата поступления]]-Таблица1[[#This Row],[Дата рождения]]</f>
        <v>6013</v>
      </c>
    </row>
    <row r="71" spans="22:23" ht="24.95" customHeight="1" x14ac:dyDescent="0.25">
      <c r="V71" s="2">
        <f>Таблица1[[#This Row],[Дата перевода]]-Таблица1[[#This Row],[Дата поступления]]</f>
        <v>2</v>
      </c>
      <c r="W71" s="2">
        <f>Таблица1[[#This Row],[Дата поступления]]-Таблица1[[#This Row],[Дата рождения]]</f>
        <v>5807</v>
      </c>
    </row>
    <row r="72" spans="22:23" ht="24.95" customHeight="1" x14ac:dyDescent="0.25">
      <c r="V72" s="2">
        <f>Таблица1[[#This Row],[Дата перевода]]-Таблица1[[#This Row],[Дата поступления]]</f>
        <v>1</v>
      </c>
      <c r="W72" s="2">
        <f>Таблица1[[#This Row],[Дата поступления]]-Таблица1[[#This Row],[Дата рождения]]</f>
        <v>4659</v>
      </c>
    </row>
    <row r="73" spans="22:23" ht="24.95" customHeight="1" x14ac:dyDescent="0.25">
      <c r="V73" s="2">
        <f>Таблица1[[#This Row],[Дата перевода]]-Таблица1[[#This Row],[Дата поступления]]</f>
        <v>0</v>
      </c>
      <c r="W73" s="2">
        <f>Таблица1[[#This Row],[Дата поступления]]-Таблица1[[#This Row],[Дата рождения]]</f>
        <v>2439</v>
      </c>
    </row>
    <row r="74" spans="22:23" ht="24.95" customHeight="1" x14ac:dyDescent="0.25">
      <c r="V74" s="2">
        <f>Таблица1[[#This Row],[Дата перевода]]-Таблица1[[#This Row],[Дата поступления]]</f>
        <v>1</v>
      </c>
      <c r="W74" s="2">
        <f>Таблица1[[#This Row],[Дата поступления]]-Таблица1[[#This Row],[Дата рождения]]</f>
        <v>1343</v>
      </c>
    </row>
    <row r="75" spans="22:23" ht="24.95" customHeight="1" x14ac:dyDescent="0.25">
      <c r="V75" s="2">
        <f>Таблица1[[#This Row],[Дата перевода]]-Таблица1[[#This Row],[Дата поступления]]</f>
        <v>0</v>
      </c>
      <c r="W75" s="2">
        <f>Таблица1[[#This Row],[Дата поступления]]-Таблица1[[#This Row],[Дата рождения]]</f>
        <v>1138</v>
      </c>
    </row>
    <row r="76" spans="22:23" ht="24.95" customHeight="1" x14ac:dyDescent="0.25">
      <c r="V76" s="2">
        <f>Таблица1[[#This Row],[Дата перевода]]-Таблица1[[#This Row],[Дата поступления]]</f>
        <v>1</v>
      </c>
      <c r="W76" s="2">
        <f>Таблица1[[#This Row],[Дата поступления]]-Таблица1[[#This Row],[Дата рождения]]</f>
        <v>6357</v>
      </c>
    </row>
    <row r="77" spans="22:23" ht="24.95" customHeight="1" x14ac:dyDescent="0.25">
      <c r="V77" s="2">
        <f>Таблица1[[#This Row],[Дата перевода]]-Таблица1[[#This Row],[Дата поступления]]</f>
        <v>1</v>
      </c>
      <c r="W77" s="2">
        <f>Таблица1[[#This Row],[Дата поступления]]-Таблица1[[#This Row],[Дата рождения]]</f>
        <v>3065</v>
      </c>
    </row>
    <row r="78" spans="22:23" ht="24.95" customHeight="1" x14ac:dyDescent="0.25">
      <c r="V78" s="2">
        <f>Таблица1[[#This Row],[Дата перевода]]-Таблица1[[#This Row],[Дата поступления]]</f>
        <v>7</v>
      </c>
      <c r="W78" s="2">
        <f>Таблица1[[#This Row],[Дата поступления]]-Таблица1[[#This Row],[Дата рождения]]</f>
        <v>5858</v>
      </c>
    </row>
    <row r="79" spans="22:23" ht="24.95" customHeight="1" x14ac:dyDescent="0.25">
      <c r="V79" s="2">
        <f>Таблица1[[#This Row],[Дата перевода]]-Таблица1[[#This Row],[Дата поступления]]</f>
        <v>4</v>
      </c>
      <c r="W79" s="2">
        <f>Таблица1[[#This Row],[Дата поступления]]-Таблица1[[#This Row],[Дата рождения]]</f>
        <v>5673</v>
      </c>
    </row>
    <row r="80" spans="22:23" ht="24.95" customHeight="1" x14ac:dyDescent="0.25">
      <c r="V80" s="2">
        <f>Таблица1[[#This Row],[Дата перевода]]-Таблица1[[#This Row],[Дата поступления]]</f>
        <v>4</v>
      </c>
      <c r="W80" s="2">
        <f>Таблица1[[#This Row],[Дата поступления]]-Таблица1[[#This Row],[Дата рождения]]</f>
        <v>4430</v>
      </c>
    </row>
    <row r="81" spans="22:23" ht="24.95" customHeight="1" x14ac:dyDescent="0.25">
      <c r="V81" s="2">
        <f>Таблица1[[#This Row],[Дата перевода]]-Таблица1[[#This Row],[Дата поступления]]</f>
        <v>2</v>
      </c>
      <c r="W81" s="2">
        <f>Таблица1[[#This Row],[Дата поступления]]-Таблица1[[#This Row],[Дата рождения]]</f>
        <v>5781</v>
      </c>
    </row>
    <row r="82" spans="22:23" ht="24.95" customHeight="1" x14ac:dyDescent="0.25">
      <c r="V82" s="2">
        <f>Таблица1[[#This Row],[Дата перевода]]-Таблица1[[#This Row],[Дата поступления]]</f>
        <v>21</v>
      </c>
      <c r="W82" s="2">
        <f>Таблица1[[#This Row],[Дата поступления]]-Таблица1[[#This Row],[Дата рождения]]</f>
        <v>3086</v>
      </c>
    </row>
    <row r="83" spans="22:23" ht="24.95" customHeight="1" x14ac:dyDescent="0.25">
      <c r="V83" s="2">
        <f>Таблица1[[#This Row],[Дата перевода]]-Таблица1[[#This Row],[Дата поступления]]</f>
        <v>2</v>
      </c>
      <c r="W83" s="2">
        <f>Таблица1[[#This Row],[Дата поступления]]-Таблица1[[#This Row],[Дата рождения]]</f>
        <v>95</v>
      </c>
    </row>
    <row r="84" spans="22:23" ht="24.95" customHeight="1" x14ac:dyDescent="0.25">
      <c r="V84" s="2">
        <f>Таблица1[[#This Row],[Дата перевода]]-Таблица1[[#This Row],[Дата поступления]]</f>
        <v>1</v>
      </c>
      <c r="W84" s="2">
        <f>Таблица1[[#This Row],[Дата поступления]]-Таблица1[[#This Row],[Дата рождения]]</f>
        <v>161</v>
      </c>
    </row>
    <row r="85" spans="22:23" ht="24.95" customHeight="1" x14ac:dyDescent="0.25">
      <c r="V85" s="2">
        <f>Таблица1[[#This Row],[Дата перевода]]-Таблица1[[#This Row],[Дата поступления]]</f>
        <v>0</v>
      </c>
      <c r="W85" s="2">
        <f>Таблица1[[#This Row],[Дата поступления]]-Таблица1[[#This Row],[Дата рождения]]</f>
        <v>423</v>
      </c>
    </row>
    <row r="86" spans="22:23" ht="24.95" customHeight="1" x14ac:dyDescent="0.25">
      <c r="V86" s="2">
        <f>Таблица1[[#This Row],[Дата перевода]]-Таблица1[[#This Row],[Дата поступления]]</f>
        <v>0</v>
      </c>
      <c r="W86" s="2">
        <f>Таблица1[[#This Row],[Дата поступления]]-Таблица1[[#This Row],[Дата рождения]]</f>
        <v>5851</v>
      </c>
    </row>
    <row r="87" spans="22:23" ht="24.95" customHeight="1" x14ac:dyDescent="0.25">
      <c r="V87" s="2">
        <f>Таблица1[[#This Row],[Дата перевода]]-Таблица1[[#This Row],[Дата поступления]]</f>
        <v>5</v>
      </c>
      <c r="W87" s="2">
        <f>Таблица1[[#This Row],[Дата поступления]]-Таблица1[[#This Row],[Дата рождения]]</f>
        <v>328</v>
      </c>
    </row>
    <row r="88" spans="22:23" ht="24.95" customHeight="1" x14ac:dyDescent="0.25">
      <c r="V88" s="2">
        <f>Таблица1[[#This Row],[Дата перевода]]-Таблица1[[#This Row],[Дата поступления]]</f>
        <v>26</v>
      </c>
      <c r="W88" s="2">
        <f>Таблица1[[#This Row],[Дата поступления]]-Таблица1[[#This Row],[Дата рождения]]</f>
        <v>195</v>
      </c>
    </row>
    <row r="89" spans="22:23" ht="24.95" customHeight="1" x14ac:dyDescent="0.25">
      <c r="V89" s="2">
        <f>Таблица1[[#This Row],[Дата перевода]]-Таблица1[[#This Row],[Дата поступления]]</f>
        <v>1</v>
      </c>
      <c r="W89" s="2">
        <f>Таблица1[[#This Row],[Дата поступления]]-Таблица1[[#This Row],[Дата рождения]]</f>
        <v>5624</v>
      </c>
    </row>
    <row r="90" spans="22:23" ht="24.95" customHeight="1" x14ac:dyDescent="0.25">
      <c r="V90" s="2">
        <f>Таблица1[[#This Row],[Дата перевода]]-Таблица1[[#This Row],[Дата поступления]]</f>
        <v>2</v>
      </c>
      <c r="W90" s="2">
        <f>Таблица1[[#This Row],[Дата поступления]]-Таблица1[[#This Row],[Дата рождения]]</f>
        <v>4651</v>
      </c>
    </row>
    <row r="91" spans="22:23" ht="24.95" customHeight="1" x14ac:dyDescent="0.25">
      <c r="V91" s="2">
        <f>Таблица1[[#This Row],[Дата перевода]]-Таблица1[[#This Row],[Дата поступления]]</f>
        <v>17</v>
      </c>
      <c r="W91" s="2">
        <f>Таблица1[[#This Row],[Дата поступления]]-Таблица1[[#This Row],[Дата рождения]]</f>
        <v>144</v>
      </c>
    </row>
    <row r="92" spans="22:23" ht="24.95" customHeight="1" x14ac:dyDescent="0.25">
      <c r="V92" s="2">
        <f>Таблица1[[#This Row],[Дата перевода]]-Таблица1[[#This Row],[Дата поступления]]</f>
        <v>17</v>
      </c>
      <c r="W92" s="2">
        <f>Таблица1[[#This Row],[Дата поступления]]-Таблица1[[#This Row],[Дата рождения]]</f>
        <v>2827</v>
      </c>
    </row>
    <row r="93" spans="22:23" ht="24.95" customHeight="1" x14ac:dyDescent="0.25">
      <c r="V93" s="2">
        <f>Таблица1[[#This Row],[Дата перевода]]-Таблица1[[#This Row],[Дата поступления]]</f>
        <v>2</v>
      </c>
      <c r="W93" s="2">
        <f>Таблица1[[#This Row],[Дата поступления]]-Таблица1[[#This Row],[Дата рождения]]</f>
        <v>6642</v>
      </c>
    </row>
    <row r="94" spans="22:23" ht="24.95" customHeight="1" x14ac:dyDescent="0.25">
      <c r="V94" s="2">
        <f>Таблица1[[#This Row],[Дата перевода]]-Таблица1[[#This Row],[Дата поступления]]</f>
        <v>1</v>
      </c>
      <c r="W94" s="2">
        <f>Таблица1[[#This Row],[Дата поступления]]-Таблица1[[#This Row],[Дата рождения]]</f>
        <v>1435</v>
      </c>
    </row>
    <row r="95" spans="22:23" ht="24.95" customHeight="1" x14ac:dyDescent="0.25">
      <c r="V95" s="2">
        <f>Таблица1[[#This Row],[Дата перевода]]-Таблица1[[#This Row],[Дата поступления]]</f>
        <v>1</v>
      </c>
      <c r="W95" s="2">
        <f>Таблица1[[#This Row],[Дата поступления]]-Таблица1[[#This Row],[Дата рождения]]</f>
        <v>42</v>
      </c>
    </row>
    <row r="96" spans="22:23" ht="24.95" customHeight="1" x14ac:dyDescent="0.25">
      <c r="V96" s="2">
        <f>Таблица1[[#This Row],[Дата перевода]]-Таблица1[[#This Row],[Дата поступления]]</f>
        <v>1</v>
      </c>
      <c r="W96" s="2">
        <f>Таблица1[[#This Row],[Дата поступления]]-Таблица1[[#This Row],[Дата рождения]]</f>
        <v>5629</v>
      </c>
    </row>
    <row r="97" spans="22:23" ht="24.95" customHeight="1" x14ac:dyDescent="0.25">
      <c r="V97" s="2">
        <f>Таблица1[[#This Row],[Дата перевода]]-Таблица1[[#This Row],[Дата поступления]]</f>
        <v>33</v>
      </c>
      <c r="W97" s="2">
        <f>Таблица1[[#This Row],[Дата поступления]]-Таблица1[[#This Row],[Дата рождения]]</f>
        <v>43</v>
      </c>
    </row>
    <row r="98" spans="22:23" ht="24.95" customHeight="1" x14ac:dyDescent="0.25">
      <c r="V98" s="2">
        <f>Таблица1[[#This Row],[Дата перевода]]-Таблица1[[#This Row],[Дата поступления]]</f>
        <v>1</v>
      </c>
      <c r="W98" s="2">
        <f>Таблица1[[#This Row],[Дата поступления]]-Таблица1[[#This Row],[Дата рождения]]</f>
        <v>5870</v>
      </c>
    </row>
    <row r="99" spans="22:23" ht="24.95" customHeight="1" x14ac:dyDescent="0.25">
      <c r="V99" s="2">
        <f>Таблица1[[#This Row],[Дата перевода]]-Таблица1[[#This Row],[Дата поступления]]</f>
        <v>1</v>
      </c>
      <c r="W99" s="2">
        <f>Таблица1[[#This Row],[Дата поступления]]-Таблица1[[#This Row],[Дата рождения]]</f>
        <v>3861</v>
      </c>
    </row>
    <row r="100" spans="22:23" ht="24.95" customHeight="1" x14ac:dyDescent="0.25">
      <c r="V100" s="2">
        <f>Таблица1[[#This Row],[Дата перевода]]-Таблица1[[#This Row],[Дата поступления]]</f>
        <v>0</v>
      </c>
      <c r="W100" s="2">
        <f>Таблица1[[#This Row],[Дата поступления]]-Таблица1[[#This Row],[Дата рождения]]</f>
        <v>99</v>
      </c>
    </row>
    <row r="101" spans="22:23" ht="24.95" customHeight="1" x14ac:dyDescent="0.25">
      <c r="V101" s="2">
        <f>Таблица1[[#This Row],[Дата перевода]]-Таблица1[[#This Row],[Дата поступления]]</f>
        <v>1</v>
      </c>
      <c r="W101" s="2">
        <f>Таблица1[[#This Row],[Дата поступления]]-Таблица1[[#This Row],[Дата рождения]]</f>
        <v>5825</v>
      </c>
    </row>
    <row r="102" spans="22:23" ht="24.95" customHeight="1" x14ac:dyDescent="0.25">
      <c r="V102" s="2">
        <f>Таблица1[[#This Row],[Дата перевода]]-Таблица1[[#This Row],[Дата поступления]]</f>
        <v>2</v>
      </c>
      <c r="W102" s="2">
        <f>Таблица1[[#This Row],[Дата поступления]]-Таблица1[[#This Row],[Дата рождения]]</f>
        <v>1760</v>
      </c>
    </row>
    <row r="103" spans="22:23" ht="24.95" customHeight="1" x14ac:dyDescent="0.25">
      <c r="V103" s="2">
        <f>Таблица1[[#This Row],[Дата перевода]]-Таблица1[[#This Row],[Дата поступления]]</f>
        <v>1</v>
      </c>
      <c r="W103" s="2">
        <f>Таблица1[[#This Row],[Дата поступления]]-Таблица1[[#This Row],[Дата рождения]]</f>
        <v>6395</v>
      </c>
    </row>
    <row r="104" spans="22:23" ht="24.95" customHeight="1" x14ac:dyDescent="0.25">
      <c r="V104" s="2">
        <f>Таблица1[[#This Row],[Дата перевода]]-Таблица1[[#This Row],[Дата поступления]]</f>
        <v>2</v>
      </c>
      <c r="W104" s="2">
        <f>Таблица1[[#This Row],[Дата поступления]]-Таблица1[[#This Row],[Дата рождения]]</f>
        <v>4183</v>
      </c>
    </row>
    <row r="105" spans="22:23" ht="24.95" customHeight="1" x14ac:dyDescent="0.25">
      <c r="V105" s="2">
        <f>Таблица1[[#This Row],[Дата перевода]]-Таблица1[[#This Row],[Дата поступления]]</f>
        <v>1</v>
      </c>
      <c r="W105" s="2">
        <f>Таблица1[[#This Row],[Дата поступления]]-Таблица1[[#This Row],[Дата рождения]]</f>
        <v>6216</v>
      </c>
    </row>
    <row r="106" spans="22:23" ht="24.95" customHeight="1" x14ac:dyDescent="0.25">
      <c r="V106" s="2">
        <f>Таблица1[[#This Row],[Дата перевода]]-Таблица1[[#This Row],[Дата поступления]]</f>
        <v>7</v>
      </c>
      <c r="W106" s="2">
        <f>Таблица1[[#This Row],[Дата поступления]]-Таблица1[[#This Row],[Дата рождения]]</f>
        <v>239</v>
      </c>
    </row>
    <row r="107" spans="22:23" ht="24.95" customHeight="1" x14ac:dyDescent="0.25">
      <c r="V107" s="2">
        <f>Таблица1[[#This Row],[Дата перевода]]-Таблица1[[#This Row],[Дата поступления]]</f>
        <v>1</v>
      </c>
      <c r="W107" s="2">
        <f>Таблица1[[#This Row],[Дата поступления]]-Таблица1[[#This Row],[Дата рождения]]</f>
        <v>5072</v>
      </c>
    </row>
    <row r="108" spans="22:23" ht="24.95" customHeight="1" x14ac:dyDescent="0.25">
      <c r="V108" s="2">
        <f>Таблица1[[#This Row],[Дата перевода]]-Таблица1[[#This Row],[Дата поступления]]</f>
        <v>3</v>
      </c>
      <c r="W108" s="2">
        <f>Таблица1[[#This Row],[Дата поступления]]-Таблица1[[#This Row],[Дата рождения]]</f>
        <v>1157</v>
      </c>
    </row>
    <row r="109" spans="22:23" ht="24.95" customHeight="1" x14ac:dyDescent="0.25">
      <c r="V109" s="2">
        <f>Таблица1[[#This Row],[Дата перевода]]-Таблица1[[#This Row],[Дата поступления]]</f>
        <v>1</v>
      </c>
      <c r="W109" s="2">
        <f>Таблица1[[#This Row],[Дата поступления]]-Таблица1[[#This Row],[Дата рождения]]</f>
        <v>101</v>
      </c>
    </row>
    <row r="110" spans="22:23" ht="24.95" customHeight="1" x14ac:dyDescent="0.25">
      <c r="V110" s="2">
        <f>Таблица1[[#This Row],[Дата перевода]]-Таблица1[[#This Row],[Дата поступления]]</f>
        <v>0</v>
      </c>
      <c r="W110" s="2">
        <f>Таблица1[[#This Row],[Дата поступления]]-Таблица1[[#This Row],[Дата рождения]]</f>
        <v>5018</v>
      </c>
    </row>
    <row r="111" spans="22:23" ht="24.95" customHeight="1" x14ac:dyDescent="0.25">
      <c r="V111" s="2">
        <f>Таблица1[[#This Row],[Дата перевода]]-Таблица1[[#This Row],[Дата поступления]]</f>
        <v>1</v>
      </c>
      <c r="W111" s="2">
        <f>Таблица1[[#This Row],[Дата поступления]]-Таблица1[[#This Row],[Дата рождения]]</f>
        <v>6518</v>
      </c>
    </row>
    <row r="112" spans="22:23" ht="24.95" customHeight="1" x14ac:dyDescent="0.25">
      <c r="V112" s="2">
        <f>Таблица1[[#This Row],[Дата перевода]]-Таблица1[[#This Row],[Дата поступления]]</f>
        <v>5</v>
      </c>
      <c r="W112" s="2">
        <f>Таблица1[[#This Row],[Дата поступления]]-Таблица1[[#This Row],[Дата рождения]]</f>
        <v>3496</v>
      </c>
    </row>
    <row r="113" spans="22:23" ht="24.95" customHeight="1" x14ac:dyDescent="0.25">
      <c r="V113" s="2">
        <f>Таблица1[[#This Row],[Дата перевода]]-Таблица1[[#This Row],[Дата поступления]]</f>
        <v>0</v>
      </c>
      <c r="W113" s="2">
        <f>Таблица1[[#This Row],[Дата поступления]]-Таблица1[[#This Row],[Дата рождения]]</f>
        <v>2239</v>
      </c>
    </row>
    <row r="114" spans="22:23" ht="24.95" customHeight="1" x14ac:dyDescent="0.25">
      <c r="V114" s="2">
        <f>Таблица1[[#This Row],[Дата перевода]]-Таблица1[[#This Row],[Дата поступления]]</f>
        <v>4</v>
      </c>
      <c r="W114" s="2">
        <f>Таблица1[[#This Row],[Дата поступления]]-Таблица1[[#This Row],[Дата рождения]]</f>
        <v>89</v>
      </c>
    </row>
    <row r="115" spans="22:23" ht="24.95" customHeight="1" x14ac:dyDescent="0.25">
      <c r="V115" s="2">
        <f>Таблица1[[#This Row],[Дата перевода]]-Таблица1[[#This Row],[Дата поступления]]</f>
        <v>26</v>
      </c>
      <c r="W115" s="2">
        <f>Таблица1[[#This Row],[Дата поступления]]-Таблица1[[#This Row],[Дата рождения]]</f>
        <v>5026</v>
      </c>
    </row>
    <row r="116" spans="22:23" ht="24.95" customHeight="1" x14ac:dyDescent="0.25">
      <c r="V116" s="2">
        <f>Таблица1[[#This Row],[Дата перевода]]-Таблица1[[#This Row],[Дата поступления]]</f>
        <v>1</v>
      </c>
      <c r="W116" s="2">
        <f>Таблица1[[#This Row],[Дата поступления]]-Таблица1[[#This Row],[Дата рождения]]</f>
        <v>75</v>
      </c>
    </row>
    <row r="117" spans="22:23" ht="24.95" customHeight="1" x14ac:dyDescent="0.25">
      <c r="V117" s="2">
        <f>Таблица1[[#This Row],[Дата перевода]]-Таблица1[[#This Row],[Дата поступления]]</f>
        <v>2</v>
      </c>
      <c r="W117" s="2">
        <f>Таблица1[[#This Row],[Дата поступления]]-Таблица1[[#This Row],[Дата рождения]]</f>
        <v>439</v>
      </c>
    </row>
    <row r="118" spans="22:23" ht="24.95" customHeight="1" x14ac:dyDescent="0.25">
      <c r="V118" s="2">
        <f>Таблица1[[#This Row],[Дата перевода]]-Таблица1[[#This Row],[Дата поступления]]</f>
        <v>1</v>
      </c>
      <c r="W118" s="2">
        <f>Таблица1[[#This Row],[Дата поступления]]-Таблица1[[#This Row],[Дата рождения]]</f>
        <v>6031</v>
      </c>
    </row>
    <row r="119" spans="22:23" ht="24.95" customHeight="1" x14ac:dyDescent="0.25">
      <c r="V119" s="2">
        <f>Таблица1[[#This Row],[Дата перевода]]-Таблица1[[#This Row],[Дата поступления]]</f>
        <v>2</v>
      </c>
      <c r="W119" s="2">
        <f>Таблица1[[#This Row],[Дата поступления]]-Таблица1[[#This Row],[Дата рождения]]</f>
        <v>6506</v>
      </c>
    </row>
    <row r="120" spans="22:23" ht="24.95" customHeight="1" x14ac:dyDescent="0.25">
      <c r="V120" s="2">
        <f>Таблица1[[#This Row],[Дата перевода]]-Таблица1[[#This Row],[Дата поступления]]</f>
        <v>0</v>
      </c>
      <c r="W120" s="2">
        <f>Таблица1[[#This Row],[Дата поступления]]-Таблица1[[#This Row],[Дата рождения]]</f>
        <v>73</v>
      </c>
    </row>
    <row r="121" spans="22:23" ht="24.95" customHeight="1" x14ac:dyDescent="0.25">
      <c r="V121" s="2">
        <f>Таблица1[[#This Row],[Дата перевода]]-Таблица1[[#This Row],[Дата поступления]]</f>
        <v>2</v>
      </c>
      <c r="W121" s="2">
        <f>Таблица1[[#This Row],[Дата поступления]]-Таблица1[[#This Row],[Дата рождения]]</f>
        <v>181</v>
      </c>
    </row>
    <row r="122" spans="22:23" ht="24.95" customHeight="1" x14ac:dyDescent="0.25">
      <c r="V122" s="2">
        <f>Таблица1[[#This Row],[Дата перевода]]-Таблица1[[#This Row],[Дата поступления]]</f>
        <v>2</v>
      </c>
      <c r="W122" s="2">
        <f>Таблица1[[#This Row],[Дата поступления]]-Таблица1[[#This Row],[Дата рождения]]</f>
        <v>120</v>
      </c>
    </row>
    <row r="123" spans="22:23" ht="24.95" customHeight="1" x14ac:dyDescent="0.25">
      <c r="V123" s="2">
        <f>Таблица1[[#This Row],[Дата перевода]]-Таблица1[[#This Row],[Дата поступления]]</f>
        <v>1</v>
      </c>
      <c r="W123" s="2">
        <f>Таблица1[[#This Row],[Дата поступления]]-Таблица1[[#This Row],[Дата рождения]]</f>
        <v>3794</v>
      </c>
    </row>
    <row r="124" spans="22:23" ht="24.95" customHeight="1" x14ac:dyDescent="0.25">
      <c r="V124" s="2">
        <f>Таблица1[[#This Row],[Дата перевода]]-Таблица1[[#This Row],[Дата поступления]]</f>
        <v>3</v>
      </c>
      <c r="W124" s="2">
        <f>Таблица1[[#This Row],[Дата поступления]]-Таблица1[[#This Row],[Дата рождения]]</f>
        <v>5791</v>
      </c>
    </row>
    <row r="125" spans="22:23" ht="24.95" customHeight="1" x14ac:dyDescent="0.25">
      <c r="V125" s="2">
        <f>Таблица1[[#This Row],[Дата перевода]]-Таблица1[[#This Row],[Дата поступления]]</f>
        <v>1</v>
      </c>
      <c r="W125" s="2">
        <f>Таблица1[[#This Row],[Дата поступления]]-Таблица1[[#This Row],[Дата рождения]]</f>
        <v>981</v>
      </c>
    </row>
    <row r="126" spans="22:23" ht="24.95" customHeight="1" x14ac:dyDescent="0.25">
      <c r="V126" s="2">
        <f>Таблица1[[#This Row],[Дата перевода]]-Таблица1[[#This Row],[Дата поступления]]</f>
        <v>2</v>
      </c>
      <c r="W126" s="2">
        <f>Таблица1[[#This Row],[Дата поступления]]-Таблица1[[#This Row],[Дата рождения]]</f>
        <v>150</v>
      </c>
    </row>
    <row r="127" spans="22:23" ht="24.95" customHeight="1" x14ac:dyDescent="0.25">
      <c r="V127" s="2">
        <f>Таблица1[[#This Row],[Дата перевода]]-Таблица1[[#This Row],[Дата поступления]]</f>
        <v>2</v>
      </c>
      <c r="W127" s="2">
        <f>Таблица1[[#This Row],[Дата поступления]]-Таблица1[[#This Row],[Дата рождения]]</f>
        <v>215</v>
      </c>
    </row>
    <row r="128" spans="22:23" ht="24.95" customHeight="1" x14ac:dyDescent="0.25">
      <c r="V128" s="2">
        <f>Таблица1[[#This Row],[Дата перевода]]-Таблица1[[#This Row],[Дата поступления]]</f>
        <v>3</v>
      </c>
      <c r="W128" s="2">
        <f>Таблица1[[#This Row],[Дата поступления]]-Таблица1[[#This Row],[Дата рождения]]</f>
        <v>257</v>
      </c>
    </row>
    <row r="129" spans="22:23" ht="24.95" customHeight="1" x14ac:dyDescent="0.25">
      <c r="V129" s="2">
        <f>Таблица1[[#This Row],[Дата перевода]]-Таблица1[[#This Row],[Дата поступления]]</f>
        <v>1</v>
      </c>
      <c r="W129" s="2">
        <f>Таблица1[[#This Row],[Дата поступления]]-Таблица1[[#This Row],[Дата рождения]]</f>
        <v>523</v>
      </c>
    </row>
    <row r="130" spans="22:23" ht="24.95" customHeight="1" x14ac:dyDescent="0.25">
      <c r="V130" s="2">
        <f>Таблица1[[#This Row],[Дата перевода]]-Таблица1[[#This Row],[Дата поступления]]</f>
        <v>13</v>
      </c>
      <c r="W130" s="2">
        <f>Таблица1[[#This Row],[Дата поступления]]-Таблица1[[#This Row],[Дата рождения]]</f>
        <v>3205</v>
      </c>
    </row>
    <row r="131" spans="22:23" ht="24.95" customHeight="1" x14ac:dyDescent="0.25">
      <c r="V131" s="2">
        <f>Таблица1[[#This Row],[Дата перевода]]-Таблица1[[#This Row],[Дата поступления]]</f>
        <v>0</v>
      </c>
      <c r="W131" s="2">
        <f>Таблица1[[#This Row],[Дата поступления]]-Таблица1[[#This Row],[Дата рождения]]</f>
        <v>29</v>
      </c>
    </row>
    <row r="132" spans="22:23" ht="24.95" customHeight="1" x14ac:dyDescent="0.25">
      <c r="V132" s="2">
        <f>Таблица1[[#This Row],[Дата перевода]]-Таблица1[[#This Row],[Дата поступления]]</f>
        <v>1</v>
      </c>
      <c r="W132" s="2">
        <f>Таблица1[[#This Row],[Дата поступления]]-Таблица1[[#This Row],[Дата рождения]]</f>
        <v>5991</v>
      </c>
    </row>
    <row r="133" spans="22:23" ht="24.95" customHeight="1" x14ac:dyDescent="0.25">
      <c r="V133" s="2">
        <f>Таблица1[[#This Row],[Дата перевода]]-Таблица1[[#This Row],[Дата поступления]]</f>
        <v>2</v>
      </c>
      <c r="W133" s="2">
        <f>Таблица1[[#This Row],[Дата поступления]]-Таблица1[[#This Row],[Дата рождения]]</f>
        <v>4233</v>
      </c>
    </row>
    <row r="134" spans="22:23" ht="24.95" customHeight="1" x14ac:dyDescent="0.25">
      <c r="V134" s="2">
        <f>Таблица1[[#This Row],[Дата перевода]]-Таблица1[[#This Row],[Дата поступления]]</f>
        <v>15</v>
      </c>
      <c r="W134" s="2">
        <f>Таблица1[[#This Row],[Дата поступления]]-Таблица1[[#This Row],[Дата рождения]]</f>
        <v>4536</v>
      </c>
    </row>
    <row r="135" spans="22:23" ht="24.95" customHeight="1" x14ac:dyDescent="0.25">
      <c r="V135" s="2">
        <f>Таблица1[[#This Row],[Дата перевода]]-Таблица1[[#This Row],[Дата поступления]]</f>
        <v>1</v>
      </c>
      <c r="W135" s="2">
        <f>Таблица1[[#This Row],[Дата поступления]]-Таблица1[[#This Row],[Дата рождения]]</f>
        <v>5943</v>
      </c>
    </row>
    <row r="136" spans="22:23" ht="24.95" customHeight="1" x14ac:dyDescent="0.25">
      <c r="V136" s="2">
        <f>Таблица1[[#This Row],[Дата перевода]]-Таблица1[[#This Row],[Дата поступления]]</f>
        <v>1</v>
      </c>
      <c r="W136" s="2">
        <f>Таблица1[[#This Row],[Дата поступления]]-Таблица1[[#This Row],[Дата рождения]]</f>
        <v>2863</v>
      </c>
    </row>
    <row r="137" spans="22:23" ht="24.95" customHeight="1" x14ac:dyDescent="0.25">
      <c r="V137" s="2">
        <f>Таблица1[[#This Row],[Дата перевода]]-Таблица1[[#This Row],[Дата поступления]]</f>
        <v>1</v>
      </c>
      <c r="W137" s="2">
        <f>Таблица1[[#This Row],[Дата поступления]]-Таблица1[[#This Row],[Дата рождения]]</f>
        <v>5491</v>
      </c>
    </row>
    <row r="138" spans="22:23" ht="24.95" customHeight="1" x14ac:dyDescent="0.25">
      <c r="V138" s="2">
        <f>Таблица1[[#This Row],[Дата перевода]]-Таблица1[[#This Row],[Дата поступления]]</f>
        <v>2</v>
      </c>
      <c r="W138" s="2">
        <f>Таблица1[[#This Row],[Дата поступления]]-Таблица1[[#This Row],[Дата рождения]]</f>
        <v>1182</v>
      </c>
    </row>
    <row r="139" spans="22:23" ht="24.95" customHeight="1" x14ac:dyDescent="0.25">
      <c r="V139" s="2">
        <f>Таблица1[[#This Row],[Дата перевода]]-Таблица1[[#This Row],[Дата поступления]]</f>
        <v>2</v>
      </c>
      <c r="W139" s="2">
        <f>Таблица1[[#This Row],[Дата поступления]]-Таблица1[[#This Row],[Дата рождения]]</f>
        <v>409</v>
      </c>
    </row>
    <row r="140" spans="22:23" ht="24.95" customHeight="1" x14ac:dyDescent="0.25">
      <c r="V140" s="2">
        <f>Таблица1[[#This Row],[Дата перевода]]-Таблица1[[#This Row],[Дата поступления]]</f>
        <v>1</v>
      </c>
      <c r="W140" s="2">
        <f>Таблица1[[#This Row],[Дата поступления]]-Таблица1[[#This Row],[Дата рождения]]</f>
        <v>5507</v>
      </c>
    </row>
    <row r="141" spans="22:23" ht="24.95" customHeight="1" x14ac:dyDescent="0.25">
      <c r="V141" s="2">
        <f>Таблица1[[#This Row],[Дата перевода]]-Таблица1[[#This Row],[Дата поступления]]</f>
        <v>1</v>
      </c>
      <c r="W141" s="2">
        <f>Таблица1[[#This Row],[Дата поступления]]-Таблица1[[#This Row],[Дата рождения]]</f>
        <v>5187</v>
      </c>
    </row>
    <row r="142" spans="22:23" ht="24.95" customHeight="1" x14ac:dyDescent="0.25">
      <c r="V142" s="2">
        <f>Таблица1[[#This Row],[Дата перевода]]-Таблица1[[#This Row],[Дата поступления]]</f>
        <v>1</v>
      </c>
      <c r="W142" s="2">
        <f>Таблица1[[#This Row],[Дата поступления]]-Таблица1[[#This Row],[Дата рождения]]</f>
        <v>2856</v>
      </c>
    </row>
    <row r="143" spans="22:23" ht="24.95" customHeight="1" x14ac:dyDescent="0.25">
      <c r="V143" s="2">
        <f>Таблица1[[#This Row],[Дата перевода]]-Таблица1[[#This Row],[Дата поступления]]</f>
        <v>1</v>
      </c>
      <c r="W143" s="2">
        <f>Таблица1[[#This Row],[Дата поступления]]-Таблица1[[#This Row],[Дата рождения]]</f>
        <v>6192</v>
      </c>
    </row>
    <row r="144" spans="22:23" ht="24.95" customHeight="1" x14ac:dyDescent="0.25">
      <c r="V144" s="2">
        <f>Таблица1[[#This Row],[Дата перевода]]-Таблица1[[#This Row],[Дата поступления]]</f>
        <v>5</v>
      </c>
      <c r="W144" s="2">
        <f>Таблица1[[#This Row],[Дата поступления]]-Таблица1[[#This Row],[Дата рождения]]</f>
        <v>1575</v>
      </c>
    </row>
    <row r="145" spans="22:23" ht="24.95" customHeight="1" x14ac:dyDescent="0.25">
      <c r="V145" s="2">
        <f>Таблица1[[#This Row],[Дата перевода]]-Таблица1[[#This Row],[Дата поступления]]</f>
        <v>5</v>
      </c>
      <c r="W145" s="2">
        <f>Таблица1[[#This Row],[Дата поступления]]-Таблица1[[#This Row],[Дата рождения]]</f>
        <v>6396</v>
      </c>
    </row>
    <row r="146" spans="22:23" ht="24.95" customHeight="1" x14ac:dyDescent="0.25">
      <c r="V146" s="2">
        <f>Таблица1[[#This Row],[Дата перевода]]-Таблица1[[#This Row],[Дата поступления]]</f>
        <v>3</v>
      </c>
      <c r="W146" s="2">
        <f>Таблица1[[#This Row],[Дата поступления]]-Таблица1[[#This Row],[Дата рождения]]</f>
        <v>4976</v>
      </c>
    </row>
    <row r="147" spans="22:23" ht="24.95" customHeight="1" x14ac:dyDescent="0.25">
      <c r="V147" s="2">
        <f>Таблица1[[#This Row],[Дата перевода]]-Таблица1[[#This Row],[Дата поступления]]</f>
        <v>4</v>
      </c>
      <c r="W147" s="2">
        <f>Таблица1[[#This Row],[Дата поступления]]-Таблица1[[#This Row],[Дата рождения]]</f>
        <v>6237</v>
      </c>
    </row>
    <row r="148" spans="22:23" ht="24.95" customHeight="1" x14ac:dyDescent="0.25">
      <c r="V148" s="2">
        <f>Таблица1[[#This Row],[Дата перевода]]-Таблица1[[#This Row],[Дата поступления]]</f>
        <v>3</v>
      </c>
      <c r="W148" s="2">
        <f>Таблица1[[#This Row],[Дата поступления]]-Таблица1[[#This Row],[Дата рождения]]</f>
        <v>0</v>
      </c>
    </row>
    <row r="149" spans="22:23" ht="24.95" customHeight="1" x14ac:dyDescent="0.25">
      <c r="V149" s="2">
        <f>Таблица1[[#This Row],[Дата перевода]]-Таблица1[[#This Row],[Дата поступления]]</f>
        <v>13</v>
      </c>
      <c r="W149" s="2">
        <f>Таблица1[[#This Row],[Дата поступления]]-Таблица1[[#This Row],[Дата рождения]]</f>
        <v>6403</v>
      </c>
    </row>
    <row r="150" spans="22:23" ht="24.95" customHeight="1" x14ac:dyDescent="0.25">
      <c r="V150" s="2">
        <f>Таблица1[[#This Row],[Дата перевода]]-Таблица1[[#This Row],[Дата поступления]]</f>
        <v>20</v>
      </c>
      <c r="W150" s="2">
        <f>Таблица1[[#This Row],[Дата поступления]]-Таблица1[[#This Row],[Дата рождения]]</f>
        <v>32</v>
      </c>
    </row>
    <row r="151" spans="22:23" ht="24.95" customHeight="1" x14ac:dyDescent="0.25">
      <c r="V151" s="2">
        <f>Таблица1[[#This Row],[Дата перевода]]-Таблица1[[#This Row],[Дата поступления]]</f>
        <v>5</v>
      </c>
      <c r="W151" s="2">
        <f>Таблица1[[#This Row],[Дата поступления]]-Таблица1[[#This Row],[Дата рождения]]</f>
        <v>77</v>
      </c>
    </row>
    <row r="152" spans="22:23" ht="24.95" customHeight="1" x14ac:dyDescent="0.25">
      <c r="V152" s="2">
        <f>Таблица1[[#This Row],[Дата перевода]]-Таблица1[[#This Row],[Дата поступления]]</f>
        <v>5</v>
      </c>
      <c r="W152" s="2">
        <f>Таблица1[[#This Row],[Дата поступления]]-Таблица1[[#This Row],[Дата рождения]]</f>
        <v>2730</v>
      </c>
    </row>
    <row r="153" spans="22:23" ht="24.95" customHeight="1" x14ac:dyDescent="0.25">
      <c r="V153" s="2">
        <f>Таблица1[[#This Row],[Дата перевода]]-Таблица1[[#This Row],[Дата поступления]]</f>
        <v>10</v>
      </c>
      <c r="W153" s="2">
        <f>Таблица1[[#This Row],[Дата поступления]]-Таблица1[[#This Row],[Дата рождения]]</f>
        <v>359</v>
      </c>
    </row>
    <row r="154" spans="22:23" ht="24.95" customHeight="1" x14ac:dyDescent="0.25">
      <c r="V154" s="2">
        <f>Таблица1[[#This Row],[Дата перевода]]-Таблица1[[#This Row],[Дата поступления]]</f>
        <v>2</v>
      </c>
      <c r="W154" s="2">
        <f>Таблица1[[#This Row],[Дата поступления]]-Таблица1[[#This Row],[Дата рождения]]</f>
        <v>3511</v>
      </c>
    </row>
    <row r="155" spans="22:23" ht="24.95" customHeight="1" x14ac:dyDescent="0.25">
      <c r="V155" s="2">
        <f>Таблица1[[#This Row],[Дата перевода]]-Таблица1[[#This Row],[Дата поступления]]</f>
        <v>2</v>
      </c>
      <c r="W155" s="2">
        <f>Таблица1[[#This Row],[Дата поступления]]-Таблица1[[#This Row],[Дата рождения]]</f>
        <v>3519</v>
      </c>
    </row>
    <row r="156" spans="22:23" ht="24.95" customHeight="1" x14ac:dyDescent="0.25">
      <c r="V156" s="2">
        <f>Таблица1[[#This Row],[Дата перевода]]-Таблица1[[#This Row],[Дата поступления]]</f>
        <v>3</v>
      </c>
      <c r="W156" s="2">
        <f>Таблица1[[#This Row],[Дата поступления]]-Таблица1[[#This Row],[Дата рождения]]</f>
        <v>39</v>
      </c>
    </row>
    <row r="157" spans="22:23" ht="24.95" customHeight="1" x14ac:dyDescent="0.25">
      <c r="V157" s="2">
        <f>Таблица1[[#This Row],[Дата перевода]]-Таблица1[[#This Row],[Дата поступления]]</f>
        <v>1</v>
      </c>
      <c r="W157" s="2">
        <f>Таблица1[[#This Row],[Дата поступления]]-Таблица1[[#This Row],[Дата рождения]]</f>
        <v>2673</v>
      </c>
    </row>
    <row r="158" spans="22:23" ht="24.95" customHeight="1" x14ac:dyDescent="0.25">
      <c r="V158" s="2">
        <f>Таблица1[[#This Row],[Дата перевода]]-Таблица1[[#This Row],[Дата поступления]]</f>
        <v>4</v>
      </c>
      <c r="W158" s="2">
        <f>Таблица1[[#This Row],[Дата поступления]]-Таблица1[[#This Row],[Дата рождения]]</f>
        <v>5775</v>
      </c>
    </row>
    <row r="159" spans="22:23" ht="24.95" customHeight="1" x14ac:dyDescent="0.25">
      <c r="V159" s="2">
        <f>Таблица1[[#This Row],[Дата перевода]]-Таблица1[[#This Row],[Дата поступления]]</f>
        <v>1</v>
      </c>
      <c r="W159" s="2">
        <f>Таблица1[[#This Row],[Дата поступления]]-Таблица1[[#This Row],[Дата рождения]]</f>
        <v>4618</v>
      </c>
    </row>
    <row r="160" spans="22:23" ht="24.95" customHeight="1" x14ac:dyDescent="0.25">
      <c r="V160" s="2">
        <f>Таблица1[[#This Row],[Дата перевода]]-Таблица1[[#This Row],[Дата поступления]]</f>
        <v>4</v>
      </c>
      <c r="W160" s="2">
        <f>Таблица1[[#This Row],[Дата поступления]]-Таблица1[[#This Row],[Дата рождения]]</f>
        <v>370</v>
      </c>
    </row>
    <row r="161" spans="22:23" ht="24.95" customHeight="1" x14ac:dyDescent="0.25">
      <c r="V161" s="2">
        <f>Таблица1[[#This Row],[Дата перевода]]-Таблица1[[#This Row],[Дата поступления]]</f>
        <v>1</v>
      </c>
      <c r="W161" s="2">
        <f>Таблица1[[#This Row],[Дата поступления]]-Таблица1[[#This Row],[Дата рождения]]</f>
        <v>5862</v>
      </c>
    </row>
    <row r="162" spans="22:23" ht="24.95" customHeight="1" x14ac:dyDescent="0.25">
      <c r="V162" s="2">
        <f>Таблица1[[#This Row],[Дата перевода]]-Таблица1[[#This Row],[Дата поступления]]</f>
        <v>1</v>
      </c>
      <c r="W162" s="2">
        <f>Таблица1[[#This Row],[Дата поступления]]-Таблица1[[#This Row],[Дата рождения]]</f>
        <v>4979</v>
      </c>
    </row>
    <row r="163" spans="22:23" ht="24.95" customHeight="1" x14ac:dyDescent="0.25">
      <c r="V163" s="2">
        <f>Таблица1[[#This Row],[Дата перевода]]-Таблица1[[#This Row],[Дата поступления]]</f>
        <v>2</v>
      </c>
      <c r="W163" s="2">
        <f>Таблица1[[#This Row],[Дата поступления]]-Таблица1[[#This Row],[Дата рождения]]</f>
        <v>2996</v>
      </c>
    </row>
    <row r="164" spans="22:23" ht="24.95" customHeight="1" x14ac:dyDescent="0.25">
      <c r="V164" s="2">
        <f>Таблица1[[#This Row],[Дата перевода]]-Таблица1[[#This Row],[Дата поступления]]</f>
        <v>2</v>
      </c>
      <c r="W164" s="2">
        <f>Таблица1[[#This Row],[Дата поступления]]-Таблица1[[#This Row],[Дата рождения]]</f>
        <v>3003</v>
      </c>
    </row>
    <row r="165" spans="22:23" ht="24.95" customHeight="1" x14ac:dyDescent="0.25">
      <c r="V165" s="2">
        <f>Таблица1[[#This Row],[Дата перевода]]-Таблица1[[#This Row],[Дата поступления]]</f>
        <v>2</v>
      </c>
      <c r="W165" s="2">
        <f>Таблица1[[#This Row],[Дата поступления]]-Таблица1[[#This Row],[Дата рождения]]</f>
        <v>3006</v>
      </c>
    </row>
    <row r="166" spans="22:23" ht="24.95" customHeight="1" x14ac:dyDescent="0.25">
      <c r="V166" s="2">
        <f>Таблица1[[#This Row],[Дата перевода]]-Таблица1[[#This Row],[Дата поступления]]</f>
        <v>1</v>
      </c>
      <c r="W166" s="2">
        <f>Таблица1[[#This Row],[Дата поступления]]-Таблица1[[#This Row],[Дата рождения]]</f>
        <v>5496</v>
      </c>
    </row>
    <row r="167" spans="22:23" ht="24.95" customHeight="1" x14ac:dyDescent="0.25">
      <c r="V167" s="2">
        <f>Таблица1[[#This Row],[Дата перевода]]-Таблица1[[#This Row],[Дата поступления]]</f>
        <v>1</v>
      </c>
      <c r="W167" s="2">
        <f>Таблица1[[#This Row],[Дата поступления]]-Таблица1[[#This Row],[Дата рождения]]</f>
        <v>3861</v>
      </c>
    </row>
    <row r="168" spans="22:23" ht="24.95" customHeight="1" x14ac:dyDescent="0.25">
      <c r="V168" s="2">
        <f>Таблица1[[#This Row],[Дата перевода]]-Таблица1[[#This Row],[Дата поступления]]</f>
        <v>0</v>
      </c>
      <c r="W168" s="2">
        <f>Таблица1[[#This Row],[Дата поступления]]-Таблица1[[#This Row],[Дата рождения]]</f>
        <v>6562</v>
      </c>
    </row>
    <row r="169" spans="22:23" ht="24.95" customHeight="1" x14ac:dyDescent="0.25">
      <c r="V169" s="2">
        <f>Таблица1[[#This Row],[Дата перевода]]-Таблица1[[#This Row],[Дата поступления]]</f>
        <v>0</v>
      </c>
      <c r="W169" s="2">
        <f>Таблица1[[#This Row],[Дата поступления]]-Таблица1[[#This Row],[Дата рождения]]</f>
        <v>2591</v>
      </c>
    </row>
    <row r="170" spans="22:23" ht="24.95" customHeight="1" x14ac:dyDescent="0.25">
      <c r="V170" s="2">
        <f>Таблица1[[#This Row],[Дата перевода]]-Таблица1[[#This Row],[Дата поступления]]</f>
        <v>0</v>
      </c>
      <c r="W170" s="2">
        <f>Таблица1[[#This Row],[Дата поступления]]-Таблица1[[#This Row],[Дата рождения]]</f>
        <v>3380</v>
      </c>
    </row>
    <row r="171" spans="22:23" ht="24.95" customHeight="1" x14ac:dyDescent="0.25">
      <c r="V171" s="2">
        <f>Таблица1[[#This Row],[Дата перевода]]-Таблица1[[#This Row],[Дата поступления]]</f>
        <v>8</v>
      </c>
      <c r="W171" s="2">
        <f>Таблица1[[#This Row],[Дата поступления]]-Таблица1[[#This Row],[Дата рождения]]</f>
        <v>25</v>
      </c>
    </row>
    <row r="172" spans="22:23" ht="24.95" customHeight="1" x14ac:dyDescent="0.25">
      <c r="V172" s="2">
        <f>Таблица1[[#This Row],[Дата перевода]]-Таблица1[[#This Row],[Дата поступления]]</f>
        <v>2</v>
      </c>
      <c r="W172" s="2">
        <f>Таблица1[[#This Row],[Дата поступления]]-Таблица1[[#This Row],[Дата рождения]]</f>
        <v>4202</v>
      </c>
    </row>
    <row r="173" spans="22:23" ht="24.95" customHeight="1" x14ac:dyDescent="0.25">
      <c r="V173" s="2">
        <f>Таблица1[[#This Row],[Дата перевода]]-Таблица1[[#This Row],[Дата поступления]]</f>
        <v>1</v>
      </c>
      <c r="W173" s="2">
        <f>Таблица1[[#This Row],[Дата поступления]]-Таблица1[[#This Row],[Дата рождения]]</f>
        <v>5058</v>
      </c>
    </row>
    <row r="174" spans="22:23" ht="24.95" customHeight="1" x14ac:dyDescent="0.25">
      <c r="V174" s="2">
        <f>Таблица1[[#This Row],[Дата перевода]]-Таблица1[[#This Row],[Дата поступления]]</f>
        <v>1</v>
      </c>
      <c r="W174" s="2">
        <f>Таблица1[[#This Row],[Дата поступления]]-Таблица1[[#This Row],[Дата рождения]]</f>
        <v>5068</v>
      </c>
    </row>
    <row r="175" spans="22:23" ht="24.95" customHeight="1" x14ac:dyDescent="0.25">
      <c r="V175" s="2">
        <f>Таблица1[[#This Row],[Дата перевода]]-Таблица1[[#This Row],[Дата поступления]]</f>
        <v>0</v>
      </c>
      <c r="W175" s="2">
        <f>Таблица1[[#This Row],[Дата поступления]]-Таблица1[[#This Row],[Дата рождения]]</f>
        <v>1504</v>
      </c>
    </row>
    <row r="176" spans="22:23" ht="24.95" customHeight="1" x14ac:dyDescent="0.25">
      <c r="V176" s="2">
        <f>Таблица1[[#This Row],[Дата перевода]]-Таблица1[[#This Row],[Дата поступления]]</f>
        <v>1</v>
      </c>
      <c r="W176" s="2">
        <f>Таблица1[[#This Row],[Дата поступления]]-Таблица1[[#This Row],[Дата рождения]]</f>
        <v>380</v>
      </c>
    </row>
    <row r="177" spans="22:23" ht="24.95" customHeight="1" x14ac:dyDescent="0.25">
      <c r="V177" s="2">
        <f>Таблица1[[#This Row],[Дата перевода]]-Таблица1[[#This Row],[Дата поступления]]</f>
        <v>1</v>
      </c>
      <c r="W177" s="2">
        <f>Таблица1[[#This Row],[Дата поступления]]-Таблица1[[#This Row],[Дата рождения]]</f>
        <v>775</v>
      </c>
    </row>
    <row r="178" spans="22:23" ht="24.95" customHeight="1" x14ac:dyDescent="0.25">
      <c r="V178" s="2">
        <f>Таблица1[[#This Row],[Дата перевода]]-Таблица1[[#This Row],[Дата поступления]]</f>
        <v>3</v>
      </c>
      <c r="W178" s="2">
        <f>Таблица1[[#This Row],[Дата поступления]]-Таблица1[[#This Row],[Дата рождения]]</f>
        <v>40</v>
      </c>
    </row>
    <row r="179" spans="22:23" ht="24.95" customHeight="1" x14ac:dyDescent="0.25">
      <c r="V179" s="2">
        <f>Таблица1[[#This Row],[Дата перевода]]-Таблица1[[#This Row],[Дата поступления]]</f>
        <v>1</v>
      </c>
      <c r="W179" s="2">
        <f>Таблица1[[#This Row],[Дата поступления]]-Таблица1[[#This Row],[Дата рождения]]</f>
        <v>4557</v>
      </c>
    </row>
    <row r="180" spans="22:23" ht="24.95" customHeight="1" x14ac:dyDescent="0.25">
      <c r="V180" s="2">
        <f>Таблица1[[#This Row],[Дата перевода]]-Таблица1[[#This Row],[Дата поступления]]</f>
        <v>148</v>
      </c>
      <c r="W180" s="2">
        <f>Таблица1[[#This Row],[Дата поступления]]-Таблица1[[#This Row],[Дата рождения]]</f>
        <v>32</v>
      </c>
    </row>
    <row r="181" spans="22:23" ht="24.95" customHeight="1" x14ac:dyDescent="0.25">
      <c r="V181" s="2">
        <f>Таблица1[[#This Row],[Дата перевода]]-Таблица1[[#This Row],[Дата поступления]]</f>
        <v>2</v>
      </c>
      <c r="W181" s="2">
        <f>Таблица1[[#This Row],[Дата поступления]]-Таблица1[[#This Row],[Дата рождения]]</f>
        <v>432</v>
      </c>
    </row>
    <row r="182" spans="22:23" ht="24.95" customHeight="1" x14ac:dyDescent="0.25">
      <c r="V182" s="2">
        <f>Таблица1[[#This Row],[Дата перевода]]-Таблица1[[#This Row],[Дата поступления]]</f>
        <v>1</v>
      </c>
      <c r="W182" s="2">
        <f>Таблица1[[#This Row],[Дата поступления]]-Таблица1[[#This Row],[Дата рождения]]</f>
        <v>1540</v>
      </c>
    </row>
    <row r="183" spans="22:23" ht="24.95" customHeight="1" x14ac:dyDescent="0.25">
      <c r="V183" s="2">
        <f>Таблица1[[#This Row],[Дата перевода]]-Таблица1[[#This Row],[Дата поступления]]</f>
        <v>1</v>
      </c>
      <c r="W183" s="2">
        <f>Таблица1[[#This Row],[Дата поступления]]-Таблица1[[#This Row],[Дата рождения]]</f>
        <v>662</v>
      </c>
    </row>
    <row r="184" spans="22:23" ht="24.95" customHeight="1" x14ac:dyDescent="0.25">
      <c r="V184" s="2">
        <f>Таблица1[[#This Row],[Дата перевода]]-Таблица1[[#This Row],[Дата поступления]]</f>
        <v>1</v>
      </c>
      <c r="W184" s="2">
        <f>Таблица1[[#This Row],[Дата поступления]]-Таблица1[[#This Row],[Дата рождения]]</f>
        <v>236</v>
      </c>
    </row>
    <row r="185" spans="22:23" ht="24.95" customHeight="1" x14ac:dyDescent="0.25">
      <c r="V185" s="2">
        <f>Таблица1[[#This Row],[Дата перевода]]-Таблица1[[#This Row],[Дата поступления]]</f>
        <v>1</v>
      </c>
      <c r="W185" s="2">
        <f>Таблица1[[#This Row],[Дата поступления]]-Таблица1[[#This Row],[Дата рождения]]</f>
        <v>1351</v>
      </c>
    </row>
    <row r="186" spans="22:23" ht="24.95" customHeight="1" x14ac:dyDescent="0.25">
      <c r="V186" s="2">
        <f>Таблица1[[#This Row],[Дата перевода]]-Таблица1[[#This Row],[Дата поступления]]</f>
        <v>2</v>
      </c>
      <c r="W186" s="2">
        <f>Таблица1[[#This Row],[Дата поступления]]-Таблица1[[#This Row],[Дата рождения]]</f>
        <v>585</v>
      </c>
    </row>
    <row r="187" spans="22:23" ht="24.95" customHeight="1" x14ac:dyDescent="0.25">
      <c r="V187" s="2">
        <f>Таблица1[[#This Row],[Дата перевода]]-Таблица1[[#This Row],[Дата поступления]]</f>
        <v>0</v>
      </c>
      <c r="W187" s="2">
        <f>Таблица1[[#This Row],[Дата поступления]]-Таблица1[[#This Row],[Дата рождения]]</f>
        <v>4599</v>
      </c>
    </row>
    <row r="188" spans="22:23" ht="24.95" customHeight="1" x14ac:dyDescent="0.25">
      <c r="V188" s="2">
        <f>Таблица1[[#This Row],[Дата перевода]]-Таблица1[[#This Row],[Дата поступления]]</f>
        <v>4</v>
      </c>
      <c r="W188" s="2">
        <f>Таблица1[[#This Row],[Дата поступления]]-Таблица1[[#This Row],[Дата рождения]]</f>
        <v>2539</v>
      </c>
    </row>
    <row r="189" spans="22:23" ht="24.95" customHeight="1" x14ac:dyDescent="0.25">
      <c r="V189" s="2">
        <f>Таблица1[[#This Row],[Дата перевода]]-Таблица1[[#This Row],[Дата поступления]]</f>
        <v>2</v>
      </c>
      <c r="W189" s="2">
        <f>Таблица1[[#This Row],[Дата поступления]]-Таблица1[[#This Row],[Дата рождения]]</f>
        <v>2983</v>
      </c>
    </row>
    <row r="190" spans="22:23" ht="24.95" customHeight="1" x14ac:dyDescent="0.25">
      <c r="V190" s="2">
        <f>Таблица1[[#This Row],[Дата перевода]]-Таблица1[[#This Row],[Дата поступления]]</f>
        <v>1</v>
      </c>
      <c r="W190" s="2">
        <f>Таблица1[[#This Row],[Дата поступления]]-Таблица1[[#This Row],[Дата рождения]]</f>
        <v>4484</v>
      </c>
    </row>
    <row r="191" spans="22:23" ht="24.95" customHeight="1" x14ac:dyDescent="0.25">
      <c r="V191" s="2">
        <f>Таблица1[[#This Row],[Дата перевода]]-Таблица1[[#This Row],[Дата поступления]]</f>
        <v>4</v>
      </c>
      <c r="W191" s="2">
        <f>Таблица1[[#This Row],[Дата поступления]]-Таблица1[[#This Row],[Дата рождения]]</f>
        <v>5652</v>
      </c>
    </row>
    <row r="192" spans="22:23" ht="24.95" customHeight="1" x14ac:dyDescent="0.25">
      <c r="V192" s="2">
        <f>Таблица1[[#This Row],[Дата перевода]]-Таблица1[[#This Row],[Дата поступления]]</f>
        <v>2</v>
      </c>
      <c r="W192" s="2">
        <f>Таблица1[[#This Row],[Дата поступления]]-Таблица1[[#This Row],[Дата рождения]]</f>
        <v>3927</v>
      </c>
    </row>
    <row r="193" spans="22:23" ht="24.95" customHeight="1" x14ac:dyDescent="0.25">
      <c r="V193" s="2">
        <f>Таблица1[[#This Row],[Дата перевода]]-Таблица1[[#This Row],[Дата поступления]]</f>
        <v>1</v>
      </c>
      <c r="W193" s="2">
        <f>Таблица1[[#This Row],[Дата поступления]]-Таблица1[[#This Row],[Дата рождения]]</f>
        <v>5107</v>
      </c>
    </row>
    <row r="194" spans="22:23" ht="24.95" customHeight="1" x14ac:dyDescent="0.25">
      <c r="V194" s="2">
        <f>Таблица1[[#This Row],[Дата перевода]]-Таблица1[[#This Row],[Дата поступления]]</f>
        <v>1</v>
      </c>
      <c r="W194" s="2">
        <f>Таблица1[[#This Row],[Дата поступления]]-Таблица1[[#This Row],[Дата рождения]]</f>
        <v>5096</v>
      </c>
    </row>
    <row r="195" spans="22:23" ht="24.95" customHeight="1" x14ac:dyDescent="0.25">
      <c r="V195" s="2">
        <f>Таблица1[[#This Row],[Дата перевода]]-Таблица1[[#This Row],[Дата поступления]]</f>
        <v>9</v>
      </c>
      <c r="W195" s="2">
        <f>Таблица1[[#This Row],[Дата поступления]]-Таблица1[[#This Row],[Дата рождения]]</f>
        <v>2280</v>
      </c>
    </row>
    <row r="196" spans="22:23" ht="24.95" customHeight="1" x14ac:dyDescent="0.25">
      <c r="V196" s="2">
        <f>Таблица1[[#This Row],[Дата перевода]]-Таблица1[[#This Row],[Дата поступления]]</f>
        <v>9</v>
      </c>
      <c r="W196" s="2">
        <f>Таблица1[[#This Row],[Дата поступления]]-Таблица1[[#This Row],[Дата рождения]]</f>
        <v>4755</v>
      </c>
    </row>
    <row r="197" spans="22:23" ht="24.95" customHeight="1" x14ac:dyDescent="0.25">
      <c r="V197" s="2">
        <f>Таблица1[[#This Row],[Дата перевода]]-Таблица1[[#This Row],[Дата поступления]]</f>
        <v>2</v>
      </c>
      <c r="W197" s="2">
        <f>Таблица1[[#This Row],[Дата поступления]]-Таблица1[[#This Row],[Дата рождения]]</f>
        <v>1096</v>
      </c>
    </row>
    <row r="198" spans="22:23" ht="24.95" customHeight="1" x14ac:dyDescent="0.25">
      <c r="V198" s="2">
        <f>Таблица1[[#This Row],[Дата перевода]]-Таблица1[[#This Row],[Дата поступления]]</f>
        <v>2</v>
      </c>
      <c r="W198" s="2">
        <f>Таблица1[[#This Row],[Дата поступления]]-Таблица1[[#This Row],[Дата рождения]]</f>
        <v>3804</v>
      </c>
    </row>
    <row r="199" spans="22:23" ht="24.95" customHeight="1" x14ac:dyDescent="0.25">
      <c r="V199" s="2">
        <f>Таблица1[[#This Row],[Дата перевода]]-Таблица1[[#This Row],[Дата поступления]]</f>
        <v>1</v>
      </c>
      <c r="W199" s="2">
        <f>Таблица1[[#This Row],[Дата поступления]]-Таблица1[[#This Row],[Дата рождения]]</f>
        <v>5694</v>
      </c>
    </row>
    <row r="200" spans="22:23" ht="24.95" customHeight="1" x14ac:dyDescent="0.25">
      <c r="V200" s="2">
        <f>Таблица1[[#This Row],[Дата перевода]]-Таблица1[[#This Row],[Дата поступления]]</f>
        <v>1</v>
      </c>
      <c r="W200" s="2">
        <f>Таблица1[[#This Row],[Дата поступления]]-Таблица1[[#This Row],[Дата рождения]]</f>
        <v>2652</v>
      </c>
    </row>
    <row r="201" spans="22:23" ht="24.95" customHeight="1" x14ac:dyDescent="0.25">
      <c r="V201" s="2">
        <f>Таблица1[[#This Row],[Дата перевода]]-Таблица1[[#This Row],[Дата поступления]]</f>
        <v>0</v>
      </c>
      <c r="W201" s="2">
        <f>Таблица1[[#This Row],[Дата поступления]]-Таблица1[[#This Row],[Дата рождения]]</f>
        <v>949</v>
      </c>
    </row>
    <row r="202" spans="22:23" ht="24.95" customHeight="1" x14ac:dyDescent="0.25">
      <c r="V202" s="2">
        <f>Таблица1[[#This Row],[Дата перевода]]-Таблица1[[#This Row],[Дата поступления]]</f>
        <v>4</v>
      </c>
      <c r="W202" s="2">
        <f>Таблица1[[#This Row],[Дата поступления]]-Таблица1[[#This Row],[Дата рождения]]</f>
        <v>4175</v>
      </c>
    </row>
    <row r="203" spans="22:23" ht="24.95" customHeight="1" x14ac:dyDescent="0.25">
      <c r="V203" s="2">
        <f>Таблица1[[#This Row],[Дата перевода]]-Таблица1[[#This Row],[Дата поступления]]</f>
        <v>2</v>
      </c>
      <c r="W203" s="2">
        <f>Таблица1[[#This Row],[Дата поступления]]-Таблица1[[#This Row],[Дата рождения]]</f>
        <v>2043</v>
      </c>
    </row>
    <row r="204" spans="22:23" ht="24.95" customHeight="1" x14ac:dyDescent="0.25">
      <c r="V204" s="2">
        <f>Таблица1[[#This Row],[Дата перевода]]-Таблица1[[#This Row],[Дата поступления]]</f>
        <v>0</v>
      </c>
      <c r="W204" s="2">
        <f>Таблица1[[#This Row],[Дата поступления]]-Таблица1[[#This Row],[Дата рождения]]</f>
        <v>6562</v>
      </c>
    </row>
    <row r="205" spans="22:23" ht="24.95" customHeight="1" x14ac:dyDescent="0.25">
      <c r="V205" s="2">
        <f>Таблица1[[#This Row],[Дата перевода]]-Таблица1[[#This Row],[Дата поступления]]</f>
        <v>2</v>
      </c>
      <c r="W205" s="2">
        <f>Таблица1[[#This Row],[Дата поступления]]-Таблица1[[#This Row],[Дата рождения]]</f>
        <v>577</v>
      </c>
    </row>
    <row r="206" spans="22:23" ht="24.95" customHeight="1" x14ac:dyDescent="0.25">
      <c r="V206" s="2">
        <f>Таблица1[[#This Row],[Дата перевода]]-Таблица1[[#This Row],[Дата поступления]]</f>
        <v>1</v>
      </c>
      <c r="W206" s="2">
        <f>Таблица1[[#This Row],[Дата поступления]]-Таблица1[[#This Row],[Дата рождения]]</f>
        <v>4907</v>
      </c>
    </row>
    <row r="207" spans="22:23" ht="24.95" customHeight="1" x14ac:dyDescent="0.25">
      <c r="V207" s="2">
        <f>Таблица1[[#This Row],[Дата перевода]]-Таблица1[[#This Row],[Дата поступления]]</f>
        <v>1</v>
      </c>
      <c r="W207" s="2">
        <f>Таблица1[[#This Row],[Дата поступления]]-Таблица1[[#This Row],[Дата рождения]]</f>
        <v>3151</v>
      </c>
    </row>
    <row r="208" spans="22:23" ht="24.95" customHeight="1" x14ac:dyDescent="0.25">
      <c r="V208" s="2">
        <f>Таблица1[[#This Row],[Дата перевода]]-Таблица1[[#This Row],[Дата поступления]]</f>
        <v>1</v>
      </c>
      <c r="W208" s="2">
        <f>Таблица1[[#This Row],[Дата поступления]]-Таблица1[[#This Row],[Дата рождения]]</f>
        <v>6305</v>
      </c>
    </row>
    <row r="209" spans="22:23" ht="24.95" customHeight="1" x14ac:dyDescent="0.25">
      <c r="V209" s="2">
        <f>Таблица1[[#This Row],[Дата перевода]]-Таблица1[[#This Row],[Дата поступления]]</f>
        <v>0</v>
      </c>
      <c r="W209" s="2">
        <f>Таблица1[[#This Row],[Дата поступления]]-Таблица1[[#This Row],[Дата рождения]]</f>
        <v>6455</v>
      </c>
    </row>
    <row r="210" spans="22:23" ht="24.95" customHeight="1" x14ac:dyDescent="0.25">
      <c r="V210" s="2">
        <f>Таблица1[[#This Row],[Дата перевода]]-Таблица1[[#This Row],[Дата поступления]]</f>
        <v>0</v>
      </c>
      <c r="W210" s="2">
        <f>Таблица1[[#This Row],[Дата поступления]]-Таблица1[[#This Row],[Дата рождения]]</f>
        <v>6570</v>
      </c>
    </row>
    <row r="211" spans="22:23" ht="24.95" customHeight="1" x14ac:dyDescent="0.25">
      <c r="V211" s="2">
        <f>Таблица1[[#This Row],[Дата перевода]]-Таблица1[[#This Row],[Дата поступления]]</f>
        <v>1</v>
      </c>
      <c r="W211" s="2">
        <f>Таблица1[[#This Row],[Дата поступления]]-Таблица1[[#This Row],[Дата рождения]]</f>
        <v>4738</v>
      </c>
    </row>
    <row r="212" spans="22:23" ht="24.95" customHeight="1" x14ac:dyDescent="0.25">
      <c r="V212" s="2">
        <f>Таблица1[[#This Row],[Дата перевода]]-Таблица1[[#This Row],[Дата поступления]]</f>
        <v>1</v>
      </c>
      <c r="W212" s="2">
        <f>Таблица1[[#This Row],[Дата поступления]]-Таблица1[[#This Row],[Дата рождения]]</f>
        <v>4825</v>
      </c>
    </row>
    <row r="213" spans="22:23" ht="24.95" customHeight="1" x14ac:dyDescent="0.25">
      <c r="V213" s="2">
        <f>Таблица1[[#This Row],[Дата перевода]]-Таблица1[[#This Row],[Дата поступления]]</f>
        <v>0</v>
      </c>
      <c r="W213" s="2">
        <f>Таблица1[[#This Row],[Дата поступления]]-Таблица1[[#This Row],[Дата рождения]]</f>
        <v>6496</v>
      </c>
    </row>
    <row r="214" spans="22:23" ht="24.95" customHeight="1" x14ac:dyDescent="0.25">
      <c r="V214" s="2">
        <f>Таблица1[[#This Row],[Дата перевода]]-Таблица1[[#This Row],[Дата поступления]]</f>
        <v>1</v>
      </c>
      <c r="W214" s="2">
        <f>Таблица1[[#This Row],[Дата поступления]]-Таблица1[[#This Row],[Дата рождения]]</f>
        <v>3127</v>
      </c>
    </row>
    <row r="215" spans="22:23" ht="24.95" customHeight="1" x14ac:dyDescent="0.25">
      <c r="V215" s="2">
        <f>Таблица1[[#This Row],[Дата перевода]]-Таблица1[[#This Row],[Дата поступления]]</f>
        <v>1</v>
      </c>
      <c r="W215" s="2">
        <f>Таблица1[[#This Row],[Дата поступления]]-Таблица1[[#This Row],[Дата рождения]]</f>
        <v>5845</v>
      </c>
    </row>
    <row r="216" spans="22:23" ht="24.95" customHeight="1" x14ac:dyDescent="0.25">
      <c r="V216" s="2">
        <f>Таблица1[[#This Row],[Дата перевода]]-Таблица1[[#This Row],[Дата поступления]]</f>
        <v>3</v>
      </c>
      <c r="W216" s="2">
        <f>Таблица1[[#This Row],[Дата поступления]]-Таблица1[[#This Row],[Дата рождения]]</f>
        <v>5495</v>
      </c>
    </row>
    <row r="217" spans="22:23" ht="24.95" customHeight="1" x14ac:dyDescent="0.25">
      <c r="V217" s="2">
        <f>Таблица1[[#This Row],[Дата перевода]]-Таблица1[[#This Row],[Дата поступления]]</f>
        <v>1</v>
      </c>
      <c r="W217" s="2">
        <f>Таблица1[[#This Row],[Дата поступления]]-Таблица1[[#This Row],[Дата рождения]]</f>
        <v>6136</v>
      </c>
    </row>
    <row r="218" spans="22:23" ht="24.95" customHeight="1" x14ac:dyDescent="0.25">
      <c r="V218" s="2">
        <f>Таблица1[[#This Row],[Дата перевода]]-Таблица1[[#This Row],[Дата поступления]]</f>
        <v>1</v>
      </c>
      <c r="W218" s="2">
        <f>Таблица1[[#This Row],[Дата поступления]]-Таблица1[[#This Row],[Дата рождения]]</f>
        <v>812</v>
      </c>
    </row>
    <row r="219" spans="22:23" ht="24.95" customHeight="1" x14ac:dyDescent="0.25">
      <c r="V219" s="2">
        <f>Таблица1[[#This Row],[Дата перевода]]-Таблица1[[#This Row],[Дата поступления]]</f>
        <v>15</v>
      </c>
      <c r="W219" s="2">
        <f>Таблица1[[#This Row],[Дата поступления]]-Таблица1[[#This Row],[Дата рождения]]</f>
        <v>2291</v>
      </c>
    </row>
    <row r="220" spans="22:23" ht="24.95" customHeight="1" x14ac:dyDescent="0.25">
      <c r="V220" s="2">
        <f>Таблица1[[#This Row],[Дата перевода]]-Таблица1[[#This Row],[Дата поступления]]</f>
        <v>1</v>
      </c>
      <c r="W220" s="2">
        <f>Таблица1[[#This Row],[Дата поступления]]-Таблица1[[#This Row],[Дата рождения]]</f>
        <v>410</v>
      </c>
    </row>
    <row r="221" spans="22:23" ht="24.95" customHeight="1" x14ac:dyDescent="0.25">
      <c r="V221" s="2">
        <f>Таблица1[[#This Row],[Дата перевода]]-Таблица1[[#This Row],[Дата поступления]]</f>
        <v>0</v>
      </c>
      <c r="W221" s="2">
        <f>Таблица1[[#This Row],[Дата поступления]]-Таблица1[[#This Row],[Дата рождения]]</f>
        <v>87</v>
      </c>
    </row>
    <row r="222" spans="22:23" ht="24.95" customHeight="1" x14ac:dyDescent="0.25">
      <c r="V222" s="2">
        <f>Таблица1[[#This Row],[Дата перевода]]-Таблица1[[#This Row],[Дата поступления]]</f>
        <v>0</v>
      </c>
      <c r="W222" s="2">
        <f>Таблица1[[#This Row],[Дата поступления]]-Таблица1[[#This Row],[Дата рождения]]</f>
        <v>6567</v>
      </c>
    </row>
    <row r="223" spans="22:23" ht="24.95" customHeight="1" x14ac:dyDescent="0.25">
      <c r="V223" s="2">
        <f>Таблица1[[#This Row],[Дата перевода]]-Таблица1[[#This Row],[Дата поступления]]</f>
        <v>1</v>
      </c>
      <c r="W223" s="2">
        <f>Таблица1[[#This Row],[Дата поступления]]-Таблица1[[#This Row],[Дата рождения]]</f>
        <v>5930</v>
      </c>
    </row>
    <row r="224" spans="22:23" ht="24.95" customHeight="1" x14ac:dyDescent="0.25">
      <c r="V224" s="2">
        <f>Таблица1[[#This Row],[Дата перевода]]-Таблица1[[#This Row],[Дата поступления]]</f>
        <v>2</v>
      </c>
      <c r="W224" s="2">
        <f>Таблица1[[#This Row],[Дата поступления]]-Таблица1[[#This Row],[Дата рождения]]</f>
        <v>2830</v>
      </c>
    </row>
    <row r="225" spans="22:23" ht="24.95" customHeight="1" x14ac:dyDescent="0.25">
      <c r="V225" s="2">
        <f>Таблица1[[#This Row],[Дата перевода]]-Таблица1[[#This Row],[Дата поступления]]</f>
        <v>9</v>
      </c>
      <c r="W225" s="2">
        <f>Таблица1[[#This Row],[Дата поступления]]-Таблица1[[#This Row],[Дата рождения]]</f>
        <v>2909</v>
      </c>
    </row>
    <row r="226" spans="22:23" ht="24.95" customHeight="1" x14ac:dyDescent="0.25">
      <c r="V226" s="2">
        <f>Таблица1[[#This Row],[Дата перевода]]-Таблица1[[#This Row],[Дата поступления]]</f>
        <v>2</v>
      </c>
      <c r="W226" s="2">
        <f>Таблица1[[#This Row],[Дата поступления]]-Таблица1[[#This Row],[Дата рождения]]</f>
        <v>5030</v>
      </c>
    </row>
    <row r="227" spans="22:23" ht="24.95" customHeight="1" x14ac:dyDescent="0.25">
      <c r="V227" s="2">
        <f>Таблица1[[#This Row],[Дата перевода]]-Таблица1[[#This Row],[Дата поступления]]</f>
        <v>1</v>
      </c>
      <c r="W227" s="2">
        <f>Таблица1[[#This Row],[Дата поступления]]-Таблица1[[#This Row],[Дата рождения]]</f>
        <v>584</v>
      </c>
    </row>
    <row r="228" spans="22:23" ht="24.95" customHeight="1" x14ac:dyDescent="0.25">
      <c r="V228" s="2">
        <f>Таблица1[[#This Row],[Дата перевода]]-Таблица1[[#This Row],[Дата поступления]]</f>
        <v>7</v>
      </c>
      <c r="W228" s="2">
        <f>Таблица1[[#This Row],[Дата поступления]]-Таблица1[[#This Row],[Дата рождения]]</f>
        <v>5724</v>
      </c>
    </row>
    <row r="229" spans="22:23" ht="24.95" customHeight="1" x14ac:dyDescent="0.25">
      <c r="V229" s="2">
        <f>Таблица1[[#This Row],[Дата перевода]]-Таблица1[[#This Row],[Дата поступления]]</f>
        <v>3</v>
      </c>
      <c r="W229" s="2">
        <f>Таблица1[[#This Row],[Дата поступления]]-Таблица1[[#This Row],[Дата рождения]]</f>
        <v>6071</v>
      </c>
    </row>
    <row r="230" spans="22:23" ht="24.95" customHeight="1" x14ac:dyDescent="0.25">
      <c r="V230" s="2">
        <f>Таблица1[[#This Row],[Дата перевода]]-Таблица1[[#This Row],[Дата поступления]]</f>
        <v>1</v>
      </c>
      <c r="W230" s="2">
        <f>Таблица1[[#This Row],[Дата поступления]]-Таблица1[[#This Row],[Дата рождения]]</f>
        <v>4312</v>
      </c>
    </row>
    <row r="231" spans="22:23" ht="24.95" customHeight="1" x14ac:dyDescent="0.25">
      <c r="V231" s="2">
        <f>Таблица1[[#This Row],[Дата перевода]]-Таблица1[[#This Row],[Дата поступления]]</f>
        <v>2</v>
      </c>
      <c r="W231" s="2">
        <f>Таблица1[[#This Row],[Дата поступления]]-Таблица1[[#This Row],[Дата рождения]]</f>
        <v>6059</v>
      </c>
    </row>
    <row r="232" spans="22:23" ht="24.95" customHeight="1" x14ac:dyDescent="0.25">
      <c r="V232" s="2">
        <f>Таблица1[[#This Row],[Дата перевода]]-Таблица1[[#This Row],[Дата поступления]]</f>
        <v>0</v>
      </c>
      <c r="W232" s="2">
        <f>Таблица1[[#This Row],[Дата поступления]]-Таблица1[[#This Row],[Дата рождения]]</f>
        <v>1833</v>
      </c>
    </row>
    <row r="233" spans="22:23" ht="24.95" customHeight="1" x14ac:dyDescent="0.25">
      <c r="V233" s="2">
        <f>Таблица1[[#This Row],[Дата перевода]]-Таблица1[[#This Row],[Дата поступления]]</f>
        <v>0</v>
      </c>
      <c r="W233" s="2">
        <f>Таблица1[[#This Row],[Дата поступления]]-Таблица1[[#This Row],[Дата рождения]]</f>
        <v>19</v>
      </c>
    </row>
    <row r="234" spans="22:23" ht="24.95" customHeight="1" x14ac:dyDescent="0.25">
      <c r="V234" s="2">
        <f>Таблица1[[#This Row],[Дата перевода]]-Таблица1[[#This Row],[Дата поступления]]</f>
        <v>2</v>
      </c>
      <c r="W234" s="2">
        <f>Таблица1[[#This Row],[Дата поступления]]-Таблица1[[#This Row],[Дата рождения]]</f>
        <v>28</v>
      </c>
    </row>
    <row r="235" spans="22:23" ht="24.95" customHeight="1" x14ac:dyDescent="0.25">
      <c r="V235" s="2">
        <f>Таблица1[[#This Row],[Дата перевода]]-Таблица1[[#This Row],[Дата поступления]]</f>
        <v>3</v>
      </c>
      <c r="W235" s="2">
        <f>Таблица1[[#This Row],[Дата поступления]]-Таблица1[[#This Row],[Дата рождения]]</f>
        <v>5670</v>
      </c>
    </row>
    <row r="236" spans="22:23" ht="24.95" customHeight="1" x14ac:dyDescent="0.25">
      <c r="V236" s="2">
        <f>Таблица1[[#This Row],[Дата перевода]]-Таблица1[[#This Row],[Дата поступления]]</f>
        <v>1</v>
      </c>
      <c r="W236" s="2">
        <f>Таблица1[[#This Row],[Дата поступления]]-Таблица1[[#This Row],[Дата рождения]]</f>
        <v>5004</v>
      </c>
    </row>
    <row r="237" spans="22:23" ht="24.95" customHeight="1" x14ac:dyDescent="0.25">
      <c r="V237" s="2">
        <f>Таблица1[[#This Row],[Дата перевода]]-Таблица1[[#This Row],[Дата поступления]]</f>
        <v>1</v>
      </c>
      <c r="W237" s="2">
        <f>Таблица1[[#This Row],[Дата поступления]]-Таблица1[[#This Row],[Дата рождения]]</f>
        <v>6186</v>
      </c>
    </row>
    <row r="238" spans="22:23" ht="24.95" customHeight="1" x14ac:dyDescent="0.25">
      <c r="V238" s="2">
        <f>Таблица1[[#This Row],[Дата перевода]]-Таблица1[[#This Row],[Дата поступления]]</f>
        <v>2</v>
      </c>
      <c r="W238" s="2">
        <f>Таблица1[[#This Row],[Дата поступления]]-Таблица1[[#This Row],[Дата рождения]]</f>
        <v>2881</v>
      </c>
    </row>
    <row r="239" spans="22:23" ht="24.95" customHeight="1" x14ac:dyDescent="0.25">
      <c r="V239" s="2">
        <f>Таблица1[[#This Row],[Дата перевода]]-Таблица1[[#This Row],[Дата поступления]]</f>
        <v>1</v>
      </c>
      <c r="W239" s="2">
        <f>Таблица1[[#This Row],[Дата поступления]]-Таблица1[[#This Row],[Дата рождения]]</f>
        <v>2015</v>
      </c>
    </row>
    <row r="240" spans="22:23" ht="24.95" customHeight="1" x14ac:dyDescent="0.25">
      <c r="V240" s="2">
        <f>Таблица1[[#This Row],[Дата перевода]]-Таблица1[[#This Row],[Дата поступления]]</f>
        <v>9</v>
      </c>
      <c r="W240" s="2">
        <f>Таблица1[[#This Row],[Дата поступления]]-Таблица1[[#This Row],[Дата рождения]]</f>
        <v>5326</v>
      </c>
    </row>
    <row r="241" spans="22:23" ht="24.95" customHeight="1" x14ac:dyDescent="0.25">
      <c r="V241" s="2">
        <f>Таблица1[[#This Row],[Дата перевода]]-Таблица1[[#This Row],[Дата поступления]]</f>
        <v>1</v>
      </c>
      <c r="W241" s="2">
        <f>Таблица1[[#This Row],[Дата поступления]]-Таблица1[[#This Row],[Дата рождения]]</f>
        <v>4697</v>
      </c>
    </row>
    <row r="242" spans="22:23" ht="24.95" customHeight="1" x14ac:dyDescent="0.25">
      <c r="V242" s="2">
        <f>Таблица1[[#This Row],[Дата перевода]]-Таблица1[[#This Row],[Дата поступления]]</f>
        <v>3</v>
      </c>
      <c r="W242" s="2">
        <f>Таблица1[[#This Row],[Дата поступления]]-Таблица1[[#This Row],[Дата рождения]]</f>
        <v>4404</v>
      </c>
    </row>
    <row r="243" spans="22:23" ht="24.95" customHeight="1" x14ac:dyDescent="0.25">
      <c r="V243" s="2">
        <f>Таблица1[[#This Row],[Дата перевода]]-Таблица1[[#This Row],[Дата поступления]]</f>
        <v>8</v>
      </c>
      <c r="W243" s="2">
        <f>Таблица1[[#This Row],[Дата поступления]]-Таблица1[[#This Row],[Дата рождения]]</f>
        <v>2921</v>
      </c>
    </row>
    <row r="244" spans="22:23" ht="24.95" customHeight="1" x14ac:dyDescent="0.25">
      <c r="V244" s="2">
        <f>Таблица1[[#This Row],[Дата перевода]]-Таблица1[[#This Row],[Дата поступления]]</f>
        <v>4</v>
      </c>
      <c r="W244" s="2">
        <f>Таблица1[[#This Row],[Дата поступления]]-Таблица1[[#This Row],[Дата рождения]]</f>
        <v>1537</v>
      </c>
    </row>
    <row r="245" spans="22:23" ht="24.95" customHeight="1" x14ac:dyDescent="0.25">
      <c r="V245" s="2">
        <f>Таблица1[[#This Row],[Дата перевода]]-Таблица1[[#This Row],[Дата поступления]]</f>
        <v>1</v>
      </c>
      <c r="W245" s="2">
        <f>Таблица1[[#This Row],[Дата поступления]]-Таблица1[[#This Row],[Дата рождения]]</f>
        <v>1020</v>
      </c>
    </row>
    <row r="246" spans="22:23" ht="24.95" customHeight="1" x14ac:dyDescent="0.25">
      <c r="V246" s="2">
        <f>Таблица1[[#This Row],[Дата перевода]]-Таблица1[[#This Row],[Дата поступления]]</f>
        <v>2</v>
      </c>
      <c r="W246" s="2">
        <f>Таблица1[[#This Row],[Дата поступления]]-Таблица1[[#This Row],[Дата рождения]]</f>
        <v>2895</v>
      </c>
    </row>
    <row r="247" spans="22:23" ht="24.95" customHeight="1" x14ac:dyDescent="0.25">
      <c r="V247" s="2">
        <f>Таблица1[[#This Row],[Дата перевода]]-Таблица1[[#This Row],[Дата поступления]]</f>
        <v>3</v>
      </c>
      <c r="W247" s="2">
        <f>Таблица1[[#This Row],[Дата поступления]]-Таблица1[[#This Row],[Дата рождения]]</f>
        <v>1854</v>
      </c>
    </row>
    <row r="248" spans="22:23" ht="24.95" customHeight="1" x14ac:dyDescent="0.25">
      <c r="V248" s="2">
        <f>Таблица1[[#This Row],[Дата перевода]]-Таблица1[[#This Row],[Дата поступления]]</f>
        <v>1</v>
      </c>
      <c r="W248" s="2">
        <f>Таблица1[[#This Row],[Дата поступления]]-Таблица1[[#This Row],[Дата рождения]]</f>
        <v>6410</v>
      </c>
    </row>
    <row r="249" spans="22:23" ht="24.95" customHeight="1" x14ac:dyDescent="0.25">
      <c r="V249" s="2">
        <f>Таблица1[[#This Row],[Дата перевода]]-Таблица1[[#This Row],[Дата поступления]]</f>
        <v>2</v>
      </c>
      <c r="W249" s="2">
        <f>Таблица1[[#This Row],[Дата поступления]]-Таблица1[[#This Row],[Дата рождения]]</f>
        <v>200</v>
      </c>
    </row>
    <row r="250" spans="22:23" ht="24.95" customHeight="1" x14ac:dyDescent="0.25">
      <c r="V250" s="2">
        <f>Таблица1[[#This Row],[Дата перевода]]-Таблица1[[#This Row],[Дата поступления]]</f>
        <v>9</v>
      </c>
      <c r="W250" s="2">
        <f>Таблица1[[#This Row],[Дата поступления]]-Таблица1[[#This Row],[Дата рождения]]</f>
        <v>5131</v>
      </c>
    </row>
    <row r="251" spans="22:23" ht="24.95" customHeight="1" x14ac:dyDescent="0.25">
      <c r="V251" s="2">
        <f>Таблица1[[#This Row],[Дата перевода]]-Таблица1[[#This Row],[Дата поступления]]</f>
        <v>1</v>
      </c>
      <c r="W251" s="2">
        <f>Таблица1[[#This Row],[Дата поступления]]-Таблица1[[#This Row],[Дата рождения]]</f>
        <v>241</v>
      </c>
    </row>
    <row r="252" spans="22:23" ht="24.95" customHeight="1" x14ac:dyDescent="0.25">
      <c r="V252" s="2">
        <f>Таблица1[[#This Row],[Дата перевода]]-Таблица1[[#This Row],[Дата поступления]]</f>
        <v>1</v>
      </c>
      <c r="W252" s="2">
        <f>Таблица1[[#This Row],[Дата поступления]]-Таблица1[[#This Row],[Дата рождения]]</f>
        <v>499</v>
      </c>
    </row>
    <row r="253" spans="22:23" ht="24.95" customHeight="1" x14ac:dyDescent="0.25">
      <c r="V253" s="2">
        <f>Таблица1[[#This Row],[Дата перевода]]-Таблица1[[#This Row],[Дата поступления]]</f>
        <v>1</v>
      </c>
      <c r="W253" s="2">
        <f>Таблица1[[#This Row],[Дата поступления]]-Таблица1[[#This Row],[Дата рождения]]</f>
        <v>3477</v>
      </c>
    </row>
    <row r="254" spans="22:23" ht="24.95" customHeight="1" x14ac:dyDescent="0.25">
      <c r="V254" s="2">
        <f>Таблица1[[#This Row],[Дата перевода]]-Таблица1[[#This Row],[Дата поступления]]</f>
        <v>1</v>
      </c>
      <c r="W254" s="2">
        <f>Таблица1[[#This Row],[Дата поступления]]-Таблица1[[#This Row],[Дата рождения]]</f>
        <v>105</v>
      </c>
    </row>
    <row r="255" spans="22:23" ht="24.95" customHeight="1" x14ac:dyDescent="0.25">
      <c r="V255" s="2">
        <f>Таблица1[[#This Row],[Дата перевода]]-Таблица1[[#This Row],[Дата поступления]]</f>
        <v>4</v>
      </c>
      <c r="W255" s="2">
        <f>Таблица1[[#This Row],[Дата поступления]]-Таблица1[[#This Row],[Дата рождения]]</f>
        <v>6558</v>
      </c>
    </row>
    <row r="256" spans="22:23" ht="24.95" customHeight="1" x14ac:dyDescent="0.25">
      <c r="V256" s="2">
        <f>Таблица1[[#This Row],[Дата перевода]]-Таблица1[[#This Row],[Дата поступления]]</f>
        <v>4</v>
      </c>
      <c r="W256" s="2">
        <f>Таблица1[[#This Row],[Дата поступления]]-Таблица1[[#This Row],[Дата рождения]]</f>
        <v>146</v>
      </c>
    </row>
    <row r="257" spans="22:23" ht="24.95" customHeight="1" x14ac:dyDescent="0.25">
      <c r="V257" s="2">
        <f>Таблица1[[#This Row],[Дата перевода]]-Таблица1[[#This Row],[Дата поступления]]</f>
        <v>2</v>
      </c>
      <c r="W257" s="2">
        <f>Таблица1[[#This Row],[Дата поступления]]-Таблица1[[#This Row],[Дата рождения]]</f>
        <v>5078</v>
      </c>
    </row>
    <row r="258" spans="22:23" ht="24.95" customHeight="1" x14ac:dyDescent="0.25">
      <c r="V258" s="2">
        <f>Таблица1[[#This Row],[Дата перевода]]-Таблица1[[#This Row],[Дата поступления]]</f>
        <v>2</v>
      </c>
      <c r="W258" s="2">
        <f>Таблица1[[#This Row],[Дата поступления]]-Таблица1[[#This Row],[Дата рождения]]</f>
        <v>247</v>
      </c>
    </row>
    <row r="259" spans="22:23" ht="24.95" customHeight="1" x14ac:dyDescent="0.25">
      <c r="V259" s="2">
        <f>Таблица1[[#This Row],[Дата перевода]]-Таблица1[[#This Row],[Дата поступления]]</f>
        <v>2</v>
      </c>
      <c r="W259" s="2">
        <f>Таблица1[[#This Row],[Дата поступления]]-Таблица1[[#This Row],[Дата рождения]]</f>
        <v>5148</v>
      </c>
    </row>
    <row r="260" spans="22:23" ht="24.95" customHeight="1" x14ac:dyDescent="0.25">
      <c r="V260" s="2">
        <f>Таблица1[[#This Row],[Дата перевода]]-Таблица1[[#This Row],[Дата поступления]]</f>
        <v>2</v>
      </c>
      <c r="W260" s="2">
        <f>Таблица1[[#This Row],[Дата поступления]]-Таблица1[[#This Row],[Дата рождения]]</f>
        <v>22</v>
      </c>
    </row>
    <row r="261" spans="22:23" ht="24.95" customHeight="1" x14ac:dyDescent="0.25">
      <c r="V261" s="2">
        <f>Таблица1[[#This Row],[Дата перевода]]-Таблица1[[#This Row],[Дата поступления]]</f>
        <v>1</v>
      </c>
      <c r="W261" s="2">
        <f>Таблица1[[#This Row],[Дата поступления]]-Таблица1[[#This Row],[Дата рождения]]</f>
        <v>4364</v>
      </c>
    </row>
    <row r="262" spans="22:23" ht="24.95" customHeight="1" x14ac:dyDescent="0.25">
      <c r="V262" s="2">
        <f>Таблица1[[#This Row],[Дата перевода]]-Таблица1[[#This Row],[Дата поступления]]</f>
        <v>0</v>
      </c>
      <c r="W262" s="2">
        <f>Таблица1[[#This Row],[Дата поступления]]-Таблица1[[#This Row],[Дата рождения]]</f>
        <v>5403</v>
      </c>
    </row>
    <row r="263" spans="22:23" ht="24.95" customHeight="1" x14ac:dyDescent="0.25">
      <c r="V263" s="2">
        <f>Таблица1[[#This Row],[Дата перевода]]-Таблица1[[#This Row],[Дата поступления]]</f>
        <v>1</v>
      </c>
      <c r="W263" s="2">
        <f>Таблица1[[#This Row],[Дата поступления]]-Таблица1[[#This Row],[Дата рождения]]</f>
        <v>2038</v>
      </c>
    </row>
    <row r="264" spans="22:23" ht="24.95" customHeight="1" x14ac:dyDescent="0.25">
      <c r="V264" s="2">
        <f>Таблица1[[#This Row],[Дата перевода]]-Таблица1[[#This Row],[Дата поступления]]</f>
        <v>3</v>
      </c>
      <c r="W264" s="2">
        <f>Таблица1[[#This Row],[Дата поступления]]-Таблица1[[#This Row],[Дата рождения]]</f>
        <v>3313</v>
      </c>
    </row>
    <row r="265" spans="22:23" ht="24.95" customHeight="1" x14ac:dyDescent="0.25">
      <c r="V265" s="2">
        <f>Таблица1[[#This Row],[Дата перевода]]-Таблица1[[#This Row],[Дата поступления]]</f>
        <v>1</v>
      </c>
      <c r="W265" s="2">
        <f>Таблица1[[#This Row],[Дата поступления]]-Таблица1[[#This Row],[Дата рождения]]</f>
        <v>3089</v>
      </c>
    </row>
    <row r="266" spans="22:23" ht="24.95" customHeight="1" x14ac:dyDescent="0.25">
      <c r="V266" s="2">
        <f>Таблица1[[#This Row],[Дата перевода]]-Таблица1[[#This Row],[Дата поступления]]</f>
        <v>1</v>
      </c>
      <c r="W266" s="2">
        <f>Таблица1[[#This Row],[Дата поступления]]-Таблица1[[#This Row],[Дата рождения]]</f>
        <v>1749</v>
      </c>
    </row>
    <row r="267" spans="22:23" ht="24.95" customHeight="1" x14ac:dyDescent="0.25">
      <c r="V267" s="2">
        <f>Таблица1[[#This Row],[Дата перевода]]-Таблица1[[#This Row],[Дата поступления]]</f>
        <v>2</v>
      </c>
      <c r="W267" s="2">
        <f>Таблица1[[#This Row],[Дата поступления]]-Таблица1[[#This Row],[Дата рождения]]</f>
        <v>6569</v>
      </c>
    </row>
    <row r="268" spans="22:23" ht="24.95" customHeight="1" x14ac:dyDescent="0.25">
      <c r="V268" s="2">
        <f>Таблица1[[#This Row],[Дата перевода]]-Таблица1[[#This Row],[Дата поступления]]</f>
        <v>4</v>
      </c>
      <c r="W268" s="2">
        <f>Таблица1[[#This Row],[Дата поступления]]-Таблица1[[#This Row],[Дата рождения]]</f>
        <v>6395</v>
      </c>
    </row>
    <row r="269" spans="22:23" ht="24.95" customHeight="1" x14ac:dyDescent="0.25">
      <c r="V269" s="2">
        <f>Таблица1[[#This Row],[Дата перевода]]-Таблица1[[#This Row],[Дата поступления]]</f>
        <v>7</v>
      </c>
      <c r="W269" s="2">
        <f>Таблица1[[#This Row],[Дата поступления]]-Таблица1[[#This Row],[Дата рождения]]</f>
        <v>1868</v>
      </c>
    </row>
    <row r="270" spans="22:23" ht="24.95" customHeight="1" x14ac:dyDescent="0.25">
      <c r="V270" s="2">
        <f>Таблица1[[#This Row],[Дата перевода]]-Таблица1[[#This Row],[Дата поступления]]</f>
        <v>3</v>
      </c>
      <c r="W270" s="2">
        <f>Таблица1[[#This Row],[Дата поступления]]-Таблица1[[#This Row],[Дата рождения]]</f>
        <v>1023</v>
      </c>
    </row>
    <row r="271" spans="22:23" ht="24.95" customHeight="1" x14ac:dyDescent="0.25">
      <c r="V271" s="2">
        <f>Таблица1[[#This Row],[Дата перевода]]-Таблица1[[#This Row],[Дата поступления]]</f>
        <v>2</v>
      </c>
      <c r="W271" s="2">
        <f>Таблица1[[#This Row],[Дата поступления]]-Таблица1[[#This Row],[Дата рождения]]</f>
        <v>6067</v>
      </c>
    </row>
    <row r="272" spans="22:23" ht="24.95" customHeight="1" x14ac:dyDescent="0.25">
      <c r="V272" s="2">
        <f>Таблица1[[#This Row],[Дата перевода]]-Таблица1[[#This Row],[Дата поступления]]</f>
        <v>1</v>
      </c>
      <c r="W272" s="2">
        <f>Таблица1[[#This Row],[Дата поступления]]-Таблица1[[#This Row],[Дата рождения]]</f>
        <v>1339</v>
      </c>
    </row>
    <row r="273" spans="22:23" ht="24.95" customHeight="1" x14ac:dyDescent="0.25">
      <c r="V273" s="2">
        <f>Таблица1[[#This Row],[Дата перевода]]-Таблица1[[#This Row],[Дата поступления]]</f>
        <v>21</v>
      </c>
      <c r="W273" s="2">
        <f>Таблица1[[#This Row],[Дата поступления]]-Таблица1[[#This Row],[Дата рождения]]</f>
        <v>723</v>
      </c>
    </row>
    <row r="274" spans="22:23" ht="24.95" customHeight="1" x14ac:dyDescent="0.25">
      <c r="V274" s="2">
        <f>Таблица1[[#This Row],[Дата перевода]]-Таблица1[[#This Row],[Дата поступления]]</f>
        <v>2</v>
      </c>
      <c r="W274" s="2">
        <f>Таблица1[[#This Row],[Дата поступления]]-Таблица1[[#This Row],[Дата рождения]]</f>
        <v>1676</v>
      </c>
    </row>
    <row r="275" spans="22:23" ht="24.95" customHeight="1" x14ac:dyDescent="0.25">
      <c r="V275" s="2">
        <f>Таблица1[[#This Row],[Дата перевода]]-Таблица1[[#This Row],[Дата поступления]]</f>
        <v>1</v>
      </c>
      <c r="W275" s="2">
        <f>Таблица1[[#This Row],[Дата поступления]]-Таблица1[[#This Row],[Дата рождения]]</f>
        <v>382</v>
      </c>
    </row>
    <row r="276" spans="22:23" ht="24.95" customHeight="1" x14ac:dyDescent="0.25">
      <c r="V276" s="2">
        <f>Таблица1[[#This Row],[Дата перевода]]-Таблица1[[#This Row],[Дата поступления]]</f>
        <v>2</v>
      </c>
      <c r="W276" s="2">
        <f>Таблица1[[#This Row],[Дата поступления]]-Таблица1[[#This Row],[Дата рождения]]</f>
        <v>4661</v>
      </c>
    </row>
    <row r="277" spans="22:23" ht="24.95" customHeight="1" x14ac:dyDescent="0.25">
      <c r="V277" s="2">
        <f>Таблица1[[#This Row],[Дата перевода]]-Таблица1[[#This Row],[Дата поступления]]</f>
        <v>2</v>
      </c>
      <c r="W277" s="2">
        <f>Таблица1[[#This Row],[Дата поступления]]-Таблица1[[#This Row],[Дата рождения]]</f>
        <v>1961</v>
      </c>
    </row>
    <row r="278" spans="22:23" ht="24.95" customHeight="1" x14ac:dyDescent="0.25">
      <c r="V278" s="2">
        <f>Таблица1[[#This Row],[Дата перевода]]-Таблица1[[#This Row],[Дата поступления]]</f>
        <v>1</v>
      </c>
      <c r="W278" s="2">
        <f>Таблица1[[#This Row],[Дата поступления]]-Таблица1[[#This Row],[Дата рождения]]</f>
        <v>113</v>
      </c>
    </row>
    <row r="279" spans="22:23" ht="24.95" customHeight="1" x14ac:dyDescent="0.25">
      <c r="V279" s="2">
        <f>Таблица1[[#This Row],[Дата перевода]]-Таблица1[[#This Row],[Дата поступления]]</f>
        <v>1</v>
      </c>
      <c r="W279" s="2">
        <f>Таблица1[[#This Row],[Дата поступления]]-Таблица1[[#This Row],[Дата рождения]]</f>
        <v>1073</v>
      </c>
    </row>
    <row r="280" spans="22:23" ht="24.95" customHeight="1" x14ac:dyDescent="0.25">
      <c r="V280" s="2">
        <f>Таблица1[[#This Row],[Дата перевода]]-Таблица1[[#This Row],[Дата поступления]]</f>
        <v>2</v>
      </c>
      <c r="W280" s="2">
        <f>Таблица1[[#This Row],[Дата поступления]]-Таблица1[[#This Row],[Дата рождения]]</f>
        <v>860</v>
      </c>
    </row>
    <row r="281" spans="22:23" ht="24.95" customHeight="1" x14ac:dyDescent="0.25">
      <c r="V281" s="2">
        <f>Таблица1[[#This Row],[Дата перевода]]-Таблица1[[#This Row],[Дата поступления]]</f>
        <v>0</v>
      </c>
      <c r="W281" s="2">
        <f>Таблица1[[#This Row],[Дата поступления]]-Таблица1[[#This Row],[Дата рождения]]</f>
        <v>442</v>
      </c>
    </row>
    <row r="282" spans="22:23" ht="24.95" customHeight="1" x14ac:dyDescent="0.25">
      <c r="V282" s="2">
        <f>Таблица1[[#This Row],[Дата перевода]]-Таблица1[[#This Row],[Дата поступления]]</f>
        <v>3</v>
      </c>
      <c r="W282" s="2">
        <f>Таблица1[[#This Row],[Дата поступления]]-Таблица1[[#This Row],[Дата рождения]]</f>
        <v>3384</v>
      </c>
    </row>
    <row r="283" spans="22:23" ht="24.95" customHeight="1" x14ac:dyDescent="0.25">
      <c r="V283" s="2">
        <f>Таблица1[[#This Row],[Дата перевода]]-Таблица1[[#This Row],[Дата поступления]]</f>
        <v>1</v>
      </c>
      <c r="W283" s="2">
        <f>Таблица1[[#This Row],[Дата поступления]]-Таблица1[[#This Row],[Дата рождения]]</f>
        <v>6089</v>
      </c>
    </row>
    <row r="284" spans="22:23" ht="24.95" customHeight="1" x14ac:dyDescent="0.25">
      <c r="V284" s="2">
        <f>Таблица1[[#This Row],[Дата перевода]]-Таблица1[[#This Row],[Дата поступления]]</f>
        <v>1</v>
      </c>
      <c r="W284" s="2">
        <f>Таблица1[[#This Row],[Дата поступления]]-Таблица1[[#This Row],[Дата рождения]]</f>
        <v>3914</v>
      </c>
    </row>
    <row r="285" spans="22:23" ht="24.95" customHeight="1" x14ac:dyDescent="0.25">
      <c r="V285" s="2">
        <f>Таблица1[[#This Row],[Дата перевода]]-Таблица1[[#This Row],[Дата поступления]]</f>
        <v>3</v>
      </c>
      <c r="W285" s="2">
        <f>Таблица1[[#This Row],[Дата поступления]]-Таблица1[[#This Row],[Дата рождения]]</f>
        <v>4794</v>
      </c>
    </row>
    <row r="286" spans="22:23" ht="24.95" customHeight="1" x14ac:dyDescent="0.25">
      <c r="V286" s="2">
        <f>Таблица1[[#This Row],[Дата перевода]]-Таблица1[[#This Row],[Дата поступления]]</f>
        <v>0</v>
      </c>
      <c r="W286" s="2">
        <f>Таблица1[[#This Row],[Дата поступления]]-Таблица1[[#This Row],[Дата рождения]]</f>
        <v>4608</v>
      </c>
    </row>
    <row r="287" spans="22:23" ht="24.95" customHeight="1" x14ac:dyDescent="0.25">
      <c r="V287" s="2">
        <f>Таблица1[[#This Row],[Дата перевода]]-Таблица1[[#This Row],[Дата поступления]]</f>
        <v>0</v>
      </c>
      <c r="W287" s="2">
        <f>Таблица1[[#This Row],[Дата поступления]]-Таблица1[[#This Row],[Дата рождения]]</f>
        <v>5797</v>
      </c>
    </row>
    <row r="288" spans="22:23" ht="24.95" customHeight="1" x14ac:dyDescent="0.25">
      <c r="V288" s="2">
        <f>Таблица1[[#This Row],[Дата перевода]]-Таблица1[[#This Row],[Дата поступления]]</f>
        <v>1</v>
      </c>
      <c r="W288" s="2">
        <f>Таблица1[[#This Row],[Дата поступления]]-Таблица1[[#This Row],[Дата рождения]]</f>
        <v>6233</v>
      </c>
    </row>
    <row r="289" spans="22:23" ht="24.95" customHeight="1" x14ac:dyDescent="0.25">
      <c r="V289" s="2">
        <f>Таблица1[[#This Row],[Дата перевода]]-Таблица1[[#This Row],[Дата поступления]]</f>
        <v>0</v>
      </c>
      <c r="W289" s="2">
        <f>Таблица1[[#This Row],[Дата поступления]]-Таблица1[[#This Row],[Дата рождения]]</f>
        <v>1387</v>
      </c>
    </row>
    <row r="290" spans="22:23" ht="24.95" customHeight="1" x14ac:dyDescent="0.25">
      <c r="V290" s="2">
        <f>Таблица1[[#This Row],[Дата перевода]]-Таблица1[[#This Row],[Дата поступления]]</f>
        <v>1</v>
      </c>
      <c r="W290" s="2">
        <f>Таблица1[[#This Row],[Дата поступления]]-Таблица1[[#This Row],[Дата рождения]]</f>
        <v>6416</v>
      </c>
    </row>
    <row r="291" spans="22:23" ht="24.95" customHeight="1" x14ac:dyDescent="0.25">
      <c r="V291" s="2">
        <f>Таблица1[[#This Row],[Дата перевода]]-Таблица1[[#This Row],[Дата поступления]]</f>
        <v>6</v>
      </c>
      <c r="W291" s="2">
        <f>Таблица1[[#This Row],[Дата поступления]]-Таблица1[[#This Row],[Дата рождения]]</f>
        <v>3376</v>
      </c>
    </row>
    <row r="292" spans="22:23" ht="24.95" customHeight="1" x14ac:dyDescent="0.25">
      <c r="V292" s="2">
        <f>Таблица1[[#This Row],[Дата перевода]]-Таблица1[[#This Row],[Дата поступления]]</f>
        <v>2</v>
      </c>
      <c r="W292" s="2">
        <f>Таблица1[[#This Row],[Дата поступления]]-Таблица1[[#This Row],[Дата рождения]]</f>
        <v>1966</v>
      </c>
    </row>
    <row r="293" spans="22:23" ht="24.95" customHeight="1" x14ac:dyDescent="0.25">
      <c r="V293" s="2">
        <f>Таблица1[[#This Row],[Дата перевода]]-Таблица1[[#This Row],[Дата поступления]]</f>
        <v>10</v>
      </c>
      <c r="W293" s="2">
        <f>Таблица1[[#This Row],[Дата поступления]]-Таблица1[[#This Row],[Дата рождения]]</f>
        <v>5284</v>
      </c>
    </row>
    <row r="294" spans="22:23" ht="24.95" customHeight="1" x14ac:dyDescent="0.25">
      <c r="V294" s="2">
        <f>Таблица1[[#This Row],[Дата перевода]]-Таблица1[[#This Row],[Дата поступления]]</f>
        <v>1</v>
      </c>
      <c r="W294" s="2">
        <f>Таблица1[[#This Row],[Дата поступления]]-Таблица1[[#This Row],[Дата рождения]]</f>
        <v>6366</v>
      </c>
    </row>
    <row r="295" spans="22:23" ht="24.95" customHeight="1" x14ac:dyDescent="0.25">
      <c r="V295" s="2">
        <f>Таблица1[[#This Row],[Дата перевода]]-Таблица1[[#This Row],[Дата поступления]]</f>
        <v>4</v>
      </c>
      <c r="W295" s="2">
        <f>Таблица1[[#This Row],[Дата поступления]]-Таблица1[[#This Row],[Дата рождения]]</f>
        <v>5941</v>
      </c>
    </row>
    <row r="296" spans="22:23" ht="24.95" customHeight="1" x14ac:dyDescent="0.25">
      <c r="V296" s="2">
        <f>Таблица1[[#This Row],[Дата перевода]]-Таблица1[[#This Row],[Дата поступления]]</f>
        <v>7</v>
      </c>
      <c r="W296" s="2">
        <f>Таблица1[[#This Row],[Дата поступления]]-Таблица1[[#This Row],[Дата рождения]]</f>
        <v>2722</v>
      </c>
    </row>
    <row r="297" spans="22:23" ht="24.95" customHeight="1" x14ac:dyDescent="0.25">
      <c r="V297" s="2">
        <f>Таблица1[[#This Row],[Дата перевода]]-Таблица1[[#This Row],[Дата поступления]]</f>
        <v>0</v>
      </c>
      <c r="W297" s="2">
        <f>Таблица1[[#This Row],[Дата поступления]]-Таблица1[[#This Row],[Дата рождения]]</f>
        <v>42</v>
      </c>
    </row>
    <row r="298" spans="22:23" ht="24.95" customHeight="1" x14ac:dyDescent="0.25">
      <c r="V298" s="2">
        <f>Таблица1[[#This Row],[Дата перевода]]-Таблица1[[#This Row],[Дата поступления]]</f>
        <v>4</v>
      </c>
      <c r="W298" s="2">
        <f>Таблица1[[#This Row],[Дата поступления]]-Таблица1[[#This Row],[Дата рождения]]</f>
        <v>2125</v>
      </c>
    </row>
    <row r="299" spans="22:23" ht="24.95" customHeight="1" x14ac:dyDescent="0.25">
      <c r="V299" s="2">
        <f>Таблица1[[#This Row],[Дата перевода]]-Таблица1[[#This Row],[Дата поступления]]</f>
        <v>12</v>
      </c>
      <c r="W299" s="2">
        <f>Таблица1[[#This Row],[Дата поступления]]-Таблица1[[#This Row],[Дата рождения]]</f>
        <v>4038</v>
      </c>
    </row>
    <row r="300" spans="22:23" ht="24.95" customHeight="1" x14ac:dyDescent="0.25">
      <c r="V300" s="2">
        <f>Таблица1[[#This Row],[Дата перевода]]-Таблица1[[#This Row],[Дата поступления]]</f>
        <v>1</v>
      </c>
      <c r="W300" s="2">
        <f>Таблица1[[#This Row],[Дата поступления]]-Таблица1[[#This Row],[Дата рождения]]</f>
        <v>3796</v>
      </c>
    </row>
    <row r="301" spans="22:23" ht="24.95" customHeight="1" x14ac:dyDescent="0.25">
      <c r="V301" s="2">
        <f>Таблица1[[#This Row],[Дата перевода]]-Таблица1[[#This Row],[Дата поступления]]</f>
        <v>1</v>
      </c>
      <c r="W301" s="2">
        <f>Таблица1[[#This Row],[Дата поступления]]-Таблица1[[#This Row],[Дата рождения]]</f>
        <v>1347</v>
      </c>
    </row>
    <row r="302" spans="22:23" ht="24.95" customHeight="1" x14ac:dyDescent="0.25">
      <c r="V302" s="2">
        <f>Таблица1[[#This Row],[Дата перевода]]-Таблица1[[#This Row],[Дата поступления]]</f>
        <v>2</v>
      </c>
      <c r="W302" s="2">
        <f>Таблица1[[#This Row],[Дата поступления]]-Таблица1[[#This Row],[Дата рождения]]</f>
        <v>3041</v>
      </c>
    </row>
    <row r="303" spans="22:23" ht="24.95" customHeight="1" x14ac:dyDescent="0.25">
      <c r="V303" s="2">
        <f>Таблица1[[#This Row],[Дата перевода]]-Таблица1[[#This Row],[Дата поступления]]</f>
        <v>4</v>
      </c>
      <c r="W303" s="2">
        <f>Таблица1[[#This Row],[Дата поступления]]-Таблица1[[#This Row],[Дата рождения]]</f>
        <v>6522</v>
      </c>
    </row>
    <row r="304" spans="22:23" ht="24.95" customHeight="1" x14ac:dyDescent="0.25">
      <c r="V304" s="2">
        <f>Таблица1[[#This Row],[Дата перевода]]-Таблица1[[#This Row],[Дата поступления]]</f>
        <v>3</v>
      </c>
      <c r="W304" s="2">
        <f>Таблица1[[#This Row],[Дата поступления]]-Таблица1[[#This Row],[Дата рождения]]</f>
        <v>43</v>
      </c>
    </row>
    <row r="305" spans="22:23" ht="24.95" customHeight="1" x14ac:dyDescent="0.25">
      <c r="V305" s="2">
        <f>Таблица1[[#This Row],[Дата перевода]]-Таблица1[[#This Row],[Дата поступления]]</f>
        <v>367</v>
      </c>
      <c r="W305" s="2">
        <f>Таблица1[[#This Row],[Дата поступления]]-Таблица1[[#This Row],[Дата рождения]]</f>
        <v>4066</v>
      </c>
    </row>
    <row r="306" spans="22:23" ht="24.95" customHeight="1" x14ac:dyDescent="0.25">
      <c r="V306" s="2">
        <f>Таблица1[[#This Row],[Дата перевода]]-Таблица1[[#This Row],[Дата поступления]]</f>
        <v>1</v>
      </c>
      <c r="W306" s="2">
        <f>Таблица1[[#This Row],[Дата поступления]]-Таблица1[[#This Row],[Дата рождения]]</f>
        <v>415</v>
      </c>
    </row>
    <row r="307" spans="22:23" ht="24.95" customHeight="1" x14ac:dyDescent="0.25">
      <c r="V307" s="2">
        <f>Таблица1[[#This Row],[Дата перевода]]-Таблица1[[#This Row],[Дата поступления]]</f>
        <v>1</v>
      </c>
      <c r="W307" s="2">
        <f>Таблица1[[#This Row],[Дата поступления]]-Таблица1[[#This Row],[Дата рождения]]</f>
        <v>2642</v>
      </c>
    </row>
    <row r="308" spans="22:23" ht="24.95" customHeight="1" x14ac:dyDescent="0.25">
      <c r="V308" s="2">
        <f>Таблица1[[#This Row],[Дата перевода]]-Таблица1[[#This Row],[Дата поступления]]</f>
        <v>1</v>
      </c>
      <c r="W308" s="2">
        <f>Таблица1[[#This Row],[Дата поступления]]-Таблица1[[#This Row],[Дата рождения]]</f>
        <v>5479</v>
      </c>
    </row>
    <row r="309" spans="22:23" ht="24.95" customHeight="1" x14ac:dyDescent="0.25">
      <c r="V309" s="2">
        <f>Таблица1[[#This Row],[Дата перевода]]-Таблица1[[#This Row],[Дата поступления]]</f>
        <v>1</v>
      </c>
      <c r="W309" s="2">
        <f>Таблица1[[#This Row],[Дата поступления]]-Таблица1[[#This Row],[Дата рождения]]</f>
        <v>3919</v>
      </c>
    </row>
    <row r="310" spans="22:23" ht="24.95" customHeight="1" x14ac:dyDescent="0.25">
      <c r="V310" s="2">
        <f>Таблица1[[#This Row],[Дата перевода]]-Таблица1[[#This Row],[Дата поступления]]</f>
        <v>3</v>
      </c>
      <c r="W310" s="2">
        <f>Таблица1[[#This Row],[Дата поступления]]-Таблица1[[#This Row],[Дата рождения]]</f>
        <v>439</v>
      </c>
    </row>
    <row r="311" spans="22:23" ht="24.95" customHeight="1" x14ac:dyDescent="0.25">
      <c r="V311" s="2">
        <f>Таблица1[[#This Row],[Дата перевода]]-Таблица1[[#This Row],[Дата поступления]]</f>
        <v>7</v>
      </c>
      <c r="W311" s="2">
        <f>Таблица1[[#This Row],[Дата поступления]]-Таблица1[[#This Row],[Дата рождения]]</f>
        <v>149</v>
      </c>
    </row>
    <row r="312" spans="22:23" ht="24.95" customHeight="1" x14ac:dyDescent="0.25">
      <c r="V312" s="2">
        <f>Таблица1[[#This Row],[Дата перевода]]-Таблица1[[#This Row],[Дата поступления]]</f>
        <v>1</v>
      </c>
      <c r="W312" s="2">
        <f>Таблица1[[#This Row],[Дата поступления]]-Таблица1[[#This Row],[Дата рождения]]</f>
        <v>5157</v>
      </c>
    </row>
    <row r="313" spans="22:23" ht="24.95" customHeight="1" x14ac:dyDescent="0.25">
      <c r="V313" s="2">
        <f>Таблица1[[#This Row],[Дата перевода]]-Таблица1[[#This Row],[Дата поступления]]</f>
        <v>1</v>
      </c>
      <c r="W313" s="2">
        <f>Таблица1[[#This Row],[Дата поступления]]-Таблица1[[#This Row],[Дата рождения]]</f>
        <v>3036</v>
      </c>
    </row>
    <row r="314" spans="22:23" ht="24.95" customHeight="1" x14ac:dyDescent="0.25">
      <c r="V314" s="2">
        <f>Таблица1[[#This Row],[Дата перевода]]-Таблица1[[#This Row],[Дата поступления]]</f>
        <v>2</v>
      </c>
      <c r="W314" s="2">
        <f>Таблица1[[#This Row],[Дата поступления]]-Таблица1[[#This Row],[Дата рождения]]</f>
        <v>5002</v>
      </c>
    </row>
    <row r="315" spans="22:23" ht="24.95" customHeight="1" x14ac:dyDescent="0.25">
      <c r="V315" s="2">
        <f>Таблица1[[#This Row],[Дата перевода]]-Таблица1[[#This Row],[Дата поступления]]</f>
        <v>1</v>
      </c>
      <c r="W315" s="2">
        <f>Таблица1[[#This Row],[Дата поступления]]-Таблица1[[#This Row],[Дата рождения]]</f>
        <v>1623</v>
      </c>
    </row>
    <row r="316" spans="22:23" ht="24.95" customHeight="1" x14ac:dyDescent="0.25">
      <c r="V316" s="2">
        <f>Таблица1[[#This Row],[Дата перевода]]-Таблица1[[#This Row],[Дата поступления]]</f>
        <v>5</v>
      </c>
      <c r="W316" s="2">
        <f>Таблица1[[#This Row],[Дата поступления]]-Таблица1[[#This Row],[Дата рождения]]</f>
        <v>1</v>
      </c>
    </row>
    <row r="317" spans="22:23" ht="24.95" customHeight="1" x14ac:dyDescent="0.25">
      <c r="V317" s="2">
        <f>Таблица1[[#This Row],[Дата перевода]]-Таблица1[[#This Row],[Дата поступления]]</f>
        <v>1</v>
      </c>
      <c r="W317" s="2">
        <f>Таблица1[[#This Row],[Дата поступления]]-Таблица1[[#This Row],[Дата рождения]]</f>
        <v>6551</v>
      </c>
    </row>
    <row r="318" spans="22:23" ht="24.95" customHeight="1" x14ac:dyDescent="0.25">
      <c r="V318" s="2">
        <f>Таблица1[[#This Row],[Дата перевода]]-Таблица1[[#This Row],[Дата поступления]]</f>
        <v>2</v>
      </c>
      <c r="W318" s="2">
        <f>Таблица1[[#This Row],[Дата поступления]]-Таблица1[[#This Row],[Дата рождения]]</f>
        <v>590</v>
      </c>
    </row>
    <row r="319" spans="22:23" ht="24.95" customHeight="1" x14ac:dyDescent="0.25">
      <c r="V319" s="2">
        <f>Таблица1[[#This Row],[Дата перевода]]-Таблица1[[#This Row],[Дата поступления]]</f>
        <v>3</v>
      </c>
      <c r="W319" s="2">
        <f>Таблица1[[#This Row],[Дата поступления]]-Таблица1[[#This Row],[Дата рождения]]</f>
        <v>4510</v>
      </c>
    </row>
    <row r="320" spans="22:23" ht="24.95" customHeight="1" x14ac:dyDescent="0.25">
      <c r="V320" s="2">
        <f>Таблица1[[#This Row],[Дата перевода]]-Таблица1[[#This Row],[Дата поступления]]</f>
        <v>3</v>
      </c>
      <c r="W320" s="2">
        <f>Таблица1[[#This Row],[Дата поступления]]-Таблица1[[#This Row],[Дата рождения]]</f>
        <v>0</v>
      </c>
    </row>
    <row r="321" spans="22:23" ht="24.95" customHeight="1" x14ac:dyDescent="0.25">
      <c r="V321" s="2">
        <f>Таблица1[[#This Row],[Дата перевода]]-Таблица1[[#This Row],[Дата поступления]]</f>
        <v>3</v>
      </c>
      <c r="W321" s="2">
        <f>Таблица1[[#This Row],[Дата поступления]]-Таблица1[[#This Row],[Дата рождения]]</f>
        <v>0</v>
      </c>
    </row>
    <row r="322" spans="22:23" ht="24.95" customHeight="1" x14ac:dyDescent="0.25">
      <c r="V322" s="2">
        <f>Таблица1[[#This Row],[Дата перевода]]-Таблица1[[#This Row],[Дата поступления]]</f>
        <v>1</v>
      </c>
      <c r="W322" s="2">
        <f>Таблица1[[#This Row],[Дата поступления]]-Таблица1[[#This Row],[Дата рождения]]</f>
        <v>2492</v>
      </c>
    </row>
    <row r="323" spans="22:23" ht="24.95" customHeight="1" x14ac:dyDescent="0.25">
      <c r="V323" s="2">
        <f>Таблица1[[#This Row],[Дата перевода]]-Таблица1[[#This Row],[Дата поступления]]</f>
        <v>2</v>
      </c>
      <c r="W323" s="2">
        <f>Таблица1[[#This Row],[Дата поступления]]-Таблица1[[#This Row],[Дата рождения]]</f>
        <v>402</v>
      </c>
    </row>
    <row r="324" spans="22:23" ht="24.95" customHeight="1" x14ac:dyDescent="0.25">
      <c r="V324" s="2">
        <f>Таблица1[[#This Row],[Дата перевода]]-Таблица1[[#This Row],[Дата поступления]]</f>
        <v>5</v>
      </c>
      <c r="W324" s="2">
        <f>Таблица1[[#This Row],[Дата поступления]]-Таблица1[[#This Row],[Дата рождения]]</f>
        <v>5560</v>
      </c>
    </row>
    <row r="325" spans="22:23" ht="24.95" customHeight="1" x14ac:dyDescent="0.25">
      <c r="V325" s="2">
        <f>Таблица1[[#This Row],[Дата перевода]]-Таблица1[[#This Row],[Дата поступления]]</f>
        <v>2</v>
      </c>
      <c r="W325" s="2">
        <f>Таблица1[[#This Row],[Дата поступления]]-Таблица1[[#This Row],[Дата рождения]]</f>
        <v>70</v>
      </c>
    </row>
    <row r="326" spans="22:23" ht="24.95" customHeight="1" x14ac:dyDescent="0.25">
      <c r="V326" s="2">
        <f>Таблица1[[#This Row],[Дата перевода]]-Таблица1[[#This Row],[Дата поступления]]</f>
        <v>1</v>
      </c>
      <c r="W326" s="2">
        <f>Таблица1[[#This Row],[Дата поступления]]-Таблица1[[#This Row],[Дата рождения]]</f>
        <v>5995</v>
      </c>
    </row>
    <row r="327" spans="22:23" ht="24.95" customHeight="1" x14ac:dyDescent="0.25">
      <c r="V327" s="2">
        <f>Таблица1[[#This Row],[Дата перевода]]-Таблица1[[#This Row],[Дата поступления]]</f>
        <v>3</v>
      </c>
      <c r="W327" s="2">
        <f>Таблица1[[#This Row],[Дата поступления]]-Таблица1[[#This Row],[Дата рождения]]</f>
        <v>3476</v>
      </c>
    </row>
    <row r="328" spans="22:23" ht="24.95" customHeight="1" x14ac:dyDescent="0.25">
      <c r="V328" s="2">
        <f>Таблица1[[#This Row],[Дата перевода]]-Таблица1[[#This Row],[Дата поступления]]</f>
        <v>7</v>
      </c>
      <c r="W328" s="2">
        <f>Таблица1[[#This Row],[Дата поступления]]-Таблица1[[#This Row],[Дата рождения]]</f>
        <v>4597</v>
      </c>
    </row>
    <row r="329" spans="22:23" ht="24.95" customHeight="1" x14ac:dyDescent="0.25">
      <c r="V329" s="2">
        <f>Таблица1[[#This Row],[Дата перевода]]-Таблица1[[#This Row],[Дата поступления]]</f>
        <v>1</v>
      </c>
      <c r="W329" s="2">
        <f>Таблица1[[#This Row],[Дата поступления]]-Таблица1[[#This Row],[Дата рождения]]</f>
        <v>5374</v>
      </c>
    </row>
    <row r="330" spans="22:23" ht="24.95" customHeight="1" x14ac:dyDescent="0.25">
      <c r="V330" s="2">
        <f>Таблица1[[#This Row],[Дата перевода]]-Таблица1[[#This Row],[Дата поступления]]</f>
        <v>1</v>
      </c>
      <c r="W330" s="2">
        <f>Таблица1[[#This Row],[Дата поступления]]-Таблица1[[#This Row],[Дата рождения]]</f>
        <v>0</v>
      </c>
    </row>
    <row r="331" spans="22:23" ht="24.95" customHeight="1" x14ac:dyDescent="0.25">
      <c r="V331" s="2">
        <f>Таблица1[[#This Row],[Дата перевода]]-Таблица1[[#This Row],[Дата поступления]]</f>
        <v>8</v>
      </c>
      <c r="W331" s="2">
        <f>Таблица1[[#This Row],[Дата поступления]]-Таблица1[[#This Row],[Дата рождения]]</f>
        <v>2989</v>
      </c>
    </row>
    <row r="332" spans="22:23" ht="24.95" customHeight="1" x14ac:dyDescent="0.25">
      <c r="V332" s="2">
        <f>Таблица1[[#This Row],[Дата перевода]]-Таблица1[[#This Row],[Дата поступления]]</f>
        <v>1</v>
      </c>
      <c r="W332" s="2">
        <f>Таблица1[[#This Row],[Дата поступления]]-Таблица1[[#This Row],[Дата рождения]]</f>
        <v>3481</v>
      </c>
    </row>
    <row r="333" spans="22:23" ht="24.95" customHeight="1" x14ac:dyDescent="0.25">
      <c r="V333" s="2">
        <f>Таблица1[[#This Row],[Дата перевода]]-Таблица1[[#This Row],[Дата поступления]]</f>
        <v>1</v>
      </c>
      <c r="W333" s="2">
        <f>Таблица1[[#This Row],[Дата поступления]]-Таблица1[[#This Row],[Дата рождения]]</f>
        <v>694</v>
      </c>
    </row>
    <row r="334" spans="22:23" ht="24.95" customHeight="1" x14ac:dyDescent="0.25">
      <c r="V334" s="2">
        <f>Таблица1[[#This Row],[Дата перевода]]-Таблица1[[#This Row],[Дата поступления]]</f>
        <v>2</v>
      </c>
      <c r="W334" s="2">
        <f>Таблица1[[#This Row],[Дата поступления]]-Таблица1[[#This Row],[Дата рождения]]</f>
        <v>4592</v>
      </c>
    </row>
    <row r="335" spans="22:23" ht="24.95" customHeight="1" x14ac:dyDescent="0.25">
      <c r="V335" s="2">
        <f>Таблица1[[#This Row],[Дата перевода]]-Таблица1[[#This Row],[Дата поступления]]</f>
        <v>1</v>
      </c>
      <c r="W335" s="2">
        <f>Таблица1[[#This Row],[Дата поступления]]-Таблица1[[#This Row],[Дата рождения]]</f>
        <v>3631</v>
      </c>
    </row>
    <row r="336" spans="22:23" ht="24.95" customHeight="1" x14ac:dyDescent="0.25">
      <c r="V336" s="2">
        <f>Таблица1[[#This Row],[Дата перевода]]-Таблица1[[#This Row],[Дата поступления]]</f>
        <v>2</v>
      </c>
      <c r="W336" s="2">
        <f>Таблица1[[#This Row],[Дата поступления]]-Таблица1[[#This Row],[Дата рождения]]</f>
        <v>0</v>
      </c>
    </row>
    <row r="337" spans="22:23" ht="24.95" customHeight="1" x14ac:dyDescent="0.25">
      <c r="V337" s="2">
        <f>Таблица1[[#This Row],[Дата перевода]]-Таблица1[[#This Row],[Дата поступления]]</f>
        <v>7</v>
      </c>
      <c r="W337" s="2">
        <f>Таблица1[[#This Row],[Дата поступления]]-Таблица1[[#This Row],[Дата рождения]]</f>
        <v>4378</v>
      </c>
    </row>
    <row r="338" spans="22:23" ht="24.95" customHeight="1" x14ac:dyDescent="0.25">
      <c r="V338" s="2">
        <f>Таблица1[[#This Row],[Дата перевода]]-Таблица1[[#This Row],[Дата поступления]]</f>
        <v>2</v>
      </c>
      <c r="W338" s="2">
        <f>Таблица1[[#This Row],[Дата поступления]]-Таблица1[[#This Row],[Дата рождения]]</f>
        <v>948</v>
      </c>
    </row>
    <row r="339" spans="22:23" ht="24.95" customHeight="1" x14ac:dyDescent="0.25">
      <c r="V339" s="2">
        <f>Таблица1[[#This Row],[Дата перевода]]-Таблица1[[#This Row],[Дата поступления]]</f>
        <v>2</v>
      </c>
      <c r="W339" s="2">
        <f>Таблица1[[#This Row],[Дата поступления]]-Таблица1[[#This Row],[Дата рождения]]</f>
        <v>2381</v>
      </c>
    </row>
    <row r="340" spans="22:23" ht="24.95" customHeight="1" x14ac:dyDescent="0.25">
      <c r="V340" s="2">
        <f>Таблица1[[#This Row],[Дата перевода]]-Таблица1[[#This Row],[Дата поступления]]</f>
        <v>1</v>
      </c>
      <c r="W340" s="2">
        <f>Таблица1[[#This Row],[Дата поступления]]-Таблица1[[#This Row],[Дата рождения]]</f>
        <v>8</v>
      </c>
    </row>
    <row r="341" spans="22:23" ht="24.95" customHeight="1" x14ac:dyDescent="0.25">
      <c r="V341" s="2">
        <f>Таблица1[[#This Row],[Дата перевода]]-Таблица1[[#This Row],[Дата поступления]]</f>
        <v>1</v>
      </c>
      <c r="W341" s="2">
        <f>Таблица1[[#This Row],[Дата поступления]]-Таблица1[[#This Row],[Дата рождения]]</f>
        <v>6190</v>
      </c>
    </row>
    <row r="342" spans="22:23" ht="24.95" customHeight="1" x14ac:dyDescent="0.25">
      <c r="V342" s="2">
        <f>Таблица1[[#This Row],[Дата перевода]]-Таблица1[[#This Row],[Дата поступления]]</f>
        <v>1</v>
      </c>
      <c r="W342" s="2">
        <f>Таблица1[[#This Row],[Дата поступления]]-Таблица1[[#This Row],[Дата рождения]]</f>
        <v>3736</v>
      </c>
    </row>
    <row r="343" spans="22:23" ht="24.95" customHeight="1" x14ac:dyDescent="0.25">
      <c r="V343" s="2">
        <f>Таблица1[[#This Row],[Дата перевода]]-Таблица1[[#This Row],[Дата поступления]]</f>
        <v>3</v>
      </c>
      <c r="W343" s="2">
        <f>Таблица1[[#This Row],[Дата поступления]]-Таблица1[[#This Row],[Дата рождения]]</f>
        <v>22</v>
      </c>
    </row>
    <row r="344" spans="22:23" ht="24.95" customHeight="1" x14ac:dyDescent="0.25">
      <c r="V344" s="2">
        <f>Таблица1[[#This Row],[Дата перевода]]-Таблица1[[#This Row],[Дата поступления]]</f>
        <v>0</v>
      </c>
      <c r="W344" s="2">
        <f>Таблица1[[#This Row],[Дата поступления]]-Таблица1[[#This Row],[Дата рождения]]</f>
        <v>5203</v>
      </c>
    </row>
    <row r="345" spans="22:23" ht="24.95" customHeight="1" x14ac:dyDescent="0.25">
      <c r="V345" s="2">
        <f>Таблица1[[#This Row],[Дата перевода]]-Таблица1[[#This Row],[Дата поступления]]</f>
        <v>1</v>
      </c>
      <c r="W345" s="2">
        <f>Таблица1[[#This Row],[Дата поступления]]-Таблица1[[#This Row],[Дата рождения]]</f>
        <v>3148</v>
      </c>
    </row>
    <row r="346" spans="22:23" ht="24.95" customHeight="1" x14ac:dyDescent="0.25">
      <c r="V346" s="2">
        <f>Таблица1[[#This Row],[Дата перевода]]-Таблица1[[#This Row],[Дата поступления]]</f>
        <v>1</v>
      </c>
      <c r="W346" s="2">
        <f>Таблица1[[#This Row],[Дата поступления]]-Таблица1[[#This Row],[Дата рождения]]</f>
        <v>3504</v>
      </c>
    </row>
    <row r="347" spans="22:23" ht="24.95" customHeight="1" x14ac:dyDescent="0.25">
      <c r="V347" s="2">
        <f>Таблица1[[#This Row],[Дата перевода]]-Таблица1[[#This Row],[Дата поступления]]</f>
        <v>0</v>
      </c>
      <c r="W347" s="2">
        <f>Таблица1[[#This Row],[Дата поступления]]-Таблица1[[#This Row],[Дата рождения]]</f>
        <v>48</v>
      </c>
    </row>
    <row r="348" spans="22:23" ht="24.95" customHeight="1" x14ac:dyDescent="0.25">
      <c r="V348" s="2">
        <f>Таблица1[[#This Row],[Дата перевода]]-Таблица1[[#This Row],[Дата поступления]]</f>
        <v>1</v>
      </c>
      <c r="W348" s="2">
        <f>Таблица1[[#This Row],[Дата поступления]]-Таблица1[[#This Row],[Дата рождения]]</f>
        <v>4840</v>
      </c>
    </row>
    <row r="349" spans="22:23" ht="24.95" customHeight="1" x14ac:dyDescent="0.25">
      <c r="V349" s="2">
        <f>Таблица1[[#This Row],[Дата перевода]]-Таблица1[[#This Row],[Дата поступления]]</f>
        <v>1</v>
      </c>
      <c r="W349" s="2">
        <f>Таблица1[[#This Row],[Дата поступления]]-Таблица1[[#This Row],[Дата рождения]]</f>
        <v>4749</v>
      </c>
    </row>
    <row r="350" spans="22:23" ht="24.95" customHeight="1" x14ac:dyDescent="0.25">
      <c r="V350" s="2">
        <f>Таблица1[[#This Row],[Дата перевода]]-Таблица1[[#This Row],[Дата поступления]]</f>
        <v>2</v>
      </c>
      <c r="W350" s="2">
        <f>Таблица1[[#This Row],[Дата поступления]]-Таблица1[[#This Row],[Дата рождения]]</f>
        <v>5123</v>
      </c>
    </row>
    <row r="351" spans="22:23" ht="24.95" customHeight="1" x14ac:dyDescent="0.25">
      <c r="V351" s="2">
        <f>Таблица1[[#This Row],[Дата перевода]]-Таблица1[[#This Row],[Дата поступления]]</f>
        <v>11</v>
      </c>
      <c r="W351" s="2">
        <f>Таблица1[[#This Row],[Дата поступления]]-Таблица1[[#This Row],[Дата рождения]]</f>
        <v>6032</v>
      </c>
    </row>
    <row r="352" spans="22:23" ht="24.95" customHeight="1" x14ac:dyDescent="0.25">
      <c r="V352" s="2">
        <f>Таблица1[[#This Row],[Дата перевода]]-Таблица1[[#This Row],[Дата поступления]]</f>
        <v>6</v>
      </c>
      <c r="W352" s="2">
        <f>Таблица1[[#This Row],[Дата поступления]]-Таблица1[[#This Row],[Дата рождения]]</f>
        <v>4969</v>
      </c>
    </row>
    <row r="353" spans="22:23" ht="24.95" customHeight="1" x14ac:dyDescent="0.25">
      <c r="V353" s="2">
        <f>Таблица1[[#This Row],[Дата перевода]]-Таблица1[[#This Row],[Дата поступления]]</f>
        <v>2</v>
      </c>
      <c r="W353" s="2">
        <f>Таблица1[[#This Row],[Дата поступления]]-Таблица1[[#This Row],[Дата рождения]]</f>
        <v>31</v>
      </c>
    </row>
    <row r="354" spans="22:23" ht="24.95" customHeight="1" x14ac:dyDescent="0.25">
      <c r="V354" s="2">
        <f>Таблица1[[#This Row],[Дата перевода]]-Таблица1[[#This Row],[Дата поступления]]</f>
        <v>0</v>
      </c>
      <c r="W354" s="2">
        <f>Таблица1[[#This Row],[Дата поступления]]-Таблица1[[#This Row],[Дата рождения]]</f>
        <v>6455</v>
      </c>
    </row>
    <row r="355" spans="22:23" ht="24.95" customHeight="1" x14ac:dyDescent="0.25">
      <c r="V355" s="2">
        <f>Таблица1[[#This Row],[Дата перевода]]-Таблица1[[#This Row],[Дата поступления]]</f>
        <v>1</v>
      </c>
      <c r="W355" s="2">
        <f>Таблица1[[#This Row],[Дата поступления]]-Таблица1[[#This Row],[Дата рождения]]</f>
        <v>3900</v>
      </c>
    </row>
    <row r="356" spans="22:23" ht="24.95" customHeight="1" x14ac:dyDescent="0.25">
      <c r="V356" s="2">
        <f>Таблица1[[#This Row],[Дата перевода]]-Таблица1[[#This Row],[Дата поступления]]</f>
        <v>2</v>
      </c>
      <c r="W356" s="2">
        <f>Таблица1[[#This Row],[Дата поступления]]-Таблица1[[#This Row],[Дата рождения]]</f>
        <v>6257</v>
      </c>
    </row>
    <row r="357" spans="22:23" ht="24.95" customHeight="1" x14ac:dyDescent="0.25">
      <c r="V357" s="2">
        <f>Таблица1[[#This Row],[Дата перевода]]-Таблица1[[#This Row],[Дата поступления]]</f>
        <v>2</v>
      </c>
      <c r="W357" s="2">
        <f>Таблица1[[#This Row],[Дата поступления]]-Таблица1[[#This Row],[Дата рождения]]</f>
        <v>841</v>
      </c>
    </row>
    <row r="358" spans="22:23" ht="24.95" customHeight="1" x14ac:dyDescent="0.25">
      <c r="V358" s="2">
        <f>Таблица1[[#This Row],[Дата перевода]]-Таблица1[[#This Row],[Дата поступления]]</f>
        <v>1</v>
      </c>
      <c r="W358" s="2">
        <f>Таблица1[[#This Row],[Дата поступления]]-Таблица1[[#This Row],[Дата рождения]]</f>
        <v>1002</v>
      </c>
    </row>
    <row r="359" spans="22:23" ht="24.95" customHeight="1" x14ac:dyDescent="0.25">
      <c r="V359" s="2">
        <f>Таблица1[[#This Row],[Дата перевода]]-Таблица1[[#This Row],[Дата поступления]]</f>
        <v>1</v>
      </c>
      <c r="W359" s="2">
        <f>Таблица1[[#This Row],[Дата поступления]]-Таблица1[[#This Row],[Дата рождения]]</f>
        <v>6274</v>
      </c>
    </row>
    <row r="360" spans="22:23" ht="24.95" customHeight="1" x14ac:dyDescent="0.25">
      <c r="V360" s="2">
        <f>Таблица1[[#This Row],[Дата перевода]]-Таблица1[[#This Row],[Дата поступления]]</f>
        <v>1</v>
      </c>
      <c r="W360" s="2">
        <f>Таблица1[[#This Row],[Дата поступления]]-Таблица1[[#This Row],[Дата рождения]]</f>
        <v>1932</v>
      </c>
    </row>
    <row r="361" spans="22:23" ht="24.95" customHeight="1" x14ac:dyDescent="0.25">
      <c r="V361" s="2">
        <f>Таблица1[[#This Row],[Дата перевода]]-Таблица1[[#This Row],[Дата поступления]]</f>
        <v>1</v>
      </c>
      <c r="W361" s="2">
        <f>Таблица1[[#This Row],[Дата поступления]]-Таблица1[[#This Row],[Дата рождения]]</f>
        <v>3152</v>
      </c>
    </row>
    <row r="362" spans="22:23" ht="24.95" customHeight="1" x14ac:dyDescent="0.25">
      <c r="V362" s="2">
        <f>Таблица1[[#This Row],[Дата перевода]]-Таблица1[[#This Row],[Дата поступления]]</f>
        <v>0</v>
      </c>
      <c r="W362" s="2">
        <f>Таблица1[[#This Row],[Дата поступления]]-Таблица1[[#This Row],[Дата рождения]]</f>
        <v>6156</v>
      </c>
    </row>
    <row r="363" spans="22:23" ht="24.95" customHeight="1" x14ac:dyDescent="0.25">
      <c r="V363" s="2">
        <f>Таблица1[[#This Row],[Дата перевода]]-Таблица1[[#This Row],[Дата поступления]]</f>
        <v>2</v>
      </c>
      <c r="W363" s="2">
        <f>Таблица1[[#This Row],[Дата поступления]]-Таблица1[[#This Row],[Дата рождения]]</f>
        <v>2132</v>
      </c>
    </row>
    <row r="364" spans="22:23" ht="24.95" customHeight="1" x14ac:dyDescent="0.25">
      <c r="V364" s="2">
        <f>Таблица1[[#This Row],[Дата перевода]]-Таблица1[[#This Row],[Дата поступления]]</f>
        <v>2</v>
      </c>
      <c r="W364" s="2">
        <f>Таблица1[[#This Row],[Дата поступления]]-Таблица1[[#This Row],[Дата рождения]]</f>
        <v>5709</v>
      </c>
    </row>
    <row r="365" spans="22:23" ht="24.95" customHeight="1" x14ac:dyDescent="0.25">
      <c r="V365" s="2">
        <f>Таблица1[[#This Row],[Дата перевода]]-Таблица1[[#This Row],[Дата поступления]]</f>
        <v>4</v>
      </c>
      <c r="W365" s="2">
        <f>Таблица1[[#This Row],[Дата поступления]]-Таблица1[[#This Row],[Дата рождения]]</f>
        <v>3519</v>
      </c>
    </row>
    <row r="366" spans="22:23" ht="24.95" customHeight="1" x14ac:dyDescent="0.25">
      <c r="V366" s="2">
        <f>Таблица1[[#This Row],[Дата перевода]]-Таблица1[[#This Row],[Дата поступления]]</f>
        <v>1</v>
      </c>
      <c r="W366" s="2">
        <f>Таблица1[[#This Row],[Дата поступления]]-Таблица1[[#This Row],[Дата рождения]]</f>
        <v>5506</v>
      </c>
    </row>
    <row r="367" spans="22:23" ht="24.95" customHeight="1" x14ac:dyDescent="0.25">
      <c r="V367" s="2">
        <f>Таблица1[[#This Row],[Дата перевода]]-Таблица1[[#This Row],[Дата поступления]]</f>
        <v>12</v>
      </c>
      <c r="W367" s="2">
        <f>Таблица1[[#This Row],[Дата поступления]]-Таблица1[[#This Row],[Дата рождения]]</f>
        <v>3717</v>
      </c>
    </row>
    <row r="368" spans="22:23" ht="24.95" customHeight="1" x14ac:dyDescent="0.25">
      <c r="V368" s="2">
        <f>Таблица1[[#This Row],[Дата перевода]]-Таблица1[[#This Row],[Дата поступления]]</f>
        <v>1</v>
      </c>
      <c r="W368" s="2">
        <f>Таблица1[[#This Row],[Дата поступления]]-Таблица1[[#This Row],[Дата рождения]]</f>
        <v>5323</v>
      </c>
    </row>
    <row r="369" spans="22:23" ht="24.95" customHeight="1" x14ac:dyDescent="0.25">
      <c r="V369" s="2">
        <f>Таблица1[[#This Row],[Дата перевода]]-Таблица1[[#This Row],[Дата поступления]]</f>
        <v>4</v>
      </c>
      <c r="W369" s="2">
        <f>Таблица1[[#This Row],[Дата поступления]]-Таблица1[[#This Row],[Дата рождения]]</f>
        <v>189</v>
      </c>
    </row>
    <row r="370" spans="22:23" ht="24.95" customHeight="1" x14ac:dyDescent="0.25">
      <c r="V370" s="2">
        <f>Таблица1[[#This Row],[Дата перевода]]-Таблица1[[#This Row],[Дата поступления]]</f>
        <v>1</v>
      </c>
      <c r="W370" s="2">
        <f>Таблица1[[#This Row],[Дата поступления]]-Таблица1[[#This Row],[Дата рождения]]</f>
        <v>1905</v>
      </c>
    </row>
    <row r="371" spans="22:23" ht="24.95" customHeight="1" x14ac:dyDescent="0.25">
      <c r="V371" s="2">
        <f>Таблица1[[#This Row],[Дата перевода]]-Таблица1[[#This Row],[Дата поступления]]</f>
        <v>1</v>
      </c>
      <c r="W371" s="2">
        <f>Таблица1[[#This Row],[Дата поступления]]-Таблица1[[#This Row],[Дата рождения]]</f>
        <v>2982</v>
      </c>
    </row>
    <row r="372" spans="22:23" ht="24.95" customHeight="1" x14ac:dyDescent="0.25">
      <c r="V372" s="2">
        <f>Таблица1[[#This Row],[Дата перевода]]-Таблица1[[#This Row],[Дата поступления]]</f>
        <v>0</v>
      </c>
      <c r="W372" s="2">
        <f>Таблица1[[#This Row],[Дата поступления]]-Таблица1[[#This Row],[Дата рождения]]</f>
        <v>5474</v>
      </c>
    </row>
    <row r="373" spans="22:23" ht="24.95" customHeight="1" x14ac:dyDescent="0.25">
      <c r="V373" s="2">
        <f>Таблица1[[#This Row],[Дата перевода]]-Таблица1[[#This Row],[Дата поступления]]</f>
        <v>2</v>
      </c>
      <c r="W373" s="2">
        <f>Таблица1[[#This Row],[Дата поступления]]-Таблица1[[#This Row],[Дата рождения]]</f>
        <v>3848</v>
      </c>
    </row>
    <row r="374" spans="22:23" ht="24.95" customHeight="1" x14ac:dyDescent="0.25">
      <c r="V374" s="2">
        <f>Таблица1[[#This Row],[Дата перевода]]-Таблица1[[#This Row],[Дата поступления]]</f>
        <v>4</v>
      </c>
      <c r="W374" s="2">
        <f>Таблица1[[#This Row],[Дата поступления]]-Таблица1[[#This Row],[Дата рождения]]</f>
        <v>6232</v>
      </c>
    </row>
    <row r="375" spans="22:23" ht="24.95" customHeight="1" x14ac:dyDescent="0.25">
      <c r="V375" s="2">
        <f>Таблица1[[#This Row],[Дата перевода]]-Таблица1[[#This Row],[Дата поступления]]</f>
        <v>2</v>
      </c>
      <c r="W375" s="2">
        <f>Таблица1[[#This Row],[Дата поступления]]-Таблица1[[#This Row],[Дата рождения]]</f>
        <v>5014</v>
      </c>
    </row>
    <row r="376" spans="22:23" ht="24.95" customHeight="1" x14ac:dyDescent="0.25">
      <c r="V376" s="2">
        <f>Таблица1[[#This Row],[Дата перевода]]-Таблица1[[#This Row],[Дата поступления]]</f>
        <v>1</v>
      </c>
      <c r="W376" s="2">
        <f>Таблица1[[#This Row],[Дата поступления]]-Таблица1[[#This Row],[Дата рождения]]</f>
        <v>0</v>
      </c>
    </row>
    <row r="377" spans="22:23" ht="24.95" customHeight="1" x14ac:dyDescent="0.25">
      <c r="V377" s="2">
        <f>Таблица1[[#This Row],[Дата перевода]]-Таблица1[[#This Row],[Дата поступления]]</f>
        <v>4</v>
      </c>
      <c r="W377" s="2">
        <f>Таблица1[[#This Row],[Дата поступления]]-Таблица1[[#This Row],[Дата рождения]]</f>
        <v>5136</v>
      </c>
    </row>
    <row r="378" spans="22:23" ht="24.95" customHeight="1" x14ac:dyDescent="0.25">
      <c r="V378" s="2">
        <f>Таблица1[[#This Row],[Дата перевода]]-Таблица1[[#This Row],[Дата поступления]]</f>
        <v>1</v>
      </c>
      <c r="W378" s="2">
        <f>Таблица1[[#This Row],[Дата поступления]]-Таблица1[[#This Row],[Дата рождения]]</f>
        <v>5352</v>
      </c>
    </row>
    <row r="379" spans="22:23" ht="24.95" customHeight="1" x14ac:dyDescent="0.25">
      <c r="V379" s="2">
        <f>Таблица1[[#This Row],[Дата перевода]]-Таблица1[[#This Row],[Дата поступления]]</f>
        <v>1</v>
      </c>
      <c r="W379" s="2">
        <f>Таблица1[[#This Row],[Дата поступления]]-Таблица1[[#This Row],[Дата рождения]]</f>
        <v>450</v>
      </c>
    </row>
    <row r="380" spans="22:23" ht="24.95" customHeight="1" x14ac:dyDescent="0.25">
      <c r="V380" s="2">
        <f>Таблица1[[#This Row],[Дата перевода]]-Таблица1[[#This Row],[Дата поступления]]</f>
        <v>0</v>
      </c>
      <c r="W380" s="2">
        <f>Таблица1[[#This Row],[Дата поступления]]-Таблица1[[#This Row],[Дата рождения]]</f>
        <v>2273</v>
      </c>
    </row>
    <row r="381" spans="22:23" ht="24.95" customHeight="1" x14ac:dyDescent="0.25">
      <c r="V381" s="2">
        <f>Таблица1[[#This Row],[Дата перевода]]-Таблица1[[#This Row],[Дата поступления]]</f>
        <v>8</v>
      </c>
      <c r="W381" s="2">
        <f>Таблица1[[#This Row],[Дата поступления]]-Таблица1[[#This Row],[Дата рождения]]</f>
        <v>1579</v>
      </c>
    </row>
    <row r="382" spans="22:23" ht="24.95" customHeight="1" x14ac:dyDescent="0.25">
      <c r="V382" s="2">
        <f>Таблица1[[#This Row],[Дата перевода]]-Таблица1[[#This Row],[Дата поступления]]</f>
        <v>2</v>
      </c>
      <c r="W382" s="2">
        <f>Таблица1[[#This Row],[Дата поступления]]-Таблица1[[#This Row],[Дата рождения]]</f>
        <v>3439</v>
      </c>
    </row>
    <row r="383" spans="22:23" ht="24.95" customHeight="1" x14ac:dyDescent="0.25">
      <c r="V383" s="2">
        <f>Таблица1[[#This Row],[Дата перевода]]-Таблица1[[#This Row],[Дата поступления]]</f>
        <v>3</v>
      </c>
      <c r="W383" s="2">
        <f>Таблица1[[#This Row],[Дата поступления]]-Таблица1[[#This Row],[Дата рождения]]</f>
        <v>5571</v>
      </c>
    </row>
    <row r="384" spans="22:23" ht="24.95" customHeight="1" x14ac:dyDescent="0.25">
      <c r="V384" s="2">
        <f>Таблица1[[#This Row],[Дата перевода]]-Таблица1[[#This Row],[Дата поступления]]</f>
        <v>1</v>
      </c>
      <c r="W384" s="2">
        <f>Таблица1[[#This Row],[Дата поступления]]-Таблица1[[#This Row],[Дата рождения]]</f>
        <v>1423</v>
      </c>
    </row>
    <row r="385" spans="22:23" ht="24.95" customHeight="1" x14ac:dyDescent="0.25">
      <c r="V385" s="2">
        <f>Таблица1[[#This Row],[Дата перевода]]-Таблица1[[#This Row],[Дата поступления]]</f>
        <v>0</v>
      </c>
      <c r="W385" s="2">
        <f>Таблица1[[#This Row],[Дата поступления]]-Таблица1[[#This Row],[Дата рождения]]</f>
        <v>6209</v>
      </c>
    </row>
    <row r="386" spans="22:23" ht="24.95" customHeight="1" x14ac:dyDescent="0.25">
      <c r="V386" s="2">
        <f>Таблица1[[#This Row],[Дата перевода]]-Таблица1[[#This Row],[Дата поступления]]</f>
        <v>1</v>
      </c>
      <c r="W386" s="2">
        <f>Таблица1[[#This Row],[Дата поступления]]-Таблица1[[#This Row],[Дата рождения]]</f>
        <v>5826</v>
      </c>
    </row>
    <row r="387" spans="22:23" ht="24.95" customHeight="1" x14ac:dyDescent="0.25">
      <c r="V387" s="2">
        <f>Таблица1[[#This Row],[Дата перевода]]-Таблица1[[#This Row],[Дата поступления]]</f>
        <v>9</v>
      </c>
      <c r="W387" s="2">
        <f>Таблица1[[#This Row],[Дата поступления]]-Таблица1[[#This Row],[Дата рождения]]</f>
        <v>5710</v>
      </c>
    </row>
    <row r="388" spans="22:23" ht="24.95" customHeight="1" x14ac:dyDescent="0.25">
      <c r="V388" s="2">
        <f>Таблица1[[#This Row],[Дата перевода]]-Таблица1[[#This Row],[Дата поступления]]</f>
        <v>1</v>
      </c>
      <c r="W388" s="2">
        <f>Таблица1[[#This Row],[Дата поступления]]-Таблица1[[#This Row],[Дата рождения]]</f>
        <v>4397</v>
      </c>
    </row>
    <row r="389" spans="22:23" ht="24.95" customHeight="1" x14ac:dyDescent="0.25">
      <c r="V389" s="2">
        <f>Таблица1[[#This Row],[Дата перевода]]-Таблица1[[#This Row],[Дата поступления]]</f>
        <v>1</v>
      </c>
      <c r="W389" s="2">
        <f>Таблица1[[#This Row],[Дата поступления]]-Таблица1[[#This Row],[Дата рождения]]</f>
        <v>2692</v>
      </c>
    </row>
    <row r="390" spans="22:23" ht="24.95" customHeight="1" x14ac:dyDescent="0.25">
      <c r="V390" s="2">
        <f>Таблица1[[#This Row],[Дата перевода]]-Таблица1[[#This Row],[Дата поступления]]</f>
        <v>1</v>
      </c>
      <c r="W390" s="2">
        <f>Таблица1[[#This Row],[Дата поступления]]-Таблица1[[#This Row],[Дата рождения]]</f>
        <v>1378</v>
      </c>
    </row>
    <row r="391" spans="22:23" ht="24.95" customHeight="1" x14ac:dyDescent="0.25">
      <c r="V391" s="2">
        <f>Таблица1[[#This Row],[Дата перевода]]-Таблица1[[#This Row],[Дата поступления]]</f>
        <v>1</v>
      </c>
      <c r="W391" s="2">
        <f>Таблица1[[#This Row],[Дата поступления]]-Таблица1[[#This Row],[Дата рождения]]</f>
        <v>520</v>
      </c>
    </row>
    <row r="392" spans="22:23" ht="24.95" customHeight="1" x14ac:dyDescent="0.25">
      <c r="V392" s="2">
        <f>Таблица1[[#This Row],[Дата перевода]]-Таблица1[[#This Row],[Дата поступления]]</f>
        <v>2</v>
      </c>
      <c r="W392" s="2">
        <f>Таблица1[[#This Row],[Дата поступления]]-Таблица1[[#This Row],[Дата рождения]]</f>
        <v>47</v>
      </c>
    </row>
    <row r="393" spans="22:23" ht="24.95" customHeight="1" x14ac:dyDescent="0.25">
      <c r="V393" s="2">
        <f>Таблица1[[#This Row],[Дата перевода]]-Таблица1[[#This Row],[Дата поступления]]</f>
        <v>1</v>
      </c>
      <c r="W393" s="2">
        <f>Таблица1[[#This Row],[Дата поступления]]-Таблица1[[#This Row],[Дата рождения]]</f>
        <v>5857</v>
      </c>
    </row>
    <row r="394" spans="22:23" ht="24.95" customHeight="1" x14ac:dyDescent="0.25">
      <c r="V394" s="2">
        <f>Таблица1[[#This Row],[Дата перевода]]-Таблица1[[#This Row],[Дата поступления]]</f>
        <v>1</v>
      </c>
      <c r="W394" s="2">
        <f>Таблица1[[#This Row],[Дата поступления]]-Таблица1[[#This Row],[Дата рождения]]</f>
        <v>406</v>
      </c>
    </row>
    <row r="395" spans="22:23" ht="24.95" customHeight="1" x14ac:dyDescent="0.25">
      <c r="V395" s="2">
        <f>Таблица1[[#This Row],[Дата перевода]]-Таблица1[[#This Row],[Дата поступления]]</f>
        <v>11</v>
      </c>
      <c r="W395" s="2">
        <f>Таблица1[[#This Row],[Дата поступления]]-Таблица1[[#This Row],[Дата рождения]]</f>
        <v>180</v>
      </c>
    </row>
    <row r="396" spans="22:23" ht="24.95" customHeight="1" x14ac:dyDescent="0.25">
      <c r="V396" s="2">
        <f>Таблица1[[#This Row],[Дата перевода]]-Таблица1[[#This Row],[Дата поступления]]</f>
        <v>6</v>
      </c>
      <c r="W396" s="2">
        <f>Таблица1[[#This Row],[Дата поступления]]-Таблица1[[#This Row],[Дата рождения]]</f>
        <v>1880</v>
      </c>
    </row>
    <row r="397" spans="22:23" ht="24.95" customHeight="1" x14ac:dyDescent="0.25">
      <c r="V397" s="2">
        <f>Таблица1[[#This Row],[Дата перевода]]-Таблица1[[#This Row],[Дата поступления]]</f>
        <v>11</v>
      </c>
      <c r="W397" s="2">
        <f>Таблица1[[#This Row],[Дата поступления]]-Таблица1[[#This Row],[Дата рождения]]</f>
        <v>5726</v>
      </c>
    </row>
    <row r="398" spans="22:23" ht="24.95" customHeight="1" x14ac:dyDescent="0.25">
      <c r="V398" s="2">
        <f>Таблица1[[#This Row],[Дата перевода]]-Таблица1[[#This Row],[Дата поступления]]</f>
        <v>4</v>
      </c>
      <c r="W398" s="2">
        <f>Таблица1[[#This Row],[Дата поступления]]-Таблица1[[#This Row],[Дата рождения]]</f>
        <v>1588</v>
      </c>
    </row>
    <row r="399" spans="22:23" ht="24.95" customHeight="1" x14ac:dyDescent="0.25">
      <c r="V399" s="2">
        <f>Таблица1[[#This Row],[Дата перевода]]-Таблица1[[#This Row],[Дата поступления]]</f>
        <v>6</v>
      </c>
      <c r="W399" s="2">
        <f>Таблица1[[#This Row],[Дата поступления]]-Таблица1[[#This Row],[Дата рождения]]</f>
        <v>4305</v>
      </c>
    </row>
    <row r="400" spans="22:23" ht="24.95" customHeight="1" x14ac:dyDescent="0.25">
      <c r="V400" s="2">
        <f>Таблица1[[#This Row],[Дата перевода]]-Таблица1[[#This Row],[Дата поступления]]</f>
        <v>1</v>
      </c>
      <c r="W400" s="2">
        <f>Таблица1[[#This Row],[Дата поступления]]-Таблица1[[#This Row],[Дата рождения]]</f>
        <v>265</v>
      </c>
    </row>
    <row r="401" spans="22:23" ht="24.95" customHeight="1" x14ac:dyDescent="0.25">
      <c r="V401" s="2">
        <f>Таблица1[[#This Row],[Дата перевода]]-Таблица1[[#This Row],[Дата поступления]]</f>
        <v>3</v>
      </c>
      <c r="W401" s="2">
        <f>Таблица1[[#This Row],[Дата поступления]]-Таблица1[[#This Row],[Дата рождения]]</f>
        <v>5606</v>
      </c>
    </row>
    <row r="402" spans="22:23" ht="24.95" customHeight="1" x14ac:dyDescent="0.25">
      <c r="V402" s="2">
        <f>Таблица1[[#This Row],[Дата перевода]]-Таблица1[[#This Row],[Дата поступления]]</f>
        <v>6</v>
      </c>
      <c r="W402" s="2">
        <f>Таблица1[[#This Row],[Дата поступления]]-Таблица1[[#This Row],[Дата рождения]]</f>
        <v>1956</v>
      </c>
    </row>
    <row r="403" spans="22:23" ht="24.95" customHeight="1" x14ac:dyDescent="0.25">
      <c r="V403" s="2">
        <f>Таблица1[[#This Row],[Дата перевода]]-Таблица1[[#This Row],[Дата поступления]]</f>
        <v>1</v>
      </c>
      <c r="W403" s="2">
        <f>Таблица1[[#This Row],[Дата поступления]]-Таблица1[[#This Row],[Дата рождения]]</f>
        <v>6234</v>
      </c>
    </row>
    <row r="404" spans="22:23" ht="24.95" customHeight="1" x14ac:dyDescent="0.25">
      <c r="V404" s="2">
        <f>Таблица1[[#This Row],[Дата перевода]]-Таблица1[[#This Row],[Дата поступления]]</f>
        <v>1</v>
      </c>
      <c r="W404" s="2">
        <f>Таблица1[[#This Row],[Дата поступления]]-Таблица1[[#This Row],[Дата рождения]]</f>
        <v>3827</v>
      </c>
    </row>
    <row r="405" spans="22:23" ht="24.95" customHeight="1" x14ac:dyDescent="0.25">
      <c r="V405" s="2">
        <f>Таблица1[[#This Row],[Дата перевода]]-Таблица1[[#This Row],[Дата поступления]]</f>
        <v>9</v>
      </c>
      <c r="W405" s="2">
        <f>Таблица1[[#This Row],[Дата поступления]]-Таблица1[[#This Row],[Дата рождения]]</f>
        <v>1598</v>
      </c>
    </row>
    <row r="406" spans="22:23" ht="24.95" customHeight="1" x14ac:dyDescent="0.25">
      <c r="V406" s="2">
        <f>Таблица1[[#This Row],[Дата перевода]]-Таблица1[[#This Row],[Дата поступления]]</f>
        <v>1</v>
      </c>
      <c r="W406" s="2">
        <f>Таблица1[[#This Row],[Дата поступления]]-Таблица1[[#This Row],[Дата рождения]]</f>
        <v>4098</v>
      </c>
    </row>
    <row r="407" spans="22:23" ht="24.95" customHeight="1" x14ac:dyDescent="0.25">
      <c r="V407" s="2">
        <f>Таблица1[[#This Row],[Дата перевода]]-Таблица1[[#This Row],[Дата поступления]]</f>
        <v>1</v>
      </c>
      <c r="W407" s="2">
        <f>Таблица1[[#This Row],[Дата поступления]]-Таблица1[[#This Row],[Дата рождения]]</f>
        <v>2931</v>
      </c>
    </row>
    <row r="408" spans="22:23" ht="24.95" customHeight="1" x14ac:dyDescent="0.25">
      <c r="V408" s="2">
        <f>Таблица1[[#This Row],[Дата перевода]]-Таблица1[[#This Row],[Дата поступления]]</f>
        <v>3</v>
      </c>
      <c r="W408" s="2">
        <f>Таблица1[[#This Row],[Дата поступления]]-Таблица1[[#This Row],[Дата рождения]]</f>
        <v>4349</v>
      </c>
    </row>
    <row r="409" spans="22:23" ht="24.95" customHeight="1" x14ac:dyDescent="0.25">
      <c r="V409" s="2">
        <f>Таблица1[[#This Row],[Дата перевода]]-Таблица1[[#This Row],[Дата поступления]]</f>
        <v>2</v>
      </c>
      <c r="W409" s="2">
        <f>Таблица1[[#This Row],[Дата поступления]]-Таблица1[[#This Row],[Дата рождения]]</f>
        <v>1594</v>
      </c>
    </row>
    <row r="410" spans="22:23" ht="24.95" customHeight="1" x14ac:dyDescent="0.25">
      <c r="V410" s="2">
        <f>Таблица1[[#This Row],[Дата перевода]]-Таблица1[[#This Row],[Дата поступления]]</f>
        <v>5</v>
      </c>
      <c r="W410" s="2">
        <f>Таблица1[[#This Row],[Дата поступления]]-Таблица1[[#This Row],[Дата рождения]]</f>
        <v>253</v>
      </c>
    </row>
    <row r="411" spans="22:23" ht="24.95" customHeight="1" x14ac:dyDescent="0.25">
      <c r="V411" s="2">
        <f>Таблица1[[#This Row],[Дата перевода]]-Таблица1[[#This Row],[Дата поступления]]</f>
        <v>14</v>
      </c>
      <c r="W411" s="2">
        <f>Таблица1[[#This Row],[Дата поступления]]-Таблица1[[#This Row],[Дата рождения]]</f>
        <v>448</v>
      </c>
    </row>
    <row r="412" spans="22:23" ht="24.95" customHeight="1" x14ac:dyDescent="0.25">
      <c r="V412" s="2">
        <f>Таблица1[[#This Row],[Дата перевода]]-Таблица1[[#This Row],[Дата поступления]]</f>
        <v>1</v>
      </c>
      <c r="W412" s="2">
        <f>Таблица1[[#This Row],[Дата поступления]]-Таблица1[[#This Row],[Дата рождения]]</f>
        <v>4847</v>
      </c>
    </row>
    <row r="413" spans="22:23" ht="24.95" customHeight="1" x14ac:dyDescent="0.25">
      <c r="V413" s="2">
        <f>Таблица1[[#This Row],[Дата перевода]]-Таблица1[[#This Row],[Дата поступления]]</f>
        <v>5</v>
      </c>
      <c r="W413" s="2">
        <f>Таблица1[[#This Row],[Дата поступления]]-Таблица1[[#This Row],[Дата рождения]]</f>
        <v>49</v>
      </c>
    </row>
    <row r="414" spans="22:23" ht="24.95" customHeight="1" x14ac:dyDescent="0.25">
      <c r="V414" s="2">
        <f>Таблица1[[#This Row],[Дата перевода]]-Таблица1[[#This Row],[Дата поступления]]</f>
        <v>2</v>
      </c>
      <c r="W414" s="2">
        <f>Таблица1[[#This Row],[Дата поступления]]-Таблица1[[#This Row],[Дата рождения]]</f>
        <v>203</v>
      </c>
    </row>
    <row r="415" spans="22:23" ht="24.95" customHeight="1" x14ac:dyDescent="0.25">
      <c r="V415" s="2">
        <f>Таблица1[[#This Row],[Дата перевода]]-Таблица1[[#This Row],[Дата поступления]]</f>
        <v>0</v>
      </c>
      <c r="W415" s="2">
        <f>Таблица1[[#This Row],[Дата поступления]]-Таблица1[[#This Row],[Дата рождения]]</f>
        <v>5731</v>
      </c>
    </row>
    <row r="416" spans="22:23" ht="24.95" customHeight="1" x14ac:dyDescent="0.25">
      <c r="V416" s="2">
        <f>Таблица1[[#This Row],[Дата перевода]]-Таблица1[[#This Row],[Дата поступления]]</f>
        <v>4</v>
      </c>
      <c r="W416" s="2">
        <f>Таблица1[[#This Row],[Дата поступления]]-Таблица1[[#This Row],[Дата рождения]]</f>
        <v>357</v>
      </c>
    </row>
    <row r="417" spans="22:23" ht="24.95" customHeight="1" x14ac:dyDescent="0.25">
      <c r="V417" s="2">
        <f>Таблица1[[#This Row],[Дата перевода]]-Таблица1[[#This Row],[Дата поступления]]</f>
        <v>1</v>
      </c>
      <c r="W417" s="2">
        <f>Таблица1[[#This Row],[Дата поступления]]-Таблица1[[#This Row],[Дата рождения]]</f>
        <v>6573</v>
      </c>
    </row>
    <row r="418" spans="22:23" ht="24.95" customHeight="1" x14ac:dyDescent="0.25">
      <c r="V418" s="2">
        <f>Таблица1[[#This Row],[Дата перевода]]-Таблица1[[#This Row],[Дата поступления]]</f>
        <v>3</v>
      </c>
      <c r="W418" s="2">
        <f>Таблица1[[#This Row],[Дата поступления]]-Таблица1[[#This Row],[Дата рождения]]</f>
        <v>5948</v>
      </c>
    </row>
    <row r="419" spans="22:23" ht="24.95" customHeight="1" x14ac:dyDescent="0.25">
      <c r="V419" s="2">
        <f>Таблица1[[#This Row],[Дата перевода]]-Таблица1[[#This Row],[Дата поступления]]</f>
        <v>3</v>
      </c>
      <c r="W419" s="2">
        <f>Таблица1[[#This Row],[Дата поступления]]-Таблица1[[#This Row],[Дата рождения]]</f>
        <v>4034</v>
      </c>
    </row>
    <row r="420" spans="22:23" ht="24.95" customHeight="1" x14ac:dyDescent="0.25">
      <c r="V420" s="2">
        <f>Таблица1[[#This Row],[Дата перевода]]-Таблица1[[#This Row],[Дата поступления]]</f>
        <v>1</v>
      </c>
      <c r="W420" s="2">
        <f>Таблица1[[#This Row],[Дата поступления]]-Таблица1[[#This Row],[Дата рождения]]</f>
        <v>792</v>
      </c>
    </row>
    <row r="421" spans="22:23" ht="24.95" customHeight="1" x14ac:dyDescent="0.25">
      <c r="V421" s="2">
        <f>Таблица1[[#This Row],[Дата перевода]]-Таблица1[[#This Row],[Дата поступления]]</f>
        <v>1</v>
      </c>
      <c r="W421" s="2">
        <f>Таблица1[[#This Row],[Дата поступления]]-Таблица1[[#This Row],[Дата рождения]]</f>
        <v>4781</v>
      </c>
    </row>
    <row r="422" spans="22:23" ht="24.95" customHeight="1" x14ac:dyDescent="0.25">
      <c r="V422" s="2">
        <f>Таблица1[[#This Row],[Дата перевода]]-Таблица1[[#This Row],[Дата поступления]]</f>
        <v>1</v>
      </c>
      <c r="W422" s="2">
        <f>Таблица1[[#This Row],[Дата поступления]]-Таблица1[[#This Row],[Дата рождения]]</f>
        <v>6470</v>
      </c>
    </row>
    <row r="423" spans="22:23" ht="24.95" customHeight="1" x14ac:dyDescent="0.25">
      <c r="V423" s="2">
        <f>Таблица1[[#This Row],[Дата перевода]]-Таблица1[[#This Row],[Дата поступления]]</f>
        <v>1</v>
      </c>
      <c r="W423" s="2">
        <f>Таблица1[[#This Row],[Дата поступления]]-Таблица1[[#This Row],[Дата рождения]]</f>
        <v>5216</v>
      </c>
    </row>
    <row r="424" spans="22:23" ht="24.95" customHeight="1" x14ac:dyDescent="0.25">
      <c r="V424" s="2">
        <f>Таблица1[[#This Row],[Дата перевода]]-Таблица1[[#This Row],[Дата поступления]]</f>
        <v>1</v>
      </c>
      <c r="W424" s="2">
        <f>Таблица1[[#This Row],[Дата поступления]]-Таблица1[[#This Row],[Дата рождения]]</f>
        <v>5172</v>
      </c>
    </row>
    <row r="425" spans="22:23" ht="24.95" customHeight="1" x14ac:dyDescent="0.25">
      <c r="V425" s="2">
        <f>Таблица1[[#This Row],[Дата перевода]]-Таблица1[[#This Row],[Дата поступления]]</f>
        <v>2</v>
      </c>
      <c r="W425" s="2">
        <f>Таблица1[[#This Row],[Дата поступления]]-Таблица1[[#This Row],[Дата рождения]]</f>
        <v>6354</v>
      </c>
    </row>
    <row r="426" spans="22:23" ht="24.95" customHeight="1" x14ac:dyDescent="0.25">
      <c r="V426" s="2">
        <f>Таблица1[[#This Row],[Дата перевода]]-Таблица1[[#This Row],[Дата поступления]]</f>
        <v>7</v>
      </c>
      <c r="W426" s="2">
        <f>Таблица1[[#This Row],[Дата поступления]]-Таблица1[[#This Row],[Дата рождения]]</f>
        <v>3793</v>
      </c>
    </row>
    <row r="427" spans="22:23" ht="24.95" customHeight="1" x14ac:dyDescent="0.25">
      <c r="V427" s="2">
        <f>Таблица1[[#This Row],[Дата перевода]]-Таблица1[[#This Row],[Дата поступления]]</f>
        <v>1</v>
      </c>
      <c r="W427" s="2">
        <f>Таблица1[[#This Row],[Дата поступления]]-Таблица1[[#This Row],[Дата рождения]]</f>
        <v>3246</v>
      </c>
    </row>
    <row r="428" spans="22:23" ht="24.95" customHeight="1" x14ac:dyDescent="0.25">
      <c r="V428" s="2">
        <f>Таблица1[[#This Row],[Дата перевода]]-Таблица1[[#This Row],[Дата поступления]]</f>
        <v>1</v>
      </c>
      <c r="W428" s="2">
        <f>Таблица1[[#This Row],[Дата поступления]]-Таблица1[[#This Row],[Дата рождения]]</f>
        <v>3222</v>
      </c>
    </row>
    <row r="429" spans="22:23" ht="24.95" customHeight="1" x14ac:dyDescent="0.25">
      <c r="V429" s="2">
        <f>Таблица1[[#This Row],[Дата перевода]]-Таблица1[[#This Row],[Дата поступления]]</f>
        <v>2</v>
      </c>
      <c r="W429" s="2">
        <f>Таблица1[[#This Row],[Дата поступления]]-Таблица1[[#This Row],[Дата рождения]]</f>
        <v>60</v>
      </c>
    </row>
    <row r="430" spans="22:23" ht="24.95" customHeight="1" x14ac:dyDescent="0.25">
      <c r="V430" s="2">
        <f>Таблица1[[#This Row],[Дата перевода]]-Таблица1[[#This Row],[Дата поступления]]</f>
        <v>1</v>
      </c>
      <c r="W430" s="2">
        <f>Таблица1[[#This Row],[Дата поступления]]-Таблица1[[#This Row],[Дата рождения]]</f>
        <v>6502</v>
      </c>
    </row>
    <row r="431" spans="22:23" ht="24.95" customHeight="1" x14ac:dyDescent="0.25">
      <c r="V431" s="2">
        <f>Таблица1[[#This Row],[Дата перевода]]-Таблица1[[#This Row],[Дата поступления]]</f>
        <v>2</v>
      </c>
      <c r="W431" s="2">
        <f>Таблица1[[#This Row],[Дата поступления]]-Таблица1[[#This Row],[Дата рождения]]</f>
        <v>3820</v>
      </c>
    </row>
    <row r="432" spans="22:23" ht="24.95" customHeight="1" x14ac:dyDescent="0.25">
      <c r="V432" s="2">
        <f>Таблица1[[#This Row],[Дата перевода]]-Таблица1[[#This Row],[Дата поступления]]</f>
        <v>1</v>
      </c>
      <c r="W432" s="2">
        <f>Таблица1[[#This Row],[Дата поступления]]-Таблица1[[#This Row],[Дата рождения]]</f>
        <v>4979</v>
      </c>
    </row>
    <row r="433" spans="22:23" ht="24.95" customHeight="1" x14ac:dyDescent="0.25">
      <c r="V433" s="2">
        <f>Таблица1[[#This Row],[Дата перевода]]-Таблица1[[#This Row],[Дата поступления]]</f>
        <v>2</v>
      </c>
      <c r="W433" s="2">
        <f>Таблица1[[#This Row],[Дата поступления]]-Таблица1[[#This Row],[Дата рождения]]</f>
        <v>5785</v>
      </c>
    </row>
    <row r="434" spans="22:23" ht="24.95" customHeight="1" x14ac:dyDescent="0.25">
      <c r="V434" s="2">
        <f>Таблица1[[#This Row],[Дата перевода]]-Таблица1[[#This Row],[Дата поступления]]</f>
        <v>0</v>
      </c>
      <c r="W434" s="2">
        <f>Таблица1[[#This Row],[Дата поступления]]-Таблица1[[#This Row],[Дата рождения]]</f>
        <v>1058</v>
      </c>
    </row>
    <row r="435" spans="22:23" ht="24.95" customHeight="1" x14ac:dyDescent="0.25">
      <c r="V435" s="2">
        <f>Таблица1[[#This Row],[Дата перевода]]-Таблица1[[#This Row],[Дата поступления]]</f>
        <v>0</v>
      </c>
      <c r="W435" s="2">
        <f>Таблица1[[#This Row],[Дата поступления]]-Таблица1[[#This Row],[Дата рождения]]</f>
        <v>5810</v>
      </c>
    </row>
    <row r="436" spans="22:23" ht="24.95" customHeight="1" x14ac:dyDescent="0.25">
      <c r="V436" s="2">
        <f>Таблица1[[#This Row],[Дата перевода]]-Таблица1[[#This Row],[Дата поступления]]</f>
        <v>1</v>
      </c>
      <c r="W436" s="2">
        <f>Таблица1[[#This Row],[Дата поступления]]-Таблица1[[#This Row],[Дата рождения]]</f>
        <v>6428</v>
      </c>
    </row>
    <row r="437" spans="22:23" ht="24.95" customHeight="1" x14ac:dyDescent="0.25">
      <c r="V437" s="2">
        <f>Таблица1[[#This Row],[Дата перевода]]-Таблица1[[#This Row],[Дата поступления]]</f>
        <v>1</v>
      </c>
      <c r="W437" s="2">
        <f>Таблица1[[#This Row],[Дата поступления]]-Таблица1[[#This Row],[Дата рождения]]</f>
        <v>726</v>
      </c>
    </row>
    <row r="438" spans="22:23" ht="24.95" customHeight="1" x14ac:dyDescent="0.25">
      <c r="V438" s="2">
        <f>Таблица1[[#This Row],[Дата перевода]]-Таблица1[[#This Row],[Дата поступления]]</f>
        <v>14</v>
      </c>
      <c r="W438" s="2">
        <f>Таблица1[[#This Row],[Дата поступления]]-Таблица1[[#This Row],[Дата рождения]]</f>
        <v>3813</v>
      </c>
    </row>
    <row r="439" spans="22:23" ht="24.95" customHeight="1" x14ac:dyDescent="0.25">
      <c r="V439" s="2">
        <f>Таблица1[[#This Row],[Дата перевода]]-Таблица1[[#This Row],[Дата поступления]]</f>
        <v>9</v>
      </c>
      <c r="W439" s="2">
        <f>Таблица1[[#This Row],[Дата поступления]]-Таблица1[[#This Row],[Дата рождения]]</f>
        <v>5520</v>
      </c>
    </row>
    <row r="440" spans="22:23" ht="24.95" customHeight="1" x14ac:dyDescent="0.25">
      <c r="V440" s="2">
        <f>Таблица1[[#This Row],[Дата перевода]]-Таблица1[[#This Row],[Дата поступления]]</f>
        <v>2</v>
      </c>
      <c r="W440" s="2">
        <f>Таблица1[[#This Row],[Дата поступления]]-Таблица1[[#This Row],[Дата рождения]]</f>
        <v>3417</v>
      </c>
    </row>
    <row r="441" spans="22:23" ht="24.95" customHeight="1" x14ac:dyDescent="0.25">
      <c r="V441" s="2">
        <f>Таблица1[[#This Row],[Дата перевода]]-Таблица1[[#This Row],[Дата поступления]]</f>
        <v>1</v>
      </c>
      <c r="W441" s="2">
        <f>Таблица1[[#This Row],[Дата поступления]]-Таблица1[[#This Row],[Дата рождения]]</f>
        <v>379</v>
      </c>
    </row>
    <row r="442" spans="22:23" ht="24.95" customHeight="1" x14ac:dyDescent="0.25">
      <c r="V442" s="2">
        <f>Таблица1[[#This Row],[Дата перевода]]-Таблица1[[#This Row],[Дата поступления]]</f>
        <v>20</v>
      </c>
      <c r="W442" s="2">
        <f>Таблица1[[#This Row],[Дата поступления]]-Таблица1[[#This Row],[Дата рождения]]</f>
        <v>5609</v>
      </c>
    </row>
    <row r="443" spans="22:23" ht="24.95" customHeight="1" x14ac:dyDescent="0.25">
      <c r="V443" s="2">
        <f>Таблица1[[#This Row],[Дата перевода]]-Таблица1[[#This Row],[Дата поступления]]</f>
        <v>1</v>
      </c>
      <c r="W443" s="2">
        <f>Таблица1[[#This Row],[Дата поступления]]-Таблица1[[#This Row],[Дата рождения]]</f>
        <v>503</v>
      </c>
    </row>
    <row r="444" spans="22:23" ht="24.95" customHeight="1" x14ac:dyDescent="0.25">
      <c r="V444" s="2">
        <f>Таблица1[[#This Row],[Дата перевода]]-Таблица1[[#This Row],[Дата поступления]]</f>
        <v>17</v>
      </c>
      <c r="W444" s="2">
        <f>Таблица1[[#This Row],[Дата поступления]]-Таблица1[[#This Row],[Дата рождения]]</f>
        <v>5582</v>
      </c>
    </row>
    <row r="445" spans="22:23" ht="24.95" customHeight="1" x14ac:dyDescent="0.25">
      <c r="V445" s="2">
        <f>Таблица1[[#This Row],[Дата перевода]]-Таблица1[[#This Row],[Дата поступления]]</f>
        <v>5</v>
      </c>
      <c r="W445" s="2">
        <f>Таблица1[[#This Row],[Дата поступления]]-Таблица1[[#This Row],[Дата рождения]]</f>
        <v>1735</v>
      </c>
    </row>
    <row r="446" spans="22:23" ht="24.95" customHeight="1" x14ac:dyDescent="0.25">
      <c r="V446" s="2">
        <f>Таблица1[[#This Row],[Дата перевода]]-Таблица1[[#This Row],[Дата поступления]]</f>
        <v>3</v>
      </c>
      <c r="W446" s="2">
        <f>Таблица1[[#This Row],[Дата поступления]]-Таблица1[[#This Row],[Дата рождения]]</f>
        <v>46</v>
      </c>
    </row>
    <row r="447" spans="22:23" ht="24.95" customHeight="1" x14ac:dyDescent="0.25">
      <c r="V447" s="2">
        <f>Таблица1[[#This Row],[Дата перевода]]-Таблица1[[#This Row],[Дата поступления]]</f>
        <v>3</v>
      </c>
      <c r="W447" s="2">
        <f>Таблица1[[#This Row],[Дата поступления]]-Таблица1[[#This Row],[Дата рождения]]</f>
        <v>4088</v>
      </c>
    </row>
    <row r="448" spans="22:23" ht="24.95" customHeight="1" x14ac:dyDescent="0.25">
      <c r="V448" s="2">
        <f>Таблица1[[#This Row],[Дата перевода]]-Таблица1[[#This Row],[Дата поступления]]</f>
        <v>3</v>
      </c>
      <c r="W448" s="2">
        <f>Таблица1[[#This Row],[Дата поступления]]-Таблица1[[#This Row],[Дата рождения]]</f>
        <v>4685</v>
      </c>
    </row>
    <row r="449" spans="22:23" ht="24.95" customHeight="1" x14ac:dyDescent="0.25">
      <c r="V449" s="2">
        <f>Таблица1[[#This Row],[Дата перевода]]-Таблица1[[#This Row],[Дата поступления]]</f>
        <v>2</v>
      </c>
      <c r="W449" s="2">
        <f>Таблица1[[#This Row],[Дата поступления]]-Таблица1[[#This Row],[Дата рождения]]</f>
        <v>6283</v>
      </c>
    </row>
    <row r="450" spans="22:23" ht="24.95" customHeight="1" x14ac:dyDescent="0.25">
      <c r="V450" s="2">
        <f>Таблица1[[#This Row],[Дата перевода]]-Таблица1[[#This Row],[Дата поступления]]</f>
        <v>19</v>
      </c>
      <c r="W450" s="2">
        <f>Таблица1[[#This Row],[Дата поступления]]-Таблица1[[#This Row],[Дата рождения]]</f>
        <v>3075</v>
      </c>
    </row>
    <row r="451" spans="22:23" ht="24.95" customHeight="1" x14ac:dyDescent="0.25">
      <c r="V451" s="2">
        <f>Таблица1[[#This Row],[Дата перевода]]-Таблица1[[#This Row],[Дата поступления]]</f>
        <v>1</v>
      </c>
      <c r="W451" s="2">
        <f>Таблица1[[#This Row],[Дата поступления]]-Таблица1[[#This Row],[Дата рождения]]</f>
        <v>5532</v>
      </c>
    </row>
    <row r="452" spans="22:23" ht="24.95" customHeight="1" x14ac:dyDescent="0.25">
      <c r="V452" s="2">
        <f>Таблица1[[#This Row],[Дата перевода]]-Таблица1[[#This Row],[Дата поступления]]</f>
        <v>1</v>
      </c>
      <c r="W452" s="2">
        <f>Таблица1[[#This Row],[Дата поступления]]-Таблица1[[#This Row],[Дата рождения]]</f>
        <v>104</v>
      </c>
    </row>
    <row r="453" spans="22:23" ht="24.95" customHeight="1" x14ac:dyDescent="0.25">
      <c r="V453" s="2">
        <f>Таблица1[[#This Row],[Дата перевода]]-Таблица1[[#This Row],[Дата поступления]]</f>
        <v>3</v>
      </c>
      <c r="W453" s="2">
        <f>Таблица1[[#This Row],[Дата поступления]]-Таблица1[[#This Row],[Дата рождения]]</f>
        <v>3477</v>
      </c>
    </row>
    <row r="454" spans="22:23" ht="24.95" customHeight="1" x14ac:dyDescent="0.25">
      <c r="V454" s="2">
        <f>Таблица1[[#This Row],[Дата перевода]]-Таблица1[[#This Row],[Дата поступления]]</f>
        <v>3</v>
      </c>
      <c r="W454" s="2">
        <f>Таблица1[[#This Row],[Дата поступления]]-Таблица1[[#This Row],[Дата рождения]]</f>
        <v>3903</v>
      </c>
    </row>
    <row r="455" spans="22:23" ht="24.95" customHeight="1" x14ac:dyDescent="0.25">
      <c r="V455" s="2">
        <f>Таблица1[[#This Row],[Дата перевода]]-Таблица1[[#This Row],[Дата поступления]]</f>
        <v>1</v>
      </c>
      <c r="W455" s="2">
        <f>Таблица1[[#This Row],[Дата поступления]]-Таблица1[[#This Row],[Дата рождения]]</f>
        <v>984</v>
      </c>
    </row>
    <row r="456" spans="22:23" ht="24.95" customHeight="1" x14ac:dyDescent="0.25">
      <c r="V456" s="2">
        <f>Таблица1[[#This Row],[Дата перевода]]-Таблица1[[#This Row],[Дата поступления]]</f>
        <v>7</v>
      </c>
      <c r="W456" s="2">
        <f>Таблица1[[#This Row],[Дата поступления]]-Таблица1[[#This Row],[Дата рождения]]</f>
        <v>2832</v>
      </c>
    </row>
    <row r="457" spans="22:23" ht="24.95" customHeight="1" x14ac:dyDescent="0.25">
      <c r="V457" s="2">
        <f>Таблица1[[#This Row],[Дата перевода]]-Таблица1[[#This Row],[Дата поступления]]</f>
        <v>0</v>
      </c>
      <c r="W457" s="2">
        <f>Таблица1[[#This Row],[Дата поступления]]-Таблица1[[#This Row],[Дата рождения]]</f>
        <v>2872</v>
      </c>
    </row>
    <row r="458" spans="22:23" ht="24.95" customHeight="1" x14ac:dyDescent="0.25">
      <c r="V458" s="2">
        <f>Таблица1[[#This Row],[Дата перевода]]-Таблица1[[#This Row],[Дата поступления]]</f>
        <v>1</v>
      </c>
      <c r="W458" s="2">
        <f>Таблица1[[#This Row],[Дата поступления]]-Таблица1[[#This Row],[Дата рождения]]</f>
        <v>2882</v>
      </c>
    </row>
    <row r="459" spans="22:23" ht="24.95" customHeight="1" x14ac:dyDescent="0.25">
      <c r="V459" s="2">
        <f>Таблица1[[#This Row],[Дата перевода]]-Таблица1[[#This Row],[Дата поступления]]</f>
        <v>1</v>
      </c>
      <c r="W459" s="2">
        <f>Таблица1[[#This Row],[Дата поступления]]-Таблица1[[#This Row],[Дата рождения]]</f>
        <v>4162</v>
      </c>
    </row>
    <row r="460" spans="22:23" ht="24.95" customHeight="1" x14ac:dyDescent="0.25">
      <c r="V460" s="2">
        <f>Таблица1[[#This Row],[Дата перевода]]-Таблица1[[#This Row],[Дата поступления]]</f>
        <v>1</v>
      </c>
      <c r="W460" s="2">
        <f>Таблица1[[#This Row],[Дата поступления]]-Таблица1[[#This Row],[Дата рождения]]</f>
        <v>540</v>
      </c>
    </row>
    <row r="461" spans="22:23" ht="24.95" customHeight="1" x14ac:dyDescent="0.25">
      <c r="V461" s="2">
        <f>Таблица1[[#This Row],[Дата перевода]]-Таблица1[[#This Row],[Дата поступления]]</f>
        <v>8</v>
      </c>
      <c r="W461" s="2">
        <f>Таблица1[[#This Row],[Дата поступления]]-Таблица1[[#This Row],[Дата рождения]]</f>
        <v>5787</v>
      </c>
    </row>
    <row r="462" spans="22:23" ht="24.95" customHeight="1" x14ac:dyDescent="0.25">
      <c r="V462" s="2">
        <f>Таблица1[[#This Row],[Дата перевода]]-Таблица1[[#This Row],[Дата поступления]]</f>
        <v>2</v>
      </c>
      <c r="W462" s="2">
        <f>Таблица1[[#This Row],[Дата поступления]]-Таблица1[[#This Row],[Дата рождения]]</f>
        <v>1219</v>
      </c>
    </row>
    <row r="463" spans="22:23" ht="24.95" customHeight="1" x14ac:dyDescent="0.25">
      <c r="V463" s="2">
        <f>Таблица1[[#This Row],[Дата перевода]]-Таблица1[[#This Row],[Дата поступления]]</f>
        <v>4</v>
      </c>
      <c r="W463" s="2">
        <f>Таблица1[[#This Row],[Дата поступления]]-Таблица1[[#This Row],[Дата рождения]]</f>
        <v>28</v>
      </c>
    </row>
    <row r="464" spans="22:23" ht="24.95" customHeight="1" x14ac:dyDescent="0.25">
      <c r="V464" s="2">
        <f>Таблица1[[#This Row],[Дата перевода]]-Таблица1[[#This Row],[Дата поступления]]</f>
        <v>1</v>
      </c>
      <c r="W464" s="2">
        <f>Таблица1[[#This Row],[Дата поступления]]-Таблица1[[#This Row],[Дата рождения]]</f>
        <v>502</v>
      </c>
    </row>
    <row r="465" spans="22:23" ht="24.95" customHeight="1" x14ac:dyDescent="0.25">
      <c r="V465" s="2">
        <f>Таблица1[[#This Row],[Дата перевода]]-Таблица1[[#This Row],[Дата поступления]]</f>
        <v>3</v>
      </c>
      <c r="W465" s="2">
        <f>Таблица1[[#This Row],[Дата поступления]]-Таблица1[[#This Row],[Дата рождения]]</f>
        <v>1917</v>
      </c>
    </row>
    <row r="466" spans="22:23" ht="24.95" customHeight="1" x14ac:dyDescent="0.25">
      <c r="V466" s="2">
        <f>Таблица1[[#This Row],[Дата перевода]]-Таблица1[[#This Row],[Дата поступления]]</f>
        <v>1</v>
      </c>
      <c r="W466" s="2">
        <f>Таблица1[[#This Row],[Дата поступления]]-Таблица1[[#This Row],[Дата рождения]]</f>
        <v>374</v>
      </c>
    </row>
    <row r="467" spans="22:23" ht="24.95" customHeight="1" x14ac:dyDescent="0.25">
      <c r="V467" s="2">
        <f>Таблица1[[#This Row],[Дата перевода]]-Таблица1[[#This Row],[Дата поступления]]</f>
        <v>1</v>
      </c>
      <c r="W467" s="2">
        <f>Таблица1[[#This Row],[Дата поступления]]-Таблица1[[#This Row],[Дата рождения]]</f>
        <v>6148</v>
      </c>
    </row>
    <row r="468" spans="22:23" ht="24.95" customHeight="1" x14ac:dyDescent="0.25">
      <c r="V468" s="2">
        <f>Таблица1[[#This Row],[Дата перевода]]-Таблица1[[#This Row],[Дата поступления]]</f>
        <v>2</v>
      </c>
      <c r="W468" s="2">
        <f>Таблица1[[#This Row],[Дата поступления]]-Таблица1[[#This Row],[Дата рождения]]</f>
        <v>44</v>
      </c>
    </row>
    <row r="469" spans="22:23" ht="24.95" customHeight="1" x14ac:dyDescent="0.25">
      <c r="V469" s="2">
        <f>Таблица1[[#This Row],[Дата перевода]]-Таблица1[[#This Row],[Дата поступления]]</f>
        <v>1</v>
      </c>
      <c r="W469" s="2">
        <f>Таблица1[[#This Row],[Дата поступления]]-Таблица1[[#This Row],[Дата рождения]]</f>
        <v>3526</v>
      </c>
    </row>
    <row r="470" spans="22:23" ht="24.95" customHeight="1" x14ac:dyDescent="0.25">
      <c r="V470" s="2">
        <f>Таблица1[[#This Row],[Дата перевода]]-Таблица1[[#This Row],[Дата поступления]]</f>
        <v>1</v>
      </c>
      <c r="W470" s="2">
        <f>Таблица1[[#This Row],[Дата поступления]]-Таблица1[[#This Row],[Дата рождения]]</f>
        <v>2401</v>
      </c>
    </row>
    <row r="471" spans="22:23" ht="24.95" customHeight="1" x14ac:dyDescent="0.25">
      <c r="V471" s="2">
        <f>Таблица1[[#This Row],[Дата перевода]]-Таблица1[[#This Row],[Дата поступления]]</f>
        <v>8</v>
      </c>
      <c r="W471" s="2">
        <f>Таблица1[[#This Row],[Дата поступления]]-Таблица1[[#This Row],[Дата рождения]]</f>
        <v>5630</v>
      </c>
    </row>
    <row r="472" spans="22:23" ht="24.95" customHeight="1" x14ac:dyDescent="0.25">
      <c r="V472" s="2">
        <f>Таблица1[[#This Row],[Дата перевода]]-Таблица1[[#This Row],[Дата поступления]]</f>
        <v>1</v>
      </c>
      <c r="W472" s="2">
        <f>Таблица1[[#This Row],[Дата поступления]]-Таблица1[[#This Row],[Дата рождения]]</f>
        <v>814</v>
      </c>
    </row>
    <row r="473" spans="22:23" ht="24.95" customHeight="1" x14ac:dyDescent="0.25">
      <c r="V473" s="2">
        <f>Таблица1[[#This Row],[Дата перевода]]-Таблица1[[#This Row],[Дата поступления]]</f>
        <v>1</v>
      </c>
      <c r="W473" s="2">
        <f>Таблица1[[#This Row],[Дата поступления]]-Таблица1[[#This Row],[Дата рождения]]</f>
        <v>4763</v>
      </c>
    </row>
    <row r="474" spans="22:23" ht="24.95" customHeight="1" x14ac:dyDescent="0.25">
      <c r="V474" s="2">
        <f>Таблица1[[#This Row],[Дата перевода]]-Таблица1[[#This Row],[Дата поступления]]</f>
        <v>1</v>
      </c>
      <c r="W474" s="2">
        <f>Таблица1[[#This Row],[Дата поступления]]-Таблица1[[#This Row],[Дата рождения]]</f>
        <v>50</v>
      </c>
    </row>
    <row r="475" spans="22:23" ht="24.95" customHeight="1" x14ac:dyDescent="0.25">
      <c r="V475" s="2">
        <f>Таблица1[[#This Row],[Дата перевода]]-Таблица1[[#This Row],[Дата поступления]]</f>
        <v>2</v>
      </c>
      <c r="W475" s="2">
        <f>Таблица1[[#This Row],[Дата поступления]]-Таблица1[[#This Row],[Дата рождения]]</f>
        <v>4364</v>
      </c>
    </row>
    <row r="476" spans="22:23" ht="24.95" customHeight="1" x14ac:dyDescent="0.25">
      <c r="V476" s="2">
        <f>Таблица1[[#This Row],[Дата перевода]]-Таблица1[[#This Row],[Дата поступления]]</f>
        <v>2</v>
      </c>
      <c r="W476" s="2">
        <f>Таблица1[[#This Row],[Дата поступления]]-Таблица1[[#This Row],[Дата рождения]]</f>
        <v>2323</v>
      </c>
    </row>
    <row r="477" spans="22:23" ht="24.95" customHeight="1" x14ac:dyDescent="0.25">
      <c r="V477" s="2">
        <f>Таблица1[[#This Row],[Дата перевода]]-Таблица1[[#This Row],[Дата поступления]]</f>
        <v>4</v>
      </c>
      <c r="W477" s="2">
        <f>Таблица1[[#This Row],[Дата поступления]]-Таблица1[[#This Row],[Дата рождения]]</f>
        <v>3187</v>
      </c>
    </row>
    <row r="478" spans="22:23" ht="24.95" customHeight="1" x14ac:dyDescent="0.25">
      <c r="V478" s="2">
        <f>Таблица1[[#This Row],[Дата перевода]]-Таблица1[[#This Row],[Дата поступления]]</f>
        <v>0</v>
      </c>
      <c r="W478" s="2">
        <f>Таблица1[[#This Row],[Дата поступления]]-Таблица1[[#This Row],[Дата рождения]]</f>
        <v>3292</v>
      </c>
    </row>
    <row r="479" spans="22:23" ht="24.95" customHeight="1" x14ac:dyDescent="0.25">
      <c r="V479" s="2">
        <f>Таблица1[[#This Row],[Дата перевода]]-Таблица1[[#This Row],[Дата поступления]]</f>
        <v>1</v>
      </c>
      <c r="W479" s="2">
        <f>Таблица1[[#This Row],[Дата поступления]]-Таблица1[[#This Row],[Дата рождения]]</f>
        <v>5029</v>
      </c>
    </row>
    <row r="480" spans="22:23" ht="24.95" customHeight="1" x14ac:dyDescent="0.25">
      <c r="V480" s="2">
        <f>Таблица1[[#This Row],[Дата перевода]]-Таблица1[[#This Row],[Дата поступления]]</f>
        <v>7</v>
      </c>
      <c r="W480" s="2">
        <f>Таблица1[[#This Row],[Дата поступления]]-Таблица1[[#This Row],[Дата рождения]]</f>
        <v>506</v>
      </c>
    </row>
    <row r="481" spans="22:23" ht="24.95" customHeight="1" x14ac:dyDescent="0.25">
      <c r="V481" s="2">
        <f>Таблица1[[#This Row],[Дата перевода]]-Таблица1[[#This Row],[Дата поступления]]</f>
        <v>0</v>
      </c>
      <c r="W481" s="2">
        <f>Таблица1[[#This Row],[Дата поступления]]-Таблица1[[#This Row],[Дата рождения]]</f>
        <v>15</v>
      </c>
    </row>
    <row r="482" spans="22:23" ht="24.95" customHeight="1" x14ac:dyDescent="0.25">
      <c r="V482" s="2">
        <f>Таблица1[[#This Row],[Дата перевода]]-Таблица1[[#This Row],[Дата поступления]]</f>
        <v>20</v>
      </c>
      <c r="W482" s="2">
        <f>Таблица1[[#This Row],[Дата поступления]]-Таблица1[[#This Row],[Дата рождения]]</f>
        <v>3075</v>
      </c>
    </row>
    <row r="483" spans="22:23" ht="24.95" customHeight="1" x14ac:dyDescent="0.25">
      <c r="V483" s="2">
        <f>Таблица1[[#This Row],[Дата перевода]]-Таблица1[[#This Row],[Дата поступления]]</f>
        <v>4</v>
      </c>
      <c r="W483" s="2">
        <f>Таблица1[[#This Row],[Дата поступления]]-Таблица1[[#This Row],[Дата рождения]]</f>
        <v>3556</v>
      </c>
    </row>
    <row r="484" spans="22:23" ht="24.95" customHeight="1" x14ac:dyDescent="0.25">
      <c r="V484" s="2">
        <f>Таблица1[[#This Row],[Дата перевода]]-Таблица1[[#This Row],[Дата поступления]]</f>
        <v>1</v>
      </c>
      <c r="W484" s="2">
        <f>Таблица1[[#This Row],[Дата поступления]]-Таблица1[[#This Row],[Дата рождения]]</f>
        <v>3291</v>
      </c>
    </row>
    <row r="485" spans="22:23" ht="24.95" customHeight="1" x14ac:dyDescent="0.25">
      <c r="V485" s="2">
        <f>Таблица1[[#This Row],[Дата перевода]]-Таблица1[[#This Row],[Дата поступления]]</f>
        <v>2</v>
      </c>
      <c r="W485" s="2">
        <f>Таблица1[[#This Row],[Дата поступления]]-Таблица1[[#This Row],[Дата рождения]]</f>
        <v>5687</v>
      </c>
    </row>
    <row r="486" spans="22:23" ht="24.95" customHeight="1" x14ac:dyDescent="0.25">
      <c r="V486" s="2">
        <f>Таблица1[[#This Row],[Дата перевода]]-Таблица1[[#This Row],[Дата поступления]]</f>
        <v>1</v>
      </c>
      <c r="W486" s="2">
        <f>Таблица1[[#This Row],[Дата поступления]]-Таблица1[[#This Row],[Дата рождения]]</f>
        <v>4942</v>
      </c>
    </row>
    <row r="487" spans="22:23" ht="24.95" customHeight="1" x14ac:dyDescent="0.25">
      <c r="V487" s="2">
        <f>Таблица1[[#This Row],[Дата перевода]]-Таблица1[[#This Row],[Дата поступления]]</f>
        <v>2</v>
      </c>
      <c r="W487" s="2">
        <f>Таблица1[[#This Row],[Дата поступления]]-Таблица1[[#This Row],[Дата рождения]]</f>
        <v>1280</v>
      </c>
    </row>
    <row r="488" spans="22:23" ht="24.95" customHeight="1" x14ac:dyDescent="0.25">
      <c r="V488" s="2">
        <f>Таблица1[[#This Row],[Дата перевода]]-Таблица1[[#This Row],[Дата поступления]]</f>
        <v>3</v>
      </c>
      <c r="W488" s="2">
        <f>Таблица1[[#This Row],[Дата поступления]]-Таблица1[[#This Row],[Дата рождения]]</f>
        <v>5970</v>
      </c>
    </row>
    <row r="489" spans="22:23" ht="24.95" customHeight="1" x14ac:dyDescent="0.25">
      <c r="V489" s="2">
        <f>Таблица1[[#This Row],[Дата перевода]]-Таблица1[[#This Row],[Дата поступления]]</f>
        <v>4</v>
      </c>
      <c r="W489" s="2">
        <f>Таблица1[[#This Row],[Дата поступления]]-Таблица1[[#This Row],[Дата рождения]]</f>
        <v>528</v>
      </c>
    </row>
    <row r="490" spans="22:23" ht="24.95" customHeight="1" x14ac:dyDescent="0.25">
      <c r="V490" s="2">
        <f>Таблица1[[#This Row],[Дата перевода]]-Таблица1[[#This Row],[Дата поступления]]</f>
        <v>1</v>
      </c>
      <c r="W490" s="2">
        <f>Таблица1[[#This Row],[Дата поступления]]-Таблица1[[#This Row],[Дата рождения]]</f>
        <v>175</v>
      </c>
    </row>
    <row r="491" spans="22:23" ht="24.95" customHeight="1" x14ac:dyDescent="0.25">
      <c r="V491" s="2">
        <f>Таблица1[[#This Row],[Дата перевода]]-Таблица1[[#This Row],[Дата поступления]]</f>
        <v>1</v>
      </c>
      <c r="W491" s="2">
        <f>Таблица1[[#This Row],[Дата поступления]]-Таблица1[[#This Row],[Дата рождения]]</f>
        <v>3150</v>
      </c>
    </row>
    <row r="492" spans="22:23" ht="24.95" customHeight="1" x14ac:dyDescent="0.25">
      <c r="V492" s="2">
        <f>Таблица1[[#This Row],[Дата перевода]]-Таблица1[[#This Row],[Дата поступления]]</f>
        <v>2</v>
      </c>
      <c r="W492" s="2">
        <f>Таблица1[[#This Row],[Дата поступления]]-Таблица1[[#This Row],[Дата рождения]]</f>
        <v>6224</v>
      </c>
    </row>
    <row r="493" spans="22:23" ht="24.95" customHeight="1" x14ac:dyDescent="0.25">
      <c r="V493" s="2">
        <f>Таблица1[[#This Row],[Дата перевода]]-Таблица1[[#This Row],[Дата поступления]]</f>
        <v>10</v>
      </c>
      <c r="W493" s="2">
        <f>Таблица1[[#This Row],[Дата поступления]]-Таблица1[[#This Row],[Дата рождения]]</f>
        <v>6116</v>
      </c>
    </row>
    <row r="494" spans="22:23" ht="24.95" customHeight="1" x14ac:dyDescent="0.25">
      <c r="V494" s="2">
        <f>Таблица1[[#This Row],[Дата перевода]]-Таблица1[[#This Row],[Дата поступления]]</f>
        <v>4</v>
      </c>
      <c r="W494" s="2">
        <f>Таблица1[[#This Row],[Дата поступления]]-Таблица1[[#This Row],[Дата рождения]]</f>
        <v>6095</v>
      </c>
    </row>
    <row r="495" spans="22:23" ht="24.95" customHeight="1" x14ac:dyDescent="0.25">
      <c r="V495" s="2">
        <f>Таблица1[[#This Row],[Дата перевода]]-Таблица1[[#This Row],[Дата поступления]]</f>
        <v>0</v>
      </c>
      <c r="W495" s="2">
        <f>Таблица1[[#This Row],[Дата поступления]]-Таблица1[[#This Row],[Дата рождения]]</f>
        <v>4198</v>
      </c>
    </row>
    <row r="496" spans="22:23" ht="24.95" customHeight="1" x14ac:dyDescent="0.25">
      <c r="V496" s="2">
        <f>Таблица1[[#This Row],[Дата перевода]]-Таблица1[[#This Row],[Дата поступления]]</f>
        <v>1</v>
      </c>
      <c r="W496" s="2">
        <f>Таблица1[[#This Row],[Дата поступления]]-Таблица1[[#This Row],[Дата рождения]]</f>
        <v>1382</v>
      </c>
    </row>
    <row r="497" spans="22:23" ht="24.95" customHeight="1" x14ac:dyDescent="0.25">
      <c r="V497" s="2">
        <f>Таблица1[[#This Row],[Дата перевода]]-Таблица1[[#This Row],[Дата поступления]]</f>
        <v>1</v>
      </c>
      <c r="W497" s="2">
        <f>Таблица1[[#This Row],[Дата поступления]]-Таблица1[[#This Row],[Дата рождения]]</f>
        <v>492</v>
      </c>
    </row>
    <row r="498" spans="22:23" ht="24.95" customHeight="1" x14ac:dyDescent="0.25">
      <c r="V498" s="2">
        <f>Таблица1[[#This Row],[Дата перевода]]-Таблица1[[#This Row],[Дата поступления]]</f>
        <v>2</v>
      </c>
      <c r="W498" s="2">
        <f>Таблица1[[#This Row],[Дата поступления]]-Таблица1[[#This Row],[Дата рождения]]</f>
        <v>6229</v>
      </c>
    </row>
    <row r="499" spans="22:23" ht="24.95" customHeight="1" x14ac:dyDescent="0.25">
      <c r="V499" s="2">
        <f>Таблица1[[#This Row],[Дата перевода]]-Таблица1[[#This Row],[Дата поступления]]</f>
        <v>13</v>
      </c>
      <c r="W499" s="2">
        <f>Таблица1[[#This Row],[Дата поступления]]-Таблица1[[#This Row],[Дата рождения]]</f>
        <v>514</v>
      </c>
    </row>
    <row r="500" spans="22:23" ht="24.95" customHeight="1" x14ac:dyDescent="0.25">
      <c r="V500" s="2">
        <f>Таблица1[[#This Row],[Дата перевода]]-Таблица1[[#This Row],[Дата поступления]]</f>
        <v>43</v>
      </c>
      <c r="W500" s="2">
        <f>Таблица1[[#This Row],[Дата поступления]]-Таблица1[[#This Row],[Дата рождения]]</f>
        <v>5827</v>
      </c>
    </row>
    <row r="501" spans="22:23" ht="24.95" customHeight="1" x14ac:dyDescent="0.25">
      <c r="V501" s="2">
        <f>Таблица1[[#This Row],[Дата перевода]]-Таблица1[[#This Row],[Дата поступления]]</f>
        <v>2</v>
      </c>
      <c r="W501" s="2">
        <f>Таблица1[[#This Row],[Дата поступления]]-Таблица1[[#This Row],[Дата рождения]]</f>
        <v>1202</v>
      </c>
    </row>
    <row r="502" spans="22:23" ht="24.95" customHeight="1" x14ac:dyDescent="0.25">
      <c r="V502" s="2">
        <f>Таблица1[[#This Row],[Дата перевода]]-Таблица1[[#This Row],[Дата поступления]]</f>
        <v>1</v>
      </c>
      <c r="W502" s="2">
        <f>Таблица1[[#This Row],[Дата поступления]]-Таблица1[[#This Row],[Дата рождения]]</f>
        <v>5631</v>
      </c>
    </row>
    <row r="503" spans="22:23" ht="24.95" customHeight="1" x14ac:dyDescent="0.25">
      <c r="V503" s="2">
        <f>Таблица1[[#This Row],[Дата перевода]]-Таблица1[[#This Row],[Дата поступления]]</f>
        <v>1</v>
      </c>
      <c r="W503" s="2">
        <f>Таблица1[[#This Row],[Дата поступления]]-Таблица1[[#This Row],[Дата рождения]]</f>
        <v>5399</v>
      </c>
    </row>
    <row r="504" spans="22:23" ht="24.95" customHeight="1" x14ac:dyDescent="0.25">
      <c r="V504" s="2">
        <f>Таблица1[[#This Row],[Дата перевода]]-Таблица1[[#This Row],[Дата поступления]]</f>
        <v>1</v>
      </c>
      <c r="W504" s="2">
        <f>Таблица1[[#This Row],[Дата поступления]]-Таблица1[[#This Row],[Дата рождения]]</f>
        <v>5430</v>
      </c>
    </row>
    <row r="505" spans="22:23" ht="24.95" customHeight="1" x14ac:dyDescent="0.25">
      <c r="V505" s="2">
        <f>Таблица1[[#This Row],[Дата перевода]]-Таблица1[[#This Row],[Дата поступления]]</f>
        <v>1</v>
      </c>
      <c r="W505" s="2">
        <f>Таблица1[[#This Row],[Дата поступления]]-Таблица1[[#This Row],[Дата рождения]]</f>
        <v>221</v>
      </c>
    </row>
    <row r="506" spans="22:23" ht="24.95" customHeight="1" x14ac:dyDescent="0.25">
      <c r="V506" s="2">
        <f>Таблица1[[#This Row],[Дата перевода]]-Таблица1[[#This Row],[Дата поступления]]</f>
        <v>1</v>
      </c>
      <c r="W506" s="2">
        <f>Таблица1[[#This Row],[Дата поступления]]-Таблица1[[#This Row],[Дата рождения]]</f>
        <v>122</v>
      </c>
    </row>
    <row r="507" spans="22:23" ht="24.95" customHeight="1" x14ac:dyDescent="0.25">
      <c r="V507" s="2">
        <f>Таблица1[[#This Row],[Дата перевода]]-Таблица1[[#This Row],[Дата поступления]]</f>
        <v>3</v>
      </c>
      <c r="W507" s="2">
        <f>Таблица1[[#This Row],[Дата поступления]]-Таблица1[[#This Row],[Дата рождения]]</f>
        <v>587</v>
      </c>
    </row>
    <row r="508" spans="22:23" ht="24.95" customHeight="1" x14ac:dyDescent="0.25">
      <c r="V508" s="2">
        <f>Таблица1[[#This Row],[Дата перевода]]-Таблица1[[#This Row],[Дата поступления]]</f>
        <v>2</v>
      </c>
      <c r="W508" s="2">
        <f>Таблица1[[#This Row],[Дата поступления]]-Таблица1[[#This Row],[Дата рождения]]</f>
        <v>1013</v>
      </c>
    </row>
    <row r="509" spans="22:23" ht="24.95" customHeight="1" x14ac:dyDescent="0.25">
      <c r="V509" s="2">
        <f>Таблица1[[#This Row],[Дата перевода]]-Таблица1[[#This Row],[Дата поступления]]</f>
        <v>6</v>
      </c>
      <c r="W509" s="2">
        <f>Таблица1[[#This Row],[Дата поступления]]-Таблица1[[#This Row],[Дата рождения]]</f>
        <v>528</v>
      </c>
    </row>
    <row r="510" spans="22:23" ht="24.95" customHeight="1" x14ac:dyDescent="0.25">
      <c r="V510" s="2">
        <f>Таблица1[[#This Row],[Дата перевода]]-Таблица1[[#This Row],[Дата поступления]]</f>
        <v>1</v>
      </c>
      <c r="W510" s="2">
        <f>Таблица1[[#This Row],[Дата поступления]]-Таблица1[[#This Row],[Дата рождения]]</f>
        <v>3213</v>
      </c>
    </row>
    <row r="511" spans="22:23" ht="24.95" customHeight="1" x14ac:dyDescent="0.25">
      <c r="V511" s="2">
        <f>Таблица1[[#This Row],[Дата перевода]]-Таблица1[[#This Row],[Дата поступления]]</f>
        <v>1</v>
      </c>
      <c r="W511" s="2">
        <f>Таблица1[[#This Row],[Дата поступления]]-Таблица1[[#This Row],[Дата рождения]]</f>
        <v>5168</v>
      </c>
    </row>
    <row r="512" spans="22:23" ht="24.95" customHeight="1" x14ac:dyDescent="0.25">
      <c r="V512" s="2">
        <f>Таблица1[[#This Row],[Дата перевода]]-Таблица1[[#This Row],[Дата поступления]]</f>
        <v>3</v>
      </c>
      <c r="W512" s="2">
        <f>Таблица1[[#This Row],[Дата поступления]]-Таблица1[[#This Row],[Дата рождения]]</f>
        <v>461</v>
      </c>
    </row>
    <row r="513" spans="22:23" ht="24.95" customHeight="1" x14ac:dyDescent="0.25">
      <c r="V513" s="2">
        <f>Таблица1[[#This Row],[Дата перевода]]-Таблица1[[#This Row],[Дата поступления]]</f>
        <v>1</v>
      </c>
      <c r="W513" s="2">
        <f>Таблица1[[#This Row],[Дата поступления]]-Таблица1[[#This Row],[Дата рождения]]</f>
        <v>405</v>
      </c>
    </row>
    <row r="514" spans="22:23" ht="24.95" customHeight="1" x14ac:dyDescent="0.25">
      <c r="V514" s="2">
        <f>Таблица1[[#This Row],[Дата перевода]]-Таблица1[[#This Row],[Дата поступления]]</f>
        <v>0</v>
      </c>
      <c r="W514" s="2">
        <f>Таблица1[[#This Row],[Дата поступления]]-Таблица1[[#This Row],[Дата рождения]]</f>
        <v>3329</v>
      </c>
    </row>
    <row r="515" spans="22:23" ht="24.95" customHeight="1" x14ac:dyDescent="0.25">
      <c r="V515" s="2">
        <f>Таблица1[[#This Row],[Дата перевода]]-Таблица1[[#This Row],[Дата поступления]]</f>
        <v>34</v>
      </c>
      <c r="W515" s="2">
        <f>Таблица1[[#This Row],[Дата поступления]]-Таблица1[[#This Row],[Дата рождения]]</f>
        <v>6128</v>
      </c>
    </row>
    <row r="516" spans="22:23" ht="24.95" customHeight="1" x14ac:dyDescent="0.25">
      <c r="V516" s="2">
        <f>Таблица1[[#This Row],[Дата перевода]]-Таблица1[[#This Row],[Дата поступления]]</f>
        <v>0</v>
      </c>
      <c r="W516" s="2">
        <f>Таблица1[[#This Row],[Дата поступления]]-Таблица1[[#This Row],[Дата рождения]]</f>
        <v>4393</v>
      </c>
    </row>
    <row r="517" spans="22:23" ht="24.95" customHeight="1" x14ac:dyDescent="0.25">
      <c r="V517" s="2">
        <f>Таблица1[[#This Row],[Дата перевода]]-Таблица1[[#This Row],[Дата поступления]]</f>
        <v>1</v>
      </c>
      <c r="W517" s="2">
        <f>Таблица1[[#This Row],[Дата поступления]]-Таблица1[[#This Row],[Дата рождения]]</f>
        <v>6289</v>
      </c>
    </row>
    <row r="518" spans="22:23" ht="24.95" customHeight="1" x14ac:dyDescent="0.25">
      <c r="V518" s="2">
        <f>Таблица1[[#This Row],[Дата перевода]]-Таблица1[[#This Row],[Дата поступления]]</f>
        <v>1</v>
      </c>
      <c r="W518" s="2">
        <f>Таблица1[[#This Row],[Дата поступления]]-Таблица1[[#This Row],[Дата рождения]]</f>
        <v>611</v>
      </c>
    </row>
    <row r="519" spans="22:23" ht="24.95" customHeight="1" x14ac:dyDescent="0.25">
      <c r="V519" s="2">
        <f>Таблица1[[#This Row],[Дата перевода]]-Таблица1[[#This Row],[Дата поступления]]</f>
        <v>15</v>
      </c>
      <c r="W519" s="2">
        <f>Таблица1[[#This Row],[Дата поступления]]-Таблица1[[#This Row],[Дата рождения]]</f>
        <v>3123</v>
      </c>
    </row>
    <row r="520" spans="22:23" ht="24.95" customHeight="1" x14ac:dyDescent="0.25">
      <c r="V520" s="2">
        <f>Таблица1[[#This Row],[Дата перевода]]-Таблица1[[#This Row],[Дата поступления]]</f>
        <v>1</v>
      </c>
      <c r="W520" s="2">
        <f>Таблица1[[#This Row],[Дата поступления]]-Таблица1[[#This Row],[Дата рождения]]</f>
        <v>5719</v>
      </c>
    </row>
    <row r="521" spans="22:23" ht="24.95" customHeight="1" x14ac:dyDescent="0.25">
      <c r="V521" s="2">
        <f>Таблица1[[#This Row],[Дата перевода]]-Таблица1[[#This Row],[Дата поступления]]</f>
        <v>2</v>
      </c>
      <c r="W521" s="2">
        <f>Таблица1[[#This Row],[Дата поступления]]-Таблица1[[#This Row],[Дата рождения]]</f>
        <v>5397</v>
      </c>
    </row>
    <row r="522" spans="22:23" ht="24.95" customHeight="1" x14ac:dyDescent="0.25">
      <c r="V522" s="2">
        <f>Таблица1[[#This Row],[Дата перевода]]-Таблица1[[#This Row],[Дата поступления]]</f>
        <v>1</v>
      </c>
      <c r="W522" s="2">
        <f>Таблица1[[#This Row],[Дата поступления]]-Таблица1[[#This Row],[Дата рождения]]</f>
        <v>2121</v>
      </c>
    </row>
    <row r="523" spans="22:23" ht="24.95" customHeight="1" x14ac:dyDescent="0.25">
      <c r="V523" s="2">
        <f>Таблица1[[#This Row],[Дата перевода]]-Таблица1[[#This Row],[Дата поступления]]</f>
        <v>1</v>
      </c>
      <c r="W523" s="2">
        <f>Таблица1[[#This Row],[Дата поступления]]-Таблица1[[#This Row],[Дата рождения]]</f>
        <v>2182</v>
      </c>
    </row>
    <row r="524" spans="22:23" ht="24.95" customHeight="1" x14ac:dyDescent="0.25">
      <c r="V524" s="2">
        <f>Таблица1[[#This Row],[Дата перевода]]-Таблица1[[#This Row],[Дата поступления]]</f>
        <v>0</v>
      </c>
      <c r="W524" s="2">
        <f>Таблица1[[#This Row],[Дата поступления]]-Таблица1[[#This Row],[Дата рождения]]</f>
        <v>2664</v>
      </c>
    </row>
    <row r="525" spans="22:23" ht="24.95" customHeight="1" x14ac:dyDescent="0.25">
      <c r="V525" s="2">
        <f>Таблица1[[#This Row],[Дата перевода]]-Таблица1[[#This Row],[Дата поступления]]</f>
        <v>0</v>
      </c>
      <c r="W525" s="2">
        <f>Таблица1[[#This Row],[Дата поступления]]-Таблица1[[#This Row],[Дата рождения]]</f>
        <v>3220</v>
      </c>
    </row>
    <row r="526" spans="22:23" ht="24.95" customHeight="1" x14ac:dyDescent="0.25">
      <c r="V526" s="2">
        <f>Таблица1[[#This Row],[Дата перевода]]-Таблица1[[#This Row],[Дата поступления]]</f>
        <v>2</v>
      </c>
      <c r="W526" s="2">
        <f>Таблица1[[#This Row],[Дата поступления]]-Таблица1[[#This Row],[Дата рождения]]</f>
        <v>858</v>
      </c>
    </row>
    <row r="527" spans="22:23" ht="24.95" customHeight="1" x14ac:dyDescent="0.25">
      <c r="V527" s="2">
        <f>Таблица1[[#This Row],[Дата перевода]]-Таблица1[[#This Row],[Дата поступления]]</f>
        <v>22</v>
      </c>
      <c r="W527" s="2">
        <f>Таблица1[[#This Row],[Дата поступления]]-Таблица1[[#This Row],[Дата рождения]]</f>
        <v>2822</v>
      </c>
    </row>
    <row r="528" spans="22:23" ht="24.95" customHeight="1" x14ac:dyDescent="0.25">
      <c r="V528" s="2">
        <f>Таблица1[[#This Row],[Дата перевода]]-Таблица1[[#This Row],[Дата поступления]]</f>
        <v>0</v>
      </c>
      <c r="W528" s="2">
        <f>Таблица1[[#This Row],[Дата поступления]]-Таблица1[[#This Row],[Дата рождения]]</f>
        <v>0</v>
      </c>
    </row>
    <row r="529" spans="22:23" ht="24.95" customHeight="1" x14ac:dyDescent="0.25">
      <c r="V529" s="2">
        <f>Таблица1[[#This Row],[Дата перевода]]-Таблица1[[#This Row],[Дата поступления]]</f>
        <v>0</v>
      </c>
      <c r="W529" s="2">
        <f>Таблица1[[#This Row],[Дата поступления]]-Таблица1[[#This Row],[Дата рождения]]</f>
        <v>0</v>
      </c>
    </row>
    <row r="530" spans="22:23" ht="24.95" customHeight="1" x14ac:dyDescent="0.25">
      <c r="V530" s="2">
        <f>Таблица1[[#This Row],[Дата перевода]]-Таблица1[[#This Row],[Дата поступления]]</f>
        <v>0</v>
      </c>
      <c r="W530" s="2">
        <f>Таблица1[[#This Row],[Дата поступления]]-Таблица1[[#This Row],[Дата рождения]]</f>
        <v>0</v>
      </c>
    </row>
    <row r="531" spans="22:23" ht="24.95" customHeight="1" x14ac:dyDescent="0.25">
      <c r="V531" s="2">
        <f>Таблица1[[#This Row],[Дата перевода]]-Таблица1[[#This Row],[Дата поступления]]</f>
        <v>0</v>
      </c>
      <c r="W531" s="2">
        <f>Таблица1[[#This Row],[Дата поступления]]-Таблица1[[#This Row],[Дата рождения]]</f>
        <v>0</v>
      </c>
    </row>
    <row r="532" spans="22:23" ht="24.95" customHeight="1" x14ac:dyDescent="0.25">
      <c r="V532" s="2">
        <f>Таблица1[[#This Row],[Дата перевода]]-Таблица1[[#This Row],[Дата поступления]]</f>
        <v>0</v>
      </c>
      <c r="W532" s="2">
        <f>Таблица1[[#This Row],[Дата поступления]]-Таблица1[[#This Row],[Дата рождения]]</f>
        <v>0</v>
      </c>
    </row>
    <row r="533" spans="22:23" ht="24.95" customHeight="1" x14ac:dyDescent="0.25">
      <c r="V533" s="2">
        <f>Таблица1[[#This Row],[Дата перевода]]-Таблица1[[#This Row],[Дата поступления]]</f>
        <v>0</v>
      </c>
      <c r="W533" s="2">
        <f>Таблица1[[#This Row],[Дата поступления]]-Таблица1[[#This Row],[Дата рождения]]</f>
        <v>0</v>
      </c>
    </row>
    <row r="534" spans="22:23" ht="24.95" customHeight="1" x14ac:dyDescent="0.25">
      <c r="V534" s="2">
        <f>Таблица1[[#This Row],[Дата перевода]]-Таблица1[[#This Row],[Дата поступления]]</f>
        <v>0</v>
      </c>
      <c r="W534" s="2">
        <f>Таблица1[[#This Row],[Дата поступления]]-Таблица1[[#This Row],[Дата рождения]]</f>
        <v>0</v>
      </c>
    </row>
    <row r="535" spans="22:23" ht="24.95" customHeight="1" x14ac:dyDescent="0.25">
      <c r="V535" s="2">
        <f>Таблица1[[#This Row],[Дата перевода]]-Таблица1[[#This Row],[Дата поступления]]</f>
        <v>0</v>
      </c>
      <c r="W535" s="2">
        <f>Таблица1[[#This Row],[Дата поступления]]-Таблица1[[#This Row],[Дата рождения]]</f>
        <v>0</v>
      </c>
    </row>
    <row r="536" spans="22:23" ht="24.95" customHeight="1" x14ac:dyDescent="0.25">
      <c r="V536" s="2">
        <f>Таблица1[[#This Row],[Дата перевода]]-Таблица1[[#This Row],[Дата поступления]]</f>
        <v>0</v>
      </c>
      <c r="W536" s="2">
        <f>Таблица1[[#This Row],[Дата поступления]]-Таблица1[[#This Row],[Дата рождения]]</f>
        <v>0</v>
      </c>
    </row>
    <row r="537" spans="22:23" ht="24.95" customHeight="1" x14ac:dyDescent="0.25">
      <c r="V537" s="2">
        <f>Таблица1[[#This Row],[Дата перевода]]-Таблица1[[#This Row],[Дата поступления]]</f>
        <v>0</v>
      </c>
      <c r="W537" s="2">
        <f>Таблица1[[#This Row],[Дата поступления]]-Таблица1[[#This Row],[Дата рождения]]</f>
        <v>0</v>
      </c>
    </row>
    <row r="538" spans="22:23" ht="24.95" customHeight="1" x14ac:dyDescent="0.25">
      <c r="V538" s="2">
        <f>Таблица1[[#This Row],[Дата перевода]]-Таблица1[[#This Row],[Дата поступления]]</f>
        <v>0</v>
      </c>
      <c r="W538" s="2">
        <f>Таблица1[[#This Row],[Дата поступления]]-Таблица1[[#This Row],[Дата рождения]]</f>
        <v>0</v>
      </c>
    </row>
    <row r="539" spans="22:23" ht="24.95" customHeight="1" x14ac:dyDescent="0.25">
      <c r="V539" s="2">
        <f>Таблица1[[#This Row],[Дата перевода]]-Таблица1[[#This Row],[Дата поступления]]</f>
        <v>0</v>
      </c>
      <c r="W539" s="2">
        <f>Таблица1[[#This Row],[Дата поступления]]-Таблица1[[#This Row],[Дата рождения]]</f>
        <v>0</v>
      </c>
    </row>
    <row r="540" spans="22:23" ht="24.95" customHeight="1" x14ac:dyDescent="0.25">
      <c r="V540" s="2">
        <f>Таблица1[[#This Row],[Дата перевода]]-Таблица1[[#This Row],[Дата поступления]]</f>
        <v>0</v>
      </c>
      <c r="W540" s="2">
        <f>Таблица1[[#This Row],[Дата поступления]]-Таблица1[[#This Row],[Дата рождения]]</f>
        <v>0</v>
      </c>
    </row>
    <row r="541" spans="22:23" ht="24.95" customHeight="1" x14ac:dyDescent="0.25">
      <c r="V541" s="2">
        <f>Таблица1[[#This Row],[Дата перевода]]-Таблица1[[#This Row],[Дата поступления]]</f>
        <v>0</v>
      </c>
      <c r="W541" s="2">
        <f>Таблица1[[#This Row],[Дата поступления]]-Таблица1[[#This Row],[Дата рождения]]</f>
        <v>0</v>
      </c>
    </row>
    <row r="542" spans="22:23" ht="24.95" customHeight="1" x14ac:dyDescent="0.25">
      <c r="V542" s="2">
        <f>Таблица1[[#This Row],[Дата перевода]]-Таблица1[[#This Row],[Дата поступления]]</f>
        <v>0</v>
      </c>
      <c r="W542" s="2">
        <f>Таблица1[[#This Row],[Дата поступления]]-Таблица1[[#This Row],[Дата рождения]]</f>
        <v>0</v>
      </c>
    </row>
    <row r="543" spans="22:23" ht="24.95" customHeight="1" x14ac:dyDescent="0.25">
      <c r="V543" s="2">
        <f>Таблица1[[#This Row],[Дата перевода]]-Таблица1[[#This Row],[Дата поступления]]</f>
        <v>0</v>
      </c>
      <c r="W543" s="2">
        <f>Таблица1[[#This Row],[Дата поступления]]-Таблица1[[#This Row],[Дата рождения]]</f>
        <v>0</v>
      </c>
    </row>
    <row r="544" spans="22:23" ht="24.95" customHeight="1" x14ac:dyDescent="0.25">
      <c r="V544" s="2">
        <f>Таблица1[[#This Row],[Дата перевода]]-Таблица1[[#This Row],[Дата поступления]]</f>
        <v>0</v>
      </c>
      <c r="W544" s="2">
        <f>Таблица1[[#This Row],[Дата поступления]]-Таблица1[[#This Row],[Дата рождения]]</f>
        <v>0</v>
      </c>
    </row>
    <row r="545" spans="22:23" ht="24.95" customHeight="1" x14ac:dyDescent="0.25">
      <c r="V545" s="2">
        <f>Таблица1[[#This Row],[Дата перевода]]-Таблица1[[#This Row],[Дата поступления]]</f>
        <v>0</v>
      </c>
      <c r="W545" s="2">
        <f>Таблица1[[#This Row],[Дата поступления]]-Таблица1[[#This Row],[Дата рождения]]</f>
        <v>0</v>
      </c>
    </row>
    <row r="546" spans="22:23" ht="24.95" customHeight="1" x14ac:dyDescent="0.25">
      <c r="V546" s="2">
        <f>Таблица1[[#This Row],[Дата перевода]]-Таблица1[[#This Row],[Дата поступления]]</f>
        <v>0</v>
      </c>
      <c r="W546" s="2">
        <f>Таблица1[[#This Row],[Дата поступления]]-Таблица1[[#This Row],[Дата рождения]]</f>
        <v>0</v>
      </c>
    </row>
    <row r="547" spans="22:23" ht="24.95" customHeight="1" x14ac:dyDescent="0.25">
      <c r="V547" s="2">
        <f>Таблица1[[#This Row],[Дата перевода]]-Таблица1[[#This Row],[Дата поступления]]</f>
        <v>0</v>
      </c>
      <c r="W547" s="2">
        <f>Таблица1[[#This Row],[Дата поступления]]-Таблица1[[#This Row],[Дата рождения]]</f>
        <v>0</v>
      </c>
    </row>
    <row r="548" spans="22:23" ht="24.95" customHeight="1" x14ac:dyDescent="0.25">
      <c r="V548" s="2">
        <f>Таблица1[[#This Row],[Дата перевода]]-Таблица1[[#This Row],[Дата поступления]]</f>
        <v>0</v>
      </c>
      <c r="W548" s="2">
        <f>Таблица1[[#This Row],[Дата поступления]]-Таблица1[[#This Row],[Дата рождения]]</f>
        <v>0</v>
      </c>
    </row>
    <row r="549" spans="22:23" ht="24.95" customHeight="1" x14ac:dyDescent="0.25">
      <c r="V549" s="2">
        <f>Таблица1[[#This Row],[Дата перевода]]-Таблица1[[#This Row],[Дата поступления]]</f>
        <v>0</v>
      </c>
      <c r="W549" s="2">
        <f>Таблица1[[#This Row],[Дата поступления]]-Таблица1[[#This Row],[Дата рождения]]</f>
        <v>0</v>
      </c>
    </row>
    <row r="550" spans="22:23" ht="24.95" customHeight="1" x14ac:dyDescent="0.25">
      <c r="V550" s="2">
        <f>Таблица1[[#This Row],[Дата перевода]]-Таблица1[[#This Row],[Дата поступления]]</f>
        <v>0</v>
      </c>
      <c r="W550" s="2">
        <f>Таблица1[[#This Row],[Дата поступления]]-Таблица1[[#This Row],[Дата рождения]]</f>
        <v>0</v>
      </c>
    </row>
    <row r="551" spans="22:23" ht="24.95" customHeight="1" x14ac:dyDescent="0.25">
      <c r="V551" s="2">
        <f>Таблица1[[#This Row],[Дата перевода]]-Таблица1[[#This Row],[Дата поступления]]</f>
        <v>0</v>
      </c>
      <c r="W551" s="2">
        <f>Таблица1[[#This Row],[Дата поступления]]-Таблица1[[#This Row],[Дата рождения]]</f>
        <v>0</v>
      </c>
    </row>
    <row r="552" spans="22:23" ht="24.95" customHeight="1" x14ac:dyDescent="0.25">
      <c r="V552" s="2">
        <f>Таблица1[[#This Row],[Дата перевода]]-Таблица1[[#This Row],[Дата поступления]]</f>
        <v>0</v>
      </c>
      <c r="W552" s="2">
        <f>Таблица1[[#This Row],[Дата поступления]]-Таблица1[[#This Row],[Дата рождения]]</f>
        <v>0</v>
      </c>
    </row>
    <row r="553" spans="22:23" ht="24.95" customHeight="1" x14ac:dyDescent="0.25">
      <c r="V553" s="2">
        <f>Таблица1[[#This Row],[Дата перевода]]-Таблица1[[#This Row],[Дата поступления]]</f>
        <v>0</v>
      </c>
      <c r="W553" s="2">
        <f>Таблица1[[#This Row],[Дата поступления]]-Таблица1[[#This Row],[Дата рождения]]</f>
        <v>0</v>
      </c>
    </row>
    <row r="554" spans="22:23" ht="24.95" customHeight="1" x14ac:dyDescent="0.25">
      <c r="V554" s="2">
        <f>Таблица1[[#This Row],[Дата перевода]]-Таблица1[[#This Row],[Дата поступления]]</f>
        <v>0</v>
      </c>
      <c r="W554" s="2">
        <f>Таблица1[[#This Row],[Дата поступления]]-Таблица1[[#This Row],[Дата рождения]]</f>
        <v>0</v>
      </c>
    </row>
    <row r="555" spans="22:23" ht="24.95" customHeight="1" x14ac:dyDescent="0.25">
      <c r="V555" s="2">
        <f>Таблица1[[#This Row],[Дата перевода]]-Таблица1[[#This Row],[Дата поступления]]</f>
        <v>0</v>
      </c>
      <c r="W555" s="2">
        <f>Таблица1[[#This Row],[Дата поступления]]-Таблица1[[#This Row],[Дата рождения]]</f>
        <v>0</v>
      </c>
    </row>
    <row r="556" spans="22:23" ht="24.95" customHeight="1" x14ac:dyDescent="0.25">
      <c r="V556" s="2">
        <f>Таблица1[[#This Row],[Дата перевода]]-Таблица1[[#This Row],[Дата поступления]]</f>
        <v>0</v>
      </c>
      <c r="W556" s="2">
        <f>Таблица1[[#This Row],[Дата поступления]]-Таблица1[[#This Row],[Дата рождения]]</f>
        <v>0</v>
      </c>
    </row>
    <row r="557" spans="22:23" ht="24.95" customHeight="1" x14ac:dyDescent="0.25">
      <c r="V557" s="2">
        <f>Таблица1[[#This Row],[Дата перевода]]-Таблица1[[#This Row],[Дата поступления]]</f>
        <v>0</v>
      </c>
      <c r="W557" s="2">
        <f>Таблица1[[#This Row],[Дата поступления]]-Таблица1[[#This Row],[Дата рождения]]</f>
        <v>0</v>
      </c>
    </row>
    <row r="558" spans="22:23" ht="24.95" customHeight="1" x14ac:dyDescent="0.25">
      <c r="V558" s="2">
        <f>Таблица1[[#This Row],[Дата перевода]]-Таблица1[[#This Row],[Дата поступления]]</f>
        <v>0</v>
      </c>
      <c r="W558" s="2">
        <f>Таблица1[[#This Row],[Дата поступления]]-Таблица1[[#This Row],[Дата рождения]]</f>
        <v>0</v>
      </c>
    </row>
    <row r="559" spans="22:23" ht="24.95" customHeight="1" x14ac:dyDescent="0.25">
      <c r="V559" s="2">
        <f>Таблица1[[#This Row],[Дата перевода]]-Таблица1[[#This Row],[Дата поступления]]</f>
        <v>0</v>
      </c>
      <c r="W559" s="2">
        <f>Таблица1[[#This Row],[Дата поступления]]-Таблица1[[#This Row],[Дата рождения]]</f>
        <v>0</v>
      </c>
    </row>
    <row r="560" spans="22:23" ht="24.95" customHeight="1" x14ac:dyDescent="0.25">
      <c r="V560" s="2">
        <f>Таблица1[[#This Row],[Дата перевода]]-Таблица1[[#This Row],[Дата поступления]]</f>
        <v>0</v>
      </c>
      <c r="W560" s="2">
        <f>Таблица1[[#This Row],[Дата поступления]]-Таблица1[[#This Row],[Дата рождения]]</f>
        <v>0</v>
      </c>
    </row>
    <row r="561" spans="22:23" ht="24.95" customHeight="1" x14ac:dyDescent="0.25">
      <c r="V561" s="2">
        <f>Таблица1[[#This Row],[Дата перевода]]-Таблица1[[#This Row],[Дата поступления]]</f>
        <v>0</v>
      </c>
      <c r="W561" s="2">
        <f>Таблица1[[#This Row],[Дата поступления]]-Таблица1[[#This Row],[Дата рождения]]</f>
        <v>0</v>
      </c>
    </row>
    <row r="562" spans="22:23" ht="24.95" customHeight="1" x14ac:dyDescent="0.25">
      <c r="V562" s="2">
        <f>Таблица1[[#This Row],[Дата перевода]]-Таблица1[[#This Row],[Дата поступления]]</f>
        <v>0</v>
      </c>
      <c r="W562" s="2">
        <f>Таблица1[[#This Row],[Дата поступления]]-Таблица1[[#This Row],[Дата рождения]]</f>
        <v>0</v>
      </c>
    </row>
    <row r="563" spans="22:23" ht="24.95" customHeight="1" x14ac:dyDescent="0.25">
      <c r="V563" s="2">
        <f>Таблица1[[#This Row],[Дата перевода]]-Таблица1[[#This Row],[Дата поступления]]</f>
        <v>0</v>
      </c>
      <c r="W563" s="2">
        <f>Таблица1[[#This Row],[Дата поступления]]-Таблица1[[#This Row],[Дата рождения]]</f>
        <v>0</v>
      </c>
    </row>
    <row r="564" spans="22:23" ht="24.95" customHeight="1" x14ac:dyDescent="0.25">
      <c r="V564" s="2">
        <f>Таблица1[[#This Row],[Дата перевода]]-Таблица1[[#This Row],[Дата поступления]]</f>
        <v>0</v>
      </c>
      <c r="W564" s="2">
        <f>Таблица1[[#This Row],[Дата поступления]]-Таблица1[[#This Row],[Дата рождения]]</f>
        <v>0</v>
      </c>
    </row>
    <row r="565" spans="22:23" ht="24.95" customHeight="1" x14ac:dyDescent="0.25">
      <c r="V565" s="2">
        <f>Таблица1[[#This Row],[Дата перевода]]-Таблица1[[#This Row],[Дата поступления]]</f>
        <v>0</v>
      </c>
      <c r="W565" s="2">
        <f>Таблица1[[#This Row],[Дата поступления]]-Таблица1[[#This Row],[Дата рождения]]</f>
        <v>0</v>
      </c>
    </row>
    <row r="566" spans="22:23" ht="24.95" customHeight="1" x14ac:dyDescent="0.25">
      <c r="V566" s="2">
        <f>Таблица1[[#This Row],[Дата перевода]]-Таблица1[[#This Row],[Дата поступления]]</f>
        <v>0</v>
      </c>
      <c r="W566" s="2">
        <f>Таблица1[[#This Row],[Дата поступления]]-Таблица1[[#This Row],[Дата рождения]]</f>
        <v>0</v>
      </c>
    </row>
    <row r="567" spans="22:23" ht="24.95" customHeight="1" x14ac:dyDescent="0.25">
      <c r="V567" s="2">
        <f>Таблица1[[#This Row],[Дата перевода]]-Таблица1[[#This Row],[Дата поступления]]</f>
        <v>0</v>
      </c>
      <c r="W567" s="2">
        <f>Таблица1[[#This Row],[Дата поступления]]-Таблица1[[#This Row],[Дата рождения]]</f>
        <v>0</v>
      </c>
    </row>
    <row r="568" spans="22:23" ht="24.95" customHeight="1" x14ac:dyDescent="0.25">
      <c r="V568" s="2">
        <f>Таблица1[[#This Row],[Дата перевода]]-Таблица1[[#This Row],[Дата поступления]]</f>
        <v>0</v>
      </c>
      <c r="W568" s="2">
        <f>Таблица1[[#This Row],[Дата поступления]]-Таблица1[[#This Row],[Дата рождения]]</f>
        <v>0</v>
      </c>
    </row>
    <row r="569" spans="22:23" ht="24.95" customHeight="1" x14ac:dyDescent="0.25">
      <c r="V569" s="2">
        <f>Таблица1[[#This Row],[Дата перевода]]-Таблица1[[#This Row],[Дата поступления]]</f>
        <v>0</v>
      </c>
      <c r="W569" s="2">
        <f>Таблица1[[#This Row],[Дата поступления]]-Таблица1[[#This Row],[Дата рождения]]</f>
        <v>0</v>
      </c>
    </row>
    <row r="570" spans="22:23" ht="24.95" customHeight="1" x14ac:dyDescent="0.25">
      <c r="V570" s="2">
        <f>Таблица1[[#This Row],[Дата перевода]]-Таблица1[[#This Row],[Дата поступления]]</f>
        <v>0</v>
      </c>
      <c r="W570" s="2">
        <f>Таблица1[[#This Row],[Дата поступления]]-Таблица1[[#This Row],[Дата рождения]]</f>
        <v>0</v>
      </c>
    </row>
    <row r="571" spans="22:23" ht="24.95" customHeight="1" x14ac:dyDescent="0.25">
      <c r="V571" s="2">
        <f>Таблица1[[#This Row],[Дата перевода]]-Таблица1[[#This Row],[Дата поступления]]</f>
        <v>0</v>
      </c>
      <c r="W571" s="2">
        <f>Таблица1[[#This Row],[Дата поступления]]-Таблица1[[#This Row],[Дата рождения]]</f>
        <v>0</v>
      </c>
    </row>
    <row r="572" spans="22:23" ht="24.95" customHeight="1" x14ac:dyDescent="0.25">
      <c r="V572" s="2">
        <f>Таблица1[[#This Row],[Дата перевода]]-Таблица1[[#This Row],[Дата поступления]]</f>
        <v>0</v>
      </c>
      <c r="W572" s="2">
        <f>Таблица1[[#This Row],[Дата поступления]]-Таблица1[[#This Row],[Дата рождения]]</f>
        <v>0</v>
      </c>
    </row>
    <row r="573" spans="22:23" ht="24.95" customHeight="1" x14ac:dyDescent="0.25">
      <c r="V573" s="2">
        <f>Таблица1[[#This Row],[Дата перевода]]-Таблица1[[#This Row],[Дата поступления]]</f>
        <v>0</v>
      </c>
      <c r="W573" s="2">
        <f>Таблица1[[#This Row],[Дата поступления]]-Таблица1[[#This Row],[Дата рождения]]</f>
        <v>0</v>
      </c>
    </row>
    <row r="574" spans="22:23" ht="24.95" customHeight="1" x14ac:dyDescent="0.25">
      <c r="V574" s="2">
        <f>Таблица1[[#This Row],[Дата перевода]]-Таблица1[[#This Row],[Дата поступления]]</f>
        <v>0</v>
      </c>
      <c r="W574" s="2">
        <f>Таблица1[[#This Row],[Дата поступления]]-Таблица1[[#This Row],[Дата рождения]]</f>
        <v>0</v>
      </c>
    </row>
    <row r="575" spans="22:23" ht="24.95" customHeight="1" x14ac:dyDescent="0.25">
      <c r="V575" s="2">
        <f>Таблица1[[#This Row],[Дата перевода]]-Таблица1[[#This Row],[Дата поступления]]</f>
        <v>0</v>
      </c>
      <c r="W575" s="2">
        <f>Таблица1[[#This Row],[Дата поступления]]-Таблица1[[#This Row],[Дата рождения]]</f>
        <v>0</v>
      </c>
    </row>
    <row r="576" spans="22:23" ht="24.95" customHeight="1" x14ac:dyDescent="0.25">
      <c r="V576" s="2">
        <f>Таблица1[[#This Row],[Дата перевода]]-Таблица1[[#This Row],[Дата поступления]]</f>
        <v>0</v>
      </c>
      <c r="W576" s="2">
        <f>Таблица1[[#This Row],[Дата поступления]]-Таблица1[[#This Row],[Дата рождения]]</f>
        <v>0</v>
      </c>
    </row>
    <row r="577" spans="22:23" ht="24.95" customHeight="1" x14ac:dyDescent="0.25">
      <c r="V577" s="2">
        <f>Таблица1[[#This Row],[Дата перевода]]-Таблица1[[#This Row],[Дата поступления]]</f>
        <v>0</v>
      </c>
      <c r="W577" s="2">
        <f>Таблица1[[#This Row],[Дата поступления]]-Таблица1[[#This Row],[Дата рождения]]</f>
        <v>0</v>
      </c>
    </row>
    <row r="578" spans="22:23" ht="24.95" customHeight="1" x14ac:dyDescent="0.25">
      <c r="V578" s="2">
        <f>Таблица1[[#This Row],[Дата перевода]]-Таблица1[[#This Row],[Дата поступления]]</f>
        <v>0</v>
      </c>
      <c r="W578" s="2">
        <f>Таблица1[[#This Row],[Дата поступления]]-Таблица1[[#This Row],[Дата рождения]]</f>
        <v>0</v>
      </c>
    </row>
    <row r="579" spans="22:23" ht="24.95" customHeight="1" x14ac:dyDescent="0.25">
      <c r="V579" s="2">
        <f>Таблица1[[#This Row],[Дата перевода]]-Таблица1[[#This Row],[Дата поступления]]</f>
        <v>0</v>
      </c>
      <c r="W579" s="2">
        <f>Таблица1[[#This Row],[Дата поступления]]-Таблица1[[#This Row],[Дата рождения]]</f>
        <v>0</v>
      </c>
    </row>
    <row r="580" spans="22:23" ht="24.95" customHeight="1" x14ac:dyDescent="0.25">
      <c r="V580" s="2">
        <f>Таблица1[[#This Row],[Дата перевода]]-Таблица1[[#This Row],[Дата поступления]]</f>
        <v>0</v>
      </c>
      <c r="W580" s="2">
        <f>Таблица1[[#This Row],[Дата поступления]]-Таблица1[[#This Row],[Дата рождения]]</f>
        <v>0</v>
      </c>
    </row>
    <row r="581" spans="22:23" ht="24.95" customHeight="1" x14ac:dyDescent="0.25">
      <c r="V581" s="2">
        <f>Таблица1[[#This Row],[Дата перевода]]-Таблица1[[#This Row],[Дата поступления]]</f>
        <v>0</v>
      </c>
      <c r="W581" s="2">
        <f>Таблица1[[#This Row],[Дата поступления]]-Таблица1[[#This Row],[Дата рождения]]</f>
        <v>0</v>
      </c>
    </row>
    <row r="582" spans="22:23" ht="24.95" customHeight="1" x14ac:dyDescent="0.25">
      <c r="V582" s="2">
        <f>Таблица1[[#This Row],[Дата перевода]]-Таблица1[[#This Row],[Дата поступления]]</f>
        <v>0</v>
      </c>
      <c r="W582" s="2">
        <f>Таблица1[[#This Row],[Дата поступления]]-Таблица1[[#This Row],[Дата рождения]]</f>
        <v>0</v>
      </c>
    </row>
    <row r="583" spans="22:23" ht="24.95" customHeight="1" x14ac:dyDescent="0.25">
      <c r="V583" s="2">
        <f>Таблица1[[#This Row],[Дата перевода]]-Таблица1[[#This Row],[Дата поступления]]</f>
        <v>0</v>
      </c>
      <c r="W583" s="2">
        <f>Таблица1[[#This Row],[Дата поступления]]-Таблица1[[#This Row],[Дата рождения]]</f>
        <v>0</v>
      </c>
    </row>
    <row r="584" spans="22:23" ht="24.95" customHeight="1" x14ac:dyDescent="0.25">
      <c r="V584" s="2">
        <f>Таблица1[[#This Row],[Дата перевода]]-Таблица1[[#This Row],[Дата поступления]]</f>
        <v>0</v>
      </c>
      <c r="W584" s="2">
        <f>Таблица1[[#This Row],[Дата поступления]]-Таблица1[[#This Row],[Дата рождения]]</f>
        <v>0</v>
      </c>
    </row>
    <row r="585" spans="22:23" ht="24.95" customHeight="1" x14ac:dyDescent="0.25">
      <c r="V585" s="2">
        <f>Таблица1[[#This Row],[Дата перевода]]-Таблица1[[#This Row],[Дата поступления]]</f>
        <v>0</v>
      </c>
      <c r="W585" s="2">
        <f>Таблица1[[#This Row],[Дата поступления]]-Таблица1[[#This Row],[Дата рождения]]</f>
        <v>0</v>
      </c>
    </row>
    <row r="586" spans="22:23" ht="24.95" customHeight="1" x14ac:dyDescent="0.25">
      <c r="V586" s="2">
        <f>Таблица1[[#This Row],[Дата перевода]]-Таблица1[[#This Row],[Дата поступления]]</f>
        <v>0</v>
      </c>
      <c r="W586" s="2">
        <f>Таблица1[[#This Row],[Дата поступления]]-Таблица1[[#This Row],[Дата рождения]]</f>
        <v>0</v>
      </c>
    </row>
    <row r="587" spans="22:23" ht="24.95" customHeight="1" x14ac:dyDescent="0.25">
      <c r="V587" s="2">
        <f>Таблица1[[#This Row],[Дата перевода]]-Таблица1[[#This Row],[Дата поступления]]</f>
        <v>0</v>
      </c>
      <c r="W587" s="2">
        <f>Таблица1[[#This Row],[Дата поступления]]-Таблица1[[#This Row],[Дата рождения]]</f>
        <v>0</v>
      </c>
    </row>
    <row r="588" spans="22:23" ht="24.95" customHeight="1" x14ac:dyDescent="0.25">
      <c r="V588" s="2">
        <f>Таблица1[[#This Row],[Дата перевода]]-Таблица1[[#This Row],[Дата поступления]]</f>
        <v>0</v>
      </c>
      <c r="W588" s="2">
        <f>Таблица1[[#This Row],[Дата поступления]]-Таблица1[[#This Row],[Дата рождения]]</f>
        <v>0</v>
      </c>
    </row>
    <row r="589" spans="22:23" ht="24.95" customHeight="1" x14ac:dyDescent="0.25">
      <c r="V589" s="2">
        <f>Таблица1[[#This Row],[Дата перевода]]-Таблица1[[#This Row],[Дата поступления]]</f>
        <v>0</v>
      </c>
      <c r="W589" s="2">
        <f>Таблица1[[#This Row],[Дата поступления]]-Таблица1[[#This Row],[Дата рождения]]</f>
        <v>0</v>
      </c>
    </row>
    <row r="590" spans="22:23" ht="24.95" customHeight="1" x14ac:dyDescent="0.25">
      <c r="V590" s="2">
        <f>Таблица1[[#This Row],[Дата перевода]]-Таблица1[[#This Row],[Дата поступления]]</f>
        <v>0</v>
      </c>
      <c r="W590" s="2">
        <f>Таблица1[[#This Row],[Дата поступления]]-Таблица1[[#This Row],[Дата рождения]]</f>
        <v>0</v>
      </c>
    </row>
    <row r="591" spans="22:23" ht="24.95" customHeight="1" x14ac:dyDescent="0.25">
      <c r="V591" s="2">
        <f>Таблица1[[#This Row],[Дата перевода]]-Таблица1[[#This Row],[Дата поступления]]</f>
        <v>0</v>
      </c>
      <c r="W591" s="2">
        <f>Таблица1[[#This Row],[Дата поступления]]-Таблица1[[#This Row],[Дата рождения]]</f>
        <v>0</v>
      </c>
    </row>
    <row r="592" spans="22:23" ht="24.95" customHeight="1" x14ac:dyDescent="0.25">
      <c r="V592" s="2">
        <f>Таблица1[[#This Row],[Дата перевода]]-Таблица1[[#This Row],[Дата поступления]]</f>
        <v>0</v>
      </c>
      <c r="W592" s="2">
        <f>Таблица1[[#This Row],[Дата поступления]]-Таблица1[[#This Row],[Дата рождения]]</f>
        <v>0</v>
      </c>
    </row>
    <row r="593" spans="22:23" ht="24.95" customHeight="1" x14ac:dyDescent="0.25">
      <c r="V593" s="2">
        <f>Таблица1[[#This Row],[Дата перевода]]-Таблица1[[#This Row],[Дата поступления]]</f>
        <v>0</v>
      </c>
      <c r="W593" s="2">
        <f>Таблица1[[#This Row],[Дата поступления]]-Таблица1[[#This Row],[Дата рождения]]</f>
        <v>0</v>
      </c>
    </row>
    <row r="594" spans="22:23" ht="24.95" customHeight="1" x14ac:dyDescent="0.25">
      <c r="V594" s="2">
        <f>Таблица1[[#This Row],[Дата перевода]]-Таблица1[[#This Row],[Дата поступления]]</f>
        <v>0</v>
      </c>
      <c r="W594" s="2">
        <f>Таблица1[[#This Row],[Дата поступления]]-Таблица1[[#This Row],[Дата рождения]]</f>
        <v>0</v>
      </c>
    </row>
    <row r="595" spans="22:23" ht="24.95" customHeight="1" x14ac:dyDescent="0.25">
      <c r="V595" s="2">
        <f>Таблица1[[#This Row],[Дата перевода]]-Таблица1[[#This Row],[Дата поступления]]</f>
        <v>0</v>
      </c>
      <c r="W595" s="2">
        <f>Таблица1[[#This Row],[Дата поступления]]-Таблица1[[#This Row],[Дата рождения]]</f>
        <v>0</v>
      </c>
    </row>
    <row r="596" spans="22:23" ht="24.95" customHeight="1" x14ac:dyDescent="0.25">
      <c r="V596" s="2">
        <f>Таблица1[[#This Row],[Дата перевода]]-Таблица1[[#This Row],[Дата поступления]]</f>
        <v>0</v>
      </c>
      <c r="W596" s="2">
        <f>Таблица1[[#This Row],[Дата поступления]]-Таблица1[[#This Row],[Дата рождения]]</f>
        <v>0</v>
      </c>
    </row>
    <row r="597" spans="22:23" ht="24.95" customHeight="1" x14ac:dyDescent="0.25">
      <c r="V597" s="2">
        <f>Таблица1[[#This Row],[Дата перевода]]-Таблица1[[#This Row],[Дата поступления]]</f>
        <v>0</v>
      </c>
      <c r="W597" s="2">
        <f>Таблица1[[#This Row],[Дата поступления]]-Таблица1[[#This Row],[Дата рождения]]</f>
        <v>0</v>
      </c>
    </row>
    <row r="598" spans="22:23" ht="24.95" customHeight="1" x14ac:dyDescent="0.25">
      <c r="V598" s="2">
        <f>Таблица1[[#This Row],[Дата перевода]]-Таблица1[[#This Row],[Дата поступления]]</f>
        <v>0</v>
      </c>
      <c r="W598" s="2">
        <f>Таблица1[[#This Row],[Дата поступления]]-Таблица1[[#This Row],[Дата рождения]]</f>
        <v>0</v>
      </c>
    </row>
    <row r="599" spans="22:23" ht="24.95" customHeight="1" x14ac:dyDescent="0.25">
      <c r="V599" s="2">
        <f>Таблица1[[#This Row],[Дата перевода]]-Таблица1[[#This Row],[Дата поступления]]</f>
        <v>0</v>
      </c>
      <c r="W599" s="2">
        <f>Таблица1[[#This Row],[Дата поступления]]-Таблица1[[#This Row],[Дата рождения]]</f>
        <v>0</v>
      </c>
    </row>
    <row r="600" spans="22:23" ht="24.95" customHeight="1" x14ac:dyDescent="0.25">
      <c r="V600" s="2">
        <f>Таблица1[[#This Row],[Дата перевода]]-Таблица1[[#This Row],[Дата поступления]]</f>
        <v>0</v>
      </c>
      <c r="W600" s="2">
        <f>Таблица1[[#This Row],[Дата поступления]]-Таблица1[[#This Row],[Дата рождения]]</f>
        <v>0</v>
      </c>
    </row>
    <row r="601" spans="22:23" ht="24.95" customHeight="1" x14ac:dyDescent="0.25">
      <c r="V601" s="2">
        <f>Таблица1[[#This Row],[Дата перевода]]-Таблица1[[#This Row],[Дата поступления]]</f>
        <v>0</v>
      </c>
      <c r="W601" s="2">
        <f>Таблица1[[#This Row],[Дата поступления]]-Таблица1[[#This Row],[Дата рождения]]</f>
        <v>0</v>
      </c>
    </row>
    <row r="602" spans="22:23" ht="24.95" customHeight="1" x14ac:dyDescent="0.25">
      <c r="V602" s="2">
        <f>Таблица1[[#This Row],[Дата перевода]]-Таблица1[[#This Row],[Дата поступления]]</f>
        <v>0</v>
      </c>
      <c r="W602" s="2">
        <f>Таблица1[[#This Row],[Дата поступления]]-Таблица1[[#This Row],[Дата рождения]]</f>
        <v>0</v>
      </c>
    </row>
    <row r="603" spans="22:23" ht="24.95" customHeight="1" x14ac:dyDescent="0.25">
      <c r="V603" s="2">
        <f>Таблица1[[#This Row],[Дата перевода]]-Таблица1[[#This Row],[Дата поступления]]</f>
        <v>0</v>
      </c>
      <c r="W603" s="2">
        <f>Таблица1[[#This Row],[Дата поступления]]-Таблица1[[#This Row],[Дата рождения]]</f>
        <v>0</v>
      </c>
    </row>
    <row r="604" spans="22:23" ht="24.95" customHeight="1" x14ac:dyDescent="0.25">
      <c r="V604" s="2">
        <f>Таблица1[[#This Row],[Дата перевода]]-Таблица1[[#This Row],[Дата поступления]]</f>
        <v>0</v>
      </c>
      <c r="W604" s="2">
        <f>Таблица1[[#This Row],[Дата поступления]]-Таблица1[[#This Row],[Дата рождения]]</f>
        <v>0</v>
      </c>
    </row>
    <row r="605" spans="22:23" ht="24.95" customHeight="1" x14ac:dyDescent="0.25">
      <c r="V605" s="2">
        <f>Таблица1[[#This Row],[Дата перевода]]-Таблица1[[#This Row],[Дата поступления]]</f>
        <v>0</v>
      </c>
      <c r="W605" s="2">
        <f>Таблица1[[#This Row],[Дата поступления]]-Таблица1[[#This Row],[Дата рождения]]</f>
        <v>0</v>
      </c>
    </row>
    <row r="606" spans="22:23" ht="24.95" customHeight="1" x14ac:dyDescent="0.25">
      <c r="V606" s="2">
        <f>Таблица1[[#This Row],[Дата перевода]]-Таблица1[[#This Row],[Дата поступления]]</f>
        <v>0</v>
      </c>
      <c r="W606" s="2">
        <f>Таблица1[[#This Row],[Дата поступления]]-Таблица1[[#This Row],[Дата рождения]]</f>
        <v>0</v>
      </c>
    </row>
    <row r="607" spans="22:23" ht="24.95" customHeight="1" x14ac:dyDescent="0.25">
      <c r="V607" s="2">
        <f>Таблица1[[#This Row],[Дата перевода]]-Таблица1[[#This Row],[Дата поступления]]</f>
        <v>0</v>
      </c>
      <c r="W607" s="2">
        <f>Таблица1[[#This Row],[Дата поступления]]-Таблица1[[#This Row],[Дата рождения]]</f>
        <v>0</v>
      </c>
    </row>
    <row r="608" spans="22:23" ht="24.95" customHeight="1" x14ac:dyDescent="0.25">
      <c r="V608" s="2">
        <f>Таблица1[[#This Row],[Дата перевода]]-Таблица1[[#This Row],[Дата поступления]]</f>
        <v>0</v>
      </c>
      <c r="W608" s="2">
        <f>Таблица1[[#This Row],[Дата поступления]]-Таблица1[[#This Row],[Дата рождения]]</f>
        <v>0</v>
      </c>
    </row>
    <row r="609" spans="22:23" ht="24.95" customHeight="1" x14ac:dyDescent="0.25">
      <c r="V609" s="2">
        <f>Таблица1[[#This Row],[Дата перевода]]-Таблица1[[#This Row],[Дата поступления]]</f>
        <v>0</v>
      </c>
      <c r="W609" s="2">
        <f>Таблица1[[#This Row],[Дата поступления]]-Таблица1[[#This Row],[Дата рождения]]</f>
        <v>0</v>
      </c>
    </row>
    <row r="610" spans="22:23" ht="24.95" customHeight="1" x14ac:dyDescent="0.25">
      <c r="V610" s="2">
        <f>Таблица1[[#This Row],[Дата перевода]]-Таблица1[[#This Row],[Дата поступления]]</f>
        <v>0</v>
      </c>
      <c r="W610" s="2">
        <f>Таблица1[[#This Row],[Дата поступления]]-Таблица1[[#This Row],[Дата рождения]]</f>
        <v>0</v>
      </c>
    </row>
    <row r="611" spans="22:23" ht="24.95" customHeight="1" x14ac:dyDescent="0.25">
      <c r="V611" s="2">
        <f>Таблица1[[#This Row],[Дата перевода]]-Таблица1[[#This Row],[Дата поступления]]</f>
        <v>0</v>
      </c>
      <c r="W611" s="2">
        <f>Таблица1[[#This Row],[Дата поступления]]-Таблица1[[#This Row],[Дата рождения]]</f>
        <v>0</v>
      </c>
    </row>
    <row r="612" spans="22:23" ht="24.95" customHeight="1" x14ac:dyDescent="0.25">
      <c r="V612" s="2">
        <f>Таблица1[[#This Row],[Дата перевода]]-Таблица1[[#This Row],[Дата поступления]]</f>
        <v>0</v>
      </c>
      <c r="W612" s="2">
        <f>Таблица1[[#This Row],[Дата поступления]]-Таблица1[[#This Row],[Дата рождения]]</f>
        <v>0</v>
      </c>
    </row>
    <row r="613" spans="22:23" ht="24.95" customHeight="1" x14ac:dyDescent="0.25">
      <c r="V613" s="2">
        <f>Таблица1[[#This Row],[Дата перевода]]-Таблица1[[#This Row],[Дата поступления]]</f>
        <v>0</v>
      </c>
      <c r="W613" s="2">
        <f>Таблица1[[#This Row],[Дата поступления]]-Таблица1[[#This Row],[Дата рождения]]</f>
        <v>0</v>
      </c>
    </row>
    <row r="614" spans="22:23" ht="24.95" customHeight="1" x14ac:dyDescent="0.25">
      <c r="V614" s="2">
        <f>Таблица1[[#This Row],[Дата перевода]]-Таблица1[[#This Row],[Дата поступления]]</f>
        <v>0</v>
      </c>
      <c r="W614" s="2">
        <f>Таблица1[[#This Row],[Дата поступления]]-Таблица1[[#This Row],[Дата рождения]]</f>
        <v>0</v>
      </c>
    </row>
    <row r="615" spans="22:23" ht="24.95" customHeight="1" x14ac:dyDescent="0.25">
      <c r="V615" s="2">
        <f>Таблица1[[#This Row],[Дата перевода]]-Таблица1[[#This Row],[Дата поступления]]</f>
        <v>0</v>
      </c>
      <c r="W615" s="2">
        <f>Таблица1[[#This Row],[Дата поступления]]-Таблица1[[#This Row],[Дата рождения]]</f>
        <v>0</v>
      </c>
    </row>
    <row r="616" spans="22:23" ht="24.95" customHeight="1" x14ac:dyDescent="0.25">
      <c r="V616" s="2">
        <f>Таблица1[[#This Row],[Дата перевода]]-Таблица1[[#This Row],[Дата поступления]]</f>
        <v>0</v>
      </c>
      <c r="W616" s="2">
        <f>Таблица1[[#This Row],[Дата поступления]]-Таблица1[[#This Row],[Дата рождения]]</f>
        <v>0</v>
      </c>
    </row>
    <row r="617" spans="22:23" ht="24.95" customHeight="1" x14ac:dyDescent="0.25">
      <c r="V617" s="2">
        <f>Таблица1[[#This Row],[Дата перевода]]-Таблица1[[#This Row],[Дата поступления]]</f>
        <v>0</v>
      </c>
      <c r="W617" s="2">
        <f>Таблица1[[#This Row],[Дата поступления]]-Таблица1[[#This Row],[Дата рождения]]</f>
        <v>0</v>
      </c>
    </row>
    <row r="618" spans="22:23" ht="24.95" customHeight="1" x14ac:dyDescent="0.25">
      <c r="V618" s="2">
        <f>Таблица1[[#This Row],[Дата перевода]]-Таблица1[[#This Row],[Дата поступления]]</f>
        <v>0</v>
      </c>
      <c r="W618" s="2">
        <f>Таблица1[[#This Row],[Дата поступления]]-Таблица1[[#This Row],[Дата рождения]]</f>
        <v>0</v>
      </c>
    </row>
    <row r="619" spans="22:23" ht="24.95" customHeight="1" x14ac:dyDescent="0.25">
      <c r="V619" s="2">
        <f>Таблица1[[#This Row],[Дата перевода]]-Таблица1[[#This Row],[Дата поступления]]</f>
        <v>0</v>
      </c>
      <c r="W619" s="2">
        <f>Таблица1[[#This Row],[Дата поступления]]-Таблица1[[#This Row],[Дата рождения]]</f>
        <v>0</v>
      </c>
    </row>
    <row r="620" spans="22:23" ht="24.95" customHeight="1" x14ac:dyDescent="0.25">
      <c r="V620" s="2">
        <f>Таблица1[[#This Row],[Дата перевода]]-Таблица1[[#This Row],[Дата поступления]]</f>
        <v>0</v>
      </c>
      <c r="W620" s="2">
        <f>Таблица1[[#This Row],[Дата поступления]]-Таблица1[[#This Row],[Дата рождения]]</f>
        <v>0</v>
      </c>
    </row>
    <row r="621" spans="22:23" ht="24.95" customHeight="1" x14ac:dyDescent="0.25">
      <c r="V621" s="2">
        <f>Таблица1[[#This Row],[Дата перевода]]-Таблица1[[#This Row],[Дата поступления]]</f>
        <v>0</v>
      </c>
      <c r="W621" s="2">
        <f>Таблица1[[#This Row],[Дата поступления]]-Таблица1[[#This Row],[Дата рождения]]</f>
        <v>0</v>
      </c>
    </row>
    <row r="622" spans="22:23" ht="24.95" customHeight="1" x14ac:dyDescent="0.25">
      <c r="V622" s="2">
        <f>Таблица1[[#This Row],[Дата перевода]]-Таблица1[[#This Row],[Дата поступления]]</f>
        <v>0</v>
      </c>
      <c r="W622" s="2">
        <f>Таблица1[[#This Row],[Дата поступления]]-Таблица1[[#This Row],[Дата рождения]]</f>
        <v>0</v>
      </c>
    </row>
    <row r="623" spans="22:23" ht="24.95" customHeight="1" x14ac:dyDescent="0.25">
      <c r="V623" s="2">
        <f>Таблица1[[#This Row],[Дата перевода]]-Таблица1[[#This Row],[Дата поступления]]</f>
        <v>0</v>
      </c>
      <c r="W623" s="2">
        <f>Таблица1[[#This Row],[Дата поступления]]-Таблица1[[#This Row],[Дата рождения]]</f>
        <v>0</v>
      </c>
    </row>
    <row r="624" spans="22:23" ht="24.95" customHeight="1" x14ac:dyDescent="0.25">
      <c r="V624" s="2">
        <f>Таблица1[[#This Row],[Дата перевода]]-Таблица1[[#This Row],[Дата поступления]]</f>
        <v>0</v>
      </c>
      <c r="W624" s="2">
        <f>Таблица1[[#This Row],[Дата поступления]]-Таблица1[[#This Row],[Дата рождения]]</f>
        <v>0</v>
      </c>
    </row>
    <row r="625" spans="22:23" ht="24.95" customHeight="1" x14ac:dyDescent="0.25">
      <c r="V625" s="2">
        <f>Таблица1[[#This Row],[Дата перевода]]-Таблица1[[#This Row],[Дата поступления]]</f>
        <v>0</v>
      </c>
      <c r="W625" s="2">
        <f>Таблица1[[#This Row],[Дата поступления]]-Таблица1[[#This Row],[Дата рождения]]</f>
        <v>0</v>
      </c>
    </row>
    <row r="626" spans="22:23" ht="24.95" customHeight="1" x14ac:dyDescent="0.25">
      <c r="V626" s="2">
        <f>Таблица1[[#This Row],[Дата перевода]]-Таблица1[[#This Row],[Дата поступления]]</f>
        <v>0</v>
      </c>
      <c r="W626" s="2">
        <f>Таблица1[[#This Row],[Дата поступления]]-Таблица1[[#This Row],[Дата рождения]]</f>
        <v>0</v>
      </c>
    </row>
    <row r="627" spans="22:23" ht="24.95" customHeight="1" x14ac:dyDescent="0.25">
      <c r="V627" s="2">
        <f>Таблица1[[#This Row],[Дата перевода]]-Таблица1[[#This Row],[Дата поступления]]</f>
        <v>0</v>
      </c>
      <c r="W627" s="2">
        <f>Таблица1[[#This Row],[Дата поступления]]-Таблица1[[#This Row],[Дата рождения]]</f>
        <v>0</v>
      </c>
    </row>
    <row r="628" spans="22:23" ht="24.95" customHeight="1" x14ac:dyDescent="0.25">
      <c r="V628" s="2">
        <f>Таблица1[[#This Row],[Дата перевода]]-Таблица1[[#This Row],[Дата поступления]]</f>
        <v>0</v>
      </c>
      <c r="W628" s="2">
        <f>Таблица1[[#This Row],[Дата поступления]]-Таблица1[[#This Row],[Дата рождения]]</f>
        <v>0</v>
      </c>
    </row>
    <row r="629" spans="22:23" ht="24.95" customHeight="1" x14ac:dyDescent="0.25">
      <c r="V629" s="2">
        <f>Таблица1[[#This Row],[Дата перевода]]-Таблица1[[#This Row],[Дата поступления]]</f>
        <v>0</v>
      </c>
      <c r="W629" s="2">
        <f>Таблица1[[#This Row],[Дата поступления]]-Таблица1[[#This Row],[Дата рождения]]</f>
        <v>0</v>
      </c>
    </row>
    <row r="630" spans="22:23" ht="24.95" customHeight="1" x14ac:dyDescent="0.25">
      <c r="V630" s="2">
        <f>Таблица1[[#This Row],[Дата перевода]]-Таблица1[[#This Row],[Дата поступления]]</f>
        <v>0</v>
      </c>
      <c r="W630" s="2">
        <f>Таблица1[[#This Row],[Дата поступления]]-Таблица1[[#This Row],[Дата рождения]]</f>
        <v>0</v>
      </c>
    </row>
    <row r="631" spans="22:23" ht="24.95" customHeight="1" x14ac:dyDescent="0.25">
      <c r="V631" s="2">
        <f>Таблица1[[#This Row],[Дата перевода]]-Таблица1[[#This Row],[Дата поступления]]</f>
        <v>0</v>
      </c>
      <c r="W631" s="2">
        <f>Таблица1[[#This Row],[Дата поступления]]-Таблица1[[#This Row],[Дата рождения]]</f>
        <v>0</v>
      </c>
    </row>
    <row r="632" spans="22:23" ht="24.95" customHeight="1" x14ac:dyDescent="0.25">
      <c r="V632" s="2">
        <f>Таблица1[[#This Row],[Дата перевода]]-Таблица1[[#This Row],[Дата поступления]]</f>
        <v>0</v>
      </c>
      <c r="W632" s="2">
        <f>Таблица1[[#This Row],[Дата поступления]]-Таблица1[[#This Row],[Дата рождения]]</f>
        <v>0</v>
      </c>
    </row>
    <row r="633" spans="22:23" ht="24.95" customHeight="1" x14ac:dyDescent="0.25">
      <c r="V633" s="2">
        <f>Таблица1[[#This Row],[Дата перевода]]-Таблица1[[#This Row],[Дата поступления]]</f>
        <v>0</v>
      </c>
      <c r="W633" s="2">
        <f>Таблица1[[#This Row],[Дата поступления]]-Таблица1[[#This Row],[Дата рождения]]</f>
        <v>0</v>
      </c>
    </row>
    <row r="634" spans="22:23" ht="24.95" customHeight="1" x14ac:dyDescent="0.25">
      <c r="V634" s="2">
        <f>Таблица1[[#This Row],[Дата перевода]]-Таблица1[[#This Row],[Дата поступления]]</f>
        <v>0</v>
      </c>
      <c r="W634" s="2">
        <f>Таблица1[[#This Row],[Дата поступления]]-Таблица1[[#This Row],[Дата рождения]]</f>
        <v>0</v>
      </c>
    </row>
    <row r="635" spans="22:23" ht="24.95" customHeight="1" x14ac:dyDescent="0.25">
      <c r="V635" s="2">
        <f>Таблица1[[#This Row],[Дата перевода]]-Таблица1[[#This Row],[Дата поступления]]</f>
        <v>0</v>
      </c>
      <c r="W635" s="2">
        <f>Таблица1[[#This Row],[Дата поступления]]-Таблица1[[#This Row],[Дата рождения]]</f>
        <v>0</v>
      </c>
    </row>
    <row r="636" spans="22:23" ht="24.95" customHeight="1" x14ac:dyDescent="0.25">
      <c r="V636" s="2">
        <f>Таблица1[[#This Row],[Дата перевода]]-Таблица1[[#This Row],[Дата поступления]]</f>
        <v>0</v>
      </c>
      <c r="W636" s="2">
        <f>Таблица1[[#This Row],[Дата поступления]]-Таблица1[[#This Row],[Дата рождения]]</f>
        <v>0</v>
      </c>
    </row>
    <row r="637" spans="22:23" ht="24.95" customHeight="1" x14ac:dyDescent="0.25">
      <c r="V637" s="2">
        <f>Таблица1[[#This Row],[Дата перевода]]-Таблица1[[#This Row],[Дата поступления]]</f>
        <v>0</v>
      </c>
      <c r="W637" s="2">
        <f>Таблица1[[#This Row],[Дата поступления]]-Таблица1[[#This Row],[Дата рождения]]</f>
        <v>0</v>
      </c>
    </row>
    <row r="638" spans="22:23" ht="24.95" customHeight="1" x14ac:dyDescent="0.25">
      <c r="V638" s="2">
        <f>Таблица1[[#This Row],[Дата перевода]]-Таблица1[[#This Row],[Дата поступления]]</f>
        <v>0</v>
      </c>
      <c r="W638" s="2">
        <f>Таблица1[[#This Row],[Дата поступления]]-Таблица1[[#This Row],[Дата рождения]]</f>
        <v>0</v>
      </c>
    </row>
    <row r="639" spans="22:23" ht="24.95" customHeight="1" x14ac:dyDescent="0.25">
      <c r="V639" s="2">
        <f>Таблица1[[#This Row],[Дата перевода]]-Таблица1[[#This Row],[Дата поступления]]</f>
        <v>0</v>
      </c>
      <c r="W639" s="2">
        <f>Таблица1[[#This Row],[Дата поступления]]-Таблица1[[#This Row],[Дата рождения]]</f>
        <v>0</v>
      </c>
    </row>
    <row r="640" spans="22:23" ht="24.95" customHeight="1" x14ac:dyDescent="0.25">
      <c r="V640" s="2">
        <f>Таблица1[[#This Row],[Дата перевода]]-Таблица1[[#This Row],[Дата поступления]]</f>
        <v>0</v>
      </c>
      <c r="W640" s="2">
        <f>Таблица1[[#This Row],[Дата поступления]]-Таблица1[[#This Row],[Дата рождения]]</f>
        <v>0</v>
      </c>
    </row>
    <row r="641" spans="22:23" ht="24.95" customHeight="1" x14ac:dyDescent="0.25">
      <c r="V641" s="2">
        <f>Таблица1[[#This Row],[Дата перевода]]-Таблица1[[#This Row],[Дата поступления]]</f>
        <v>0</v>
      </c>
      <c r="W641" s="2">
        <f>Таблица1[[#This Row],[Дата поступления]]-Таблица1[[#This Row],[Дата рождения]]</f>
        <v>0</v>
      </c>
    </row>
    <row r="642" spans="22:23" ht="24.95" customHeight="1" x14ac:dyDescent="0.25">
      <c r="V642" s="2">
        <f>Таблица1[[#This Row],[Дата перевода]]-Таблица1[[#This Row],[Дата поступления]]</f>
        <v>0</v>
      </c>
      <c r="W642" s="2">
        <f>Таблица1[[#This Row],[Дата поступления]]-Таблица1[[#This Row],[Дата рождения]]</f>
        <v>0</v>
      </c>
    </row>
    <row r="643" spans="22:23" ht="24.95" customHeight="1" x14ac:dyDescent="0.25">
      <c r="V643" s="2">
        <f>Таблица1[[#This Row],[Дата перевода]]-Таблица1[[#This Row],[Дата поступления]]</f>
        <v>0</v>
      </c>
      <c r="W643" s="2">
        <f>Таблица1[[#This Row],[Дата поступления]]-Таблица1[[#This Row],[Дата рождения]]</f>
        <v>0</v>
      </c>
    </row>
    <row r="644" spans="22:23" ht="24.95" customHeight="1" x14ac:dyDescent="0.25">
      <c r="V644" s="2">
        <f>Таблица1[[#This Row],[Дата перевода]]-Таблица1[[#This Row],[Дата поступления]]</f>
        <v>0</v>
      </c>
      <c r="W644" s="2">
        <f>Таблица1[[#This Row],[Дата поступления]]-Таблица1[[#This Row],[Дата рождения]]</f>
        <v>0</v>
      </c>
    </row>
    <row r="645" spans="22:23" ht="24.95" customHeight="1" x14ac:dyDescent="0.25">
      <c r="V645" s="2">
        <f>Таблица1[[#This Row],[Дата перевода]]-Таблица1[[#This Row],[Дата поступления]]</f>
        <v>0</v>
      </c>
      <c r="W645" s="2">
        <f>Таблица1[[#This Row],[Дата поступления]]-Таблица1[[#This Row],[Дата рождения]]</f>
        <v>0</v>
      </c>
    </row>
    <row r="646" spans="22:23" ht="24.95" customHeight="1" x14ac:dyDescent="0.25">
      <c r="V646" s="2">
        <f>Таблица1[[#This Row],[Дата перевода]]-Таблица1[[#This Row],[Дата поступления]]</f>
        <v>0</v>
      </c>
      <c r="W646" s="2">
        <f>Таблица1[[#This Row],[Дата поступления]]-Таблица1[[#This Row],[Дата рождения]]</f>
        <v>0</v>
      </c>
    </row>
    <row r="647" spans="22:23" ht="24.95" customHeight="1" x14ac:dyDescent="0.25">
      <c r="V647" s="2">
        <f>Таблица1[[#This Row],[Дата перевода]]-Таблица1[[#This Row],[Дата поступления]]</f>
        <v>0</v>
      </c>
      <c r="W647" s="2">
        <f>Таблица1[[#This Row],[Дата поступления]]-Таблица1[[#This Row],[Дата рождения]]</f>
        <v>0</v>
      </c>
    </row>
    <row r="648" spans="22:23" ht="24.95" customHeight="1" x14ac:dyDescent="0.25">
      <c r="V648" s="2">
        <f>Таблица1[[#This Row],[Дата перевода]]-Таблица1[[#This Row],[Дата поступления]]</f>
        <v>0</v>
      </c>
      <c r="W648" s="2">
        <f>Таблица1[[#This Row],[Дата поступления]]-Таблица1[[#This Row],[Дата рождения]]</f>
        <v>0</v>
      </c>
    </row>
    <row r="649" spans="22:23" ht="24.95" customHeight="1" x14ac:dyDescent="0.25">
      <c r="V649" s="2">
        <f>Таблица1[[#This Row],[Дата перевода]]-Таблица1[[#This Row],[Дата поступления]]</f>
        <v>0</v>
      </c>
      <c r="W649" s="2">
        <f>Таблица1[[#This Row],[Дата поступления]]-Таблица1[[#This Row],[Дата рождения]]</f>
        <v>0</v>
      </c>
    </row>
    <row r="650" spans="22:23" ht="24.95" customHeight="1" x14ac:dyDescent="0.25">
      <c r="V650" s="2">
        <f>Таблица1[[#This Row],[Дата перевода]]-Таблица1[[#This Row],[Дата поступления]]</f>
        <v>0</v>
      </c>
      <c r="W650" s="2">
        <f>Таблица1[[#This Row],[Дата поступления]]-Таблица1[[#This Row],[Дата рождения]]</f>
        <v>0</v>
      </c>
    </row>
    <row r="651" spans="22:23" ht="24.95" customHeight="1" x14ac:dyDescent="0.25">
      <c r="V651" s="2">
        <f>Таблица1[[#This Row],[Дата перевода]]-Таблица1[[#This Row],[Дата поступления]]</f>
        <v>0</v>
      </c>
      <c r="W651" s="2">
        <f>Таблица1[[#This Row],[Дата поступления]]-Таблица1[[#This Row],[Дата рождения]]</f>
        <v>0</v>
      </c>
    </row>
    <row r="652" spans="22:23" ht="24.95" customHeight="1" x14ac:dyDescent="0.25">
      <c r="V652" s="2">
        <f>Таблица1[[#This Row],[Дата перевода]]-Таблица1[[#This Row],[Дата поступления]]</f>
        <v>0</v>
      </c>
      <c r="W652" s="2">
        <f>Таблица1[[#This Row],[Дата поступления]]-Таблица1[[#This Row],[Дата рождения]]</f>
        <v>0</v>
      </c>
    </row>
    <row r="653" spans="22:23" ht="24.95" customHeight="1" x14ac:dyDescent="0.25">
      <c r="V653" s="2">
        <f>Таблица1[[#This Row],[Дата перевода]]-Таблица1[[#This Row],[Дата поступления]]</f>
        <v>0</v>
      </c>
      <c r="W653" s="2">
        <f>Таблица1[[#This Row],[Дата поступления]]-Таблица1[[#This Row],[Дата рождения]]</f>
        <v>0</v>
      </c>
    </row>
    <row r="654" spans="22:23" ht="24.95" customHeight="1" x14ac:dyDescent="0.25">
      <c r="V654" s="2">
        <f>Таблица1[[#This Row],[Дата перевода]]-Таблица1[[#This Row],[Дата поступления]]</f>
        <v>0</v>
      </c>
      <c r="W654" s="2">
        <f>Таблица1[[#This Row],[Дата поступления]]-Таблица1[[#This Row],[Дата рождения]]</f>
        <v>0</v>
      </c>
    </row>
    <row r="655" spans="22:23" ht="24.95" customHeight="1" x14ac:dyDescent="0.25">
      <c r="V655" s="2">
        <f>Таблица1[[#This Row],[Дата перевода]]-Таблица1[[#This Row],[Дата поступления]]</f>
        <v>0</v>
      </c>
      <c r="W655" s="2">
        <f>Таблица1[[#This Row],[Дата поступления]]-Таблица1[[#This Row],[Дата рождения]]</f>
        <v>0</v>
      </c>
    </row>
    <row r="656" spans="22:23" ht="24.95" customHeight="1" x14ac:dyDescent="0.25">
      <c r="V656" s="2">
        <f>Таблица1[[#This Row],[Дата перевода]]-Таблица1[[#This Row],[Дата поступления]]</f>
        <v>0</v>
      </c>
      <c r="W656" s="2">
        <f>Таблица1[[#This Row],[Дата поступления]]-Таблица1[[#This Row],[Дата рождения]]</f>
        <v>0</v>
      </c>
    </row>
    <row r="657" spans="22:23" ht="24.95" customHeight="1" x14ac:dyDescent="0.25">
      <c r="V657" s="2">
        <f>Таблица1[[#This Row],[Дата перевода]]-Таблица1[[#This Row],[Дата поступления]]</f>
        <v>0</v>
      </c>
      <c r="W657" s="2">
        <f>Таблица1[[#This Row],[Дата поступления]]-Таблица1[[#This Row],[Дата рождения]]</f>
        <v>0</v>
      </c>
    </row>
    <row r="658" spans="22:23" ht="24.95" customHeight="1" x14ac:dyDescent="0.25">
      <c r="V658" s="2">
        <f>Таблица1[[#This Row],[Дата перевода]]-Таблица1[[#This Row],[Дата поступления]]</f>
        <v>0</v>
      </c>
      <c r="W658" s="2">
        <f>Таблица1[[#This Row],[Дата поступления]]-Таблица1[[#This Row],[Дата рождения]]</f>
        <v>0</v>
      </c>
    </row>
    <row r="659" spans="22:23" ht="24.95" customHeight="1" x14ac:dyDescent="0.25">
      <c r="V659" s="2">
        <f>Таблица1[[#This Row],[Дата перевода]]-Таблица1[[#This Row],[Дата поступления]]</f>
        <v>0</v>
      </c>
      <c r="W659" s="2">
        <f>Таблица1[[#This Row],[Дата поступления]]-Таблица1[[#This Row],[Дата рождения]]</f>
        <v>0</v>
      </c>
    </row>
    <row r="660" spans="22:23" ht="24.95" customHeight="1" x14ac:dyDescent="0.25">
      <c r="V660" s="2">
        <f>Таблица1[[#This Row],[Дата перевода]]-Таблица1[[#This Row],[Дата поступления]]</f>
        <v>0</v>
      </c>
      <c r="W660" s="2">
        <f>Таблица1[[#This Row],[Дата поступления]]-Таблица1[[#This Row],[Дата рождения]]</f>
        <v>0</v>
      </c>
    </row>
    <row r="661" spans="22:23" ht="24.95" customHeight="1" x14ac:dyDescent="0.25">
      <c r="V661" s="2">
        <f>Таблица1[[#This Row],[Дата перевода]]-Таблица1[[#This Row],[Дата поступления]]</f>
        <v>0</v>
      </c>
      <c r="W661" s="2">
        <f>Таблица1[[#This Row],[Дата поступления]]-Таблица1[[#This Row],[Дата рождения]]</f>
        <v>0</v>
      </c>
    </row>
    <row r="662" spans="22:23" ht="24.95" customHeight="1" x14ac:dyDescent="0.25">
      <c r="V662" s="2">
        <f>Таблица1[[#This Row],[Дата перевода]]-Таблица1[[#This Row],[Дата поступления]]</f>
        <v>0</v>
      </c>
      <c r="W662" s="2">
        <f>Таблица1[[#This Row],[Дата поступления]]-Таблица1[[#This Row],[Дата рождения]]</f>
        <v>0</v>
      </c>
    </row>
    <row r="663" spans="22:23" ht="24.95" customHeight="1" x14ac:dyDescent="0.25">
      <c r="V663" s="2">
        <f>Таблица1[[#This Row],[Дата перевода]]-Таблица1[[#This Row],[Дата поступления]]</f>
        <v>0</v>
      </c>
      <c r="W663" s="2">
        <f>Таблица1[[#This Row],[Дата поступления]]-Таблица1[[#This Row],[Дата рождения]]</f>
        <v>0</v>
      </c>
    </row>
    <row r="664" spans="22:23" ht="24.95" customHeight="1" x14ac:dyDescent="0.25">
      <c r="V664" s="2">
        <f>Таблица1[[#This Row],[Дата перевода]]-Таблица1[[#This Row],[Дата поступления]]</f>
        <v>0</v>
      </c>
      <c r="W664" s="2">
        <f>Таблица1[[#This Row],[Дата поступления]]-Таблица1[[#This Row],[Дата рождения]]</f>
        <v>0</v>
      </c>
    </row>
    <row r="665" spans="22:23" ht="24.95" customHeight="1" x14ac:dyDescent="0.25">
      <c r="V665" s="2">
        <f>Таблица1[[#This Row],[Дата перевода]]-Таблица1[[#This Row],[Дата поступления]]</f>
        <v>0</v>
      </c>
      <c r="W665" s="2">
        <f>Таблица1[[#This Row],[Дата поступления]]-Таблица1[[#This Row],[Дата рождения]]</f>
        <v>0</v>
      </c>
    </row>
    <row r="666" spans="22:23" ht="24.95" customHeight="1" x14ac:dyDescent="0.25">
      <c r="V666" s="2">
        <f>Таблица1[[#This Row],[Дата перевода]]-Таблица1[[#This Row],[Дата поступления]]</f>
        <v>0</v>
      </c>
      <c r="W666" s="2">
        <f>Таблица1[[#This Row],[Дата поступления]]-Таблица1[[#This Row],[Дата рождения]]</f>
        <v>0</v>
      </c>
    </row>
    <row r="667" spans="22:23" ht="24.95" customHeight="1" x14ac:dyDescent="0.25">
      <c r="V667" s="2">
        <f>Таблица1[[#This Row],[Дата перевода]]-Таблица1[[#This Row],[Дата поступления]]</f>
        <v>0</v>
      </c>
      <c r="W667" s="2">
        <f>Таблица1[[#This Row],[Дата поступления]]-Таблица1[[#This Row],[Дата рождения]]</f>
        <v>0</v>
      </c>
    </row>
    <row r="668" spans="22:23" ht="24.95" customHeight="1" x14ac:dyDescent="0.25">
      <c r="V668" s="2">
        <f>Таблица1[[#This Row],[Дата перевода]]-Таблица1[[#This Row],[Дата поступления]]</f>
        <v>0</v>
      </c>
      <c r="W668" s="2">
        <f>Таблица1[[#This Row],[Дата поступления]]-Таблица1[[#This Row],[Дата рождения]]</f>
        <v>0</v>
      </c>
    </row>
    <row r="669" spans="22:23" ht="24.95" customHeight="1" x14ac:dyDescent="0.25">
      <c r="V669" s="2">
        <f>Таблица1[[#This Row],[Дата перевода]]-Таблица1[[#This Row],[Дата поступления]]</f>
        <v>0</v>
      </c>
      <c r="W669" s="2">
        <f>Таблица1[[#This Row],[Дата поступления]]-Таблица1[[#This Row],[Дата рождения]]</f>
        <v>0</v>
      </c>
    </row>
    <row r="670" spans="22:23" ht="24.95" customHeight="1" x14ac:dyDescent="0.25">
      <c r="V670" s="2">
        <f>Таблица1[[#This Row],[Дата перевода]]-Таблица1[[#This Row],[Дата поступления]]</f>
        <v>0</v>
      </c>
      <c r="W670" s="2">
        <f>Таблица1[[#This Row],[Дата поступления]]-Таблица1[[#This Row],[Дата рождения]]</f>
        <v>0</v>
      </c>
    </row>
    <row r="671" spans="22:23" ht="24.95" customHeight="1" x14ac:dyDescent="0.25">
      <c r="V671" s="2">
        <f>Таблица1[[#This Row],[Дата перевода]]-Таблица1[[#This Row],[Дата поступления]]</f>
        <v>0</v>
      </c>
      <c r="W671" s="2">
        <f>Таблица1[[#This Row],[Дата поступления]]-Таблица1[[#This Row],[Дата рождения]]</f>
        <v>0</v>
      </c>
    </row>
    <row r="672" spans="22:23" ht="24.95" customHeight="1" x14ac:dyDescent="0.25">
      <c r="V672" s="2">
        <f>Таблица1[[#This Row],[Дата перевода]]-Таблица1[[#This Row],[Дата поступления]]</f>
        <v>0</v>
      </c>
      <c r="W672" s="2">
        <f>Таблица1[[#This Row],[Дата поступления]]-Таблица1[[#This Row],[Дата рождения]]</f>
        <v>0</v>
      </c>
    </row>
    <row r="673" spans="22:23" ht="24.95" customHeight="1" x14ac:dyDescent="0.25">
      <c r="V673" s="2">
        <f>Таблица1[[#This Row],[Дата перевода]]-Таблица1[[#This Row],[Дата поступления]]</f>
        <v>0</v>
      </c>
      <c r="W673" s="2">
        <f>Таблица1[[#This Row],[Дата поступления]]-Таблица1[[#This Row],[Дата рождения]]</f>
        <v>0</v>
      </c>
    </row>
    <row r="674" spans="22:23" ht="24.95" customHeight="1" x14ac:dyDescent="0.25">
      <c r="V674" s="2">
        <f>Таблица1[[#This Row],[Дата перевода]]-Таблица1[[#This Row],[Дата поступления]]</f>
        <v>0</v>
      </c>
      <c r="W674" s="2">
        <f>Таблица1[[#This Row],[Дата поступления]]-Таблица1[[#This Row],[Дата рождения]]</f>
        <v>0</v>
      </c>
    </row>
    <row r="675" spans="22:23" ht="24.95" customHeight="1" x14ac:dyDescent="0.25">
      <c r="V675" s="2">
        <f>Таблица1[[#This Row],[Дата перевода]]-Таблица1[[#This Row],[Дата поступления]]</f>
        <v>0</v>
      </c>
      <c r="W675" s="2">
        <f>Таблица1[[#This Row],[Дата поступления]]-Таблица1[[#This Row],[Дата рождения]]</f>
        <v>0</v>
      </c>
    </row>
    <row r="676" spans="22:23" ht="24.95" customHeight="1" x14ac:dyDescent="0.25">
      <c r="V676" s="2">
        <f>Таблица1[[#This Row],[Дата перевода]]-Таблица1[[#This Row],[Дата поступления]]</f>
        <v>0</v>
      </c>
      <c r="W676" s="2">
        <f>Таблица1[[#This Row],[Дата поступления]]-Таблица1[[#This Row],[Дата рождения]]</f>
        <v>0</v>
      </c>
    </row>
    <row r="677" spans="22:23" ht="24.95" customHeight="1" x14ac:dyDescent="0.25">
      <c r="V677" s="2">
        <f>Таблица1[[#This Row],[Дата перевода]]-Таблица1[[#This Row],[Дата поступления]]</f>
        <v>0</v>
      </c>
      <c r="W677" s="2">
        <f>Таблица1[[#This Row],[Дата поступления]]-Таблица1[[#This Row],[Дата рождения]]</f>
        <v>0</v>
      </c>
    </row>
    <row r="678" spans="22:23" ht="24.95" customHeight="1" x14ac:dyDescent="0.25">
      <c r="V678" s="2">
        <f>Таблица1[[#This Row],[Дата перевода]]-Таблица1[[#This Row],[Дата поступления]]</f>
        <v>0</v>
      </c>
      <c r="W678" s="2">
        <f>Таблица1[[#This Row],[Дата поступления]]-Таблица1[[#This Row],[Дата рождения]]</f>
        <v>0</v>
      </c>
    </row>
    <row r="679" spans="22:23" ht="24.95" customHeight="1" x14ac:dyDescent="0.25">
      <c r="V679" s="2">
        <f>Таблица1[[#This Row],[Дата перевода]]-Таблица1[[#This Row],[Дата поступления]]</f>
        <v>0</v>
      </c>
      <c r="W679" s="2">
        <f>Таблица1[[#This Row],[Дата поступления]]-Таблица1[[#This Row],[Дата рождения]]</f>
        <v>0</v>
      </c>
    </row>
    <row r="680" spans="22:23" ht="24.95" customHeight="1" x14ac:dyDescent="0.25">
      <c r="V680" s="2">
        <f>Таблица1[[#This Row],[Дата перевода]]-Таблица1[[#This Row],[Дата поступления]]</f>
        <v>0</v>
      </c>
      <c r="W680" s="2">
        <f>Таблица1[[#This Row],[Дата поступления]]-Таблица1[[#This Row],[Дата рождения]]</f>
        <v>0</v>
      </c>
    </row>
    <row r="681" spans="22:23" ht="24.95" customHeight="1" x14ac:dyDescent="0.25">
      <c r="V681" s="2">
        <f>Таблица1[[#This Row],[Дата перевода]]-Таблица1[[#This Row],[Дата поступления]]</f>
        <v>0</v>
      </c>
      <c r="W681" s="2">
        <f>Таблица1[[#This Row],[Дата поступления]]-Таблица1[[#This Row],[Дата рождения]]</f>
        <v>0</v>
      </c>
    </row>
    <row r="682" spans="22:23" ht="24.95" customHeight="1" x14ac:dyDescent="0.25">
      <c r="V682" s="2">
        <f>Таблица1[[#This Row],[Дата перевода]]-Таблица1[[#This Row],[Дата поступления]]</f>
        <v>0</v>
      </c>
      <c r="W682" s="2">
        <f>Таблица1[[#This Row],[Дата поступления]]-Таблица1[[#This Row],[Дата рождения]]</f>
        <v>0</v>
      </c>
    </row>
    <row r="683" spans="22:23" ht="24.95" customHeight="1" x14ac:dyDescent="0.25">
      <c r="V683" s="2">
        <f>Таблица1[[#This Row],[Дата перевода]]-Таблица1[[#This Row],[Дата поступления]]</f>
        <v>0</v>
      </c>
      <c r="W683" s="2">
        <f>Таблица1[[#This Row],[Дата поступления]]-Таблица1[[#This Row],[Дата рождения]]</f>
        <v>0</v>
      </c>
    </row>
    <row r="684" spans="22:23" ht="24.95" customHeight="1" x14ac:dyDescent="0.25">
      <c r="V684" s="2">
        <f>Таблица1[[#This Row],[Дата перевода]]-Таблица1[[#This Row],[Дата поступления]]</f>
        <v>0</v>
      </c>
      <c r="W684" s="2">
        <f>Таблица1[[#This Row],[Дата поступления]]-Таблица1[[#This Row],[Дата рождения]]</f>
        <v>0</v>
      </c>
    </row>
    <row r="685" spans="22:23" ht="24.95" customHeight="1" x14ac:dyDescent="0.25">
      <c r="V685" s="2">
        <f>Таблица1[[#This Row],[Дата перевода]]-Таблица1[[#This Row],[Дата поступления]]</f>
        <v>0</v>
      </c>
      <c r="W685" s="2">
        <f>Таблица1[[#This Row],[Дата поступления]]-Таблица1[[#This Row],[Дата рождения]]</f>
        <v>0</v>
      </c>
    </row>
    <row r="686" spans="22:23" ht="24.95" customHeight="1" x14ac:dyDescent="0.25">
      <c r="V686" s="2">
        <f>Таблица1[[#This Row],[Дата перевода]]-Таблица1[[#This Row],[Дата поступления]]</f>
        <v>0</v>
      </c>
      <c r="W686" s="2">
        <f>Таблица1[[#This Row],[Дата поступления]]-Таблица1[[#This Row],[Дата рождения]]</f>
        <v>0</v>
      </c>
    </row>
    <row r="687" spans="22:23" ht="24.95" customHeight="1" x14ac:dyDescent="0.25">
      <c r="V687" s="2">
        <f>Таблица1[[#This Row],[Дата перевода]]-Таблица1[[#This Row],[Дата поступления]]</f>
        <v>0</v>
      </c>
      <c r="W687" s="2">
        <f>Таблица1[[#This Row],[Дата поступления]]-Таблица1[[#This Row],[Дата рождения]]</f>
        <v>0</v>
      </c>
    </row>
    <row r="688" spans="22:23" ht="24.95" customHeight="1" x14ac:dyDescent="0.25">
      <c r="V688" s="2">
        <f>Таблица1[[#This Row],[Дата перевода]]-Таблица1[[#This Row],[Дата поступления]]</f>
        <v>0</v>
      </c>
      <c r="W688" s="2">
        <f>Таблица1[[#This Row],[Дата поступления]]-Таблица1[[#This Row],[Дата рождения]]</f>
        <v>0</v>
      </c>
    </row>
    <row r="689" spans="22:23" ht="24.95" customHeight="1" x14ac:dyDescent="0.25">
      <c r="V689" s="2">
        <f>Таблица1[[#This Row],[Дата перевода]]-Таблица1[[#This Row],[Дата поступления]]</f>
        <v>0</v>
      </c>
      <c r="W689" s="2">
        <f>Таблица1[[#This Row],[Дата поступления]]-Таблица1[[#This Row],[Дата рождения]]</f>
        <v>0</v>
      </c>
    </row>
    <row r="690" spans="22:23" ht="24.95" customHeight="1" x14ac:dyDescent="0.25">
      <c r="V690" s="2">
        <f>Таблица1[[#This Row],[Дата перевода]]-Таблица1[[#This Row],[Дата поступления]]</f>
        <v>0</v>
      </c>
      <c r="W690" s="2">
        <f>Таблица1[[#This Row],[Дата поступления]]-Таблица1[[#This Row],[Дата рождения]]</f>
        <v>0</v>
      </c>
    </row>
    <row r="691" spans="22:23" ht="24.95" customHeight="1" x14ac:dyDescent="0.25">
      <c r="V691" s="2">
        <f>Таблица1[[#This Row],[Дата перевода]]-Таблица1[[#This Row],[Дата поступления]]</f>
        <v>0</v>
      </c>
      <c r="W691" s="2">
        <f>Таблица1[[#This Row],[Дата поступления]]-Таблица1[[#This Row],[Дата рождения]]</f>
        <v>0</v>
      </c>
    </row>
    <row r="692" spans="22:23" ht="24.95" customHeight="1" x14ac:dyDescent="0.25">
      <c r="V692" s="2">
        <f>Таблица1[[#This Row],[Дата перевода]]-Таблица1[[#This Row],[Дата поступления]]</f>
        <v>0</v>
      </c>
      <c r="W692" s="2">
        <f>Таблица1[[#This Row],[Дата поступления]]-Таблица1[[#This Row],[Дата рождения]]</f>
        <v>0</v>
      </c>
    </row>
    <row r="693" spans="22:23" ht="24.95" customHeight="1" x14ac:dyDescent="0.25">
      <c r="V693" s="2">
        <f>Таблица1[[#This Row],[Дата перевода]]-Таблица1[[#This Row],[Дата поступления]]</f>
        <v>0</v>
      </c>
      <c r="W693" s="2">
        <f>Таблица1[[#This Row],[Дата поступления]]-Таблица1[[#This Row],[Дата рождения]]</f>
        <v>0</v>
      </c>
    </row>
    <row r="694" spans="22:23" ht="24.95" customHeight="1" x14ac:dyDescent="0.25">
      <c r="V694" s="2">
        <f>Таблица1[[#This Row],[Дата перевода]]-Таблица1[[#This Row],[Дата поступления]]</f>
        <v>0</v>
      </c>
      <c r="W694" s="2">
        <f>Таблица1[[#This Row],[Дата поступления]]-Таблица1[[#This Row],[Дата рождения]]</f>
        <v>0</v>
      </c>
    </row>
    <row r="695" spans="22:23" ht="24.95" customHeight="1" x14ac:dyDescent="0.25">
      <c r="V695" s="2">
        <f>Таблица1[[#This Row],[Дата перевода]]-Таблица1[[#This Row],[Дата поступления]]</f>
        <v>0</v>
      </c>
      <c r="W695" s="2">
        <f>Таблица1[[#This Row],[Дата поступления]]-Таблица1[[#This Row],[Дата рождения]]</f>
        <v>0</v>
      </c>
    </row>
    <row r="696" spans="22:23" ht="24.95" customHeight="1" x14ac:dyDescent="0.25">
      <c r="V696" s="2">
        <f>Таблица1[[#This Row],[Дата перевода]]-Таблица1[[#This Row],[Дата поступления]]</f>
        <v>0</v>
      </c>
      <c r="W696" s="2">
        <f>Таблица1[[#This Row],[Дата поступления]]-Таблица1[[#This Row],[Дата рождения]]</f>
        <v>0</v>
      </c>
    </row>
    <row r="697" spans="22:23" ht="24.95" customHeight="1" x14ac:dyDescent="0.25">
      <c r="V697" s="2">
        <f>Таблица1[[#This Row],[Дата перевода]]-Таблица1[[#This Row],[Дата поступления]]</f>
        <v>0</v>
      </c>
      <c r="W697" s="2">
        <f>Таблица1[[#This Row],[Дата поступления]]-Таблица1[[#This Row],[Дата рождения]]</f>
        <v>0</v>
      </c>
    </row>
    <row r="698" spans="22:23" ht="24.95" customHeight="1" x14ac:dyDescent="0.25">
      <c r="V698" s="2">
        <f>Таблица1[[#This Row],[Дата перевода]]-Таблица1[[#This Row],[Дата поступления]]</f>
        <v>0</v>
      </c>
      <c r="W698" s="2">
        <f>Таблица1[[#This Row],[Дата поступления]]-Таблица1[[#This Row],[Дата рождения]]</f>
        <v>0</v>
      </c>
    </row>
    <row r="699" spans="22:23" ht="24.95" customHeight="1" x14ac:dyDescent="0.25">
      <c r="V699" s="2">
        <f>Таблица1[[#This Row],[Дата перевода]]-Таблица1[[#This Row],[Дата поступления]]</f>
        <v>0</v>
      </c>
      <c r="W699" s="2">
        <f>Таблица1[[#This Row],[Дата поступления]]-Таблица1[[#This Row],[Дата рождения]]</f>
        <v>0</v>
      </c>
    </row>
    <row r="700" spans="22:23" ht="24.95" customHeight="1" x14ac:dyDescent="0.25">
      <c r="V700" s="2">
        <f>Таблица1[[#This Row],[Дата перевода]]-Таблица1[[#This Row],[Дата поступления]]</f>
        <v>0</v>
      </c>
      <c r="W700" s="2">
        <f>Таблица1[[#This Row],[Дата поступления]]-Таблица1[[#This Row],[Дата рождения]]</f>
        <v>0</v>
      </c>
    </row>
    <row r="701" spans="22:23" ht="24.95" customHeight="1" x14ac:dyDescent="0.25">
      <c r="V701" s="2">
        <f>Таблица1[[#This Row],[Дата перевода]]-Таблица1[[#This Row],[Дата поступления]]</f>
        <v>0</v>
      </c>
      <c r="W701" s="2">
        <f>Таблица1[[#This Row],[Дата поступления]]-Таблица1[[#This Row],[Дата рождения]]</f>
        <v>0</v>
      </c>
    </row>
    <row r="702" spans="22:23" ht="24.95" customHeight="1" x14ac:dyDescent="0.25">
      <c r="V702" s="2">
        <f>Таблица1[[#This Row],[Дата перевода]]-Таблица1[[#This Row],[Дата поступления]]</f>
        <v>0</v>
      </c>
      <c r="W702" s="2">
        <f>Таблица1[[#This Row],[Дата поступления]]-Таблица1[[#This Row],[Дата рождения]]</f>
        <v>0</v>
      </c>
    </row>
    <row r="703" spans="22:23" ht="24.95" customHeight="1" x14ac:dyDescent="0.25">
      <c r="V703" s="2">
        <f>Таблица1[[#This Row],[Дата перевода]]-Таблица1[[#This Row],[Дата поступления]]</f>
        <v>0</v>
      </c>
      <c r="W703" s="2">
        <f>Таблица1[[#This Row],[Дата поступления]]-Таблица1[[#This Row],[Дата рождения]]</f>
        <v>0</v>
      </c>
    </row>
    <row r="704" spans="22:23" ht="24.95" customHeight="1" x14ac:dyDescent="0.25">
      <c r="V704" s="2">
        <f>Таблица1[[#This Row],[Дата перевода]]-Таблица1[[#This Row],[Дата поступления]]</f>
        <v>0</v>
      </c>
      <c r="W704" s="2">
        <f>Таблица1[[#This Row],[Дата поступления]]-Таблица1[[#This Row],[Дата рождения]]</f>
        <v>0</v>
      </c>
    </row>
    <row r="705" spans="22:23" ht="24.95" customHeight="1" x14ac:dyDescent="0.25">
      <c r="V705" s="2">
        <f>Таблица1[[#This Row],[Дата перевода]]-Таблица1[[#This Row],[Дата поступления]]</f>
        <v>0</v>
      </c>
      <c r="W705" s="2">
        <f>Таблица1[[#This Row],[Дата поступления]]-Таблица1[[#This Row],[Дата рождения]]</f>
        <v>0</v>
      </c>
    </row>
    <row r="706" spans="22:23" ht="24.95" customHeight="1" x14ac:dyDescent="0.25">
      <c r="V706" s="2">
        <f>Таблица1[[#This Row],[Дата перевода]]-Таблица1[[#This Row],[Дата поступления]]</f>
        <v>0</v>
      </c>
      <c r="W706" s="2">
        <f>Таблица1[[#This Row],[Дата поступления]]-Таблица1[[#This Row],[Дата рождения]]</f>
        <v>0</v>
      </c>
    </row>
    <row r="707" spans="22:23" ht="24.95" customHeight="1" x14ac:dyDescent="0.25">
      <c r="V707" s="2">
        <f>Таблица1[[#This Row],[Дата перевода]]-Таблица1[[#This Row],[Дата поступления]]</f>
        <v>0</v>
      </c>
      <c r="W707" s="2">
        <f>Таблица1[[#This Row],[Дата поступления]]-Таблица1[[#This Row],[Дата рождения]]</f>
        <v>0</v>
      </c>
    </row>
    <row r="708" spans="22:23" ht="24.95" customHeight="1" x14ac:dyDescent="0.25">
      <c r="V708" s="2">
        <f>Таблица1[[#This Row],[Дата перевода]]-Таблица1[[#This Row],[Дата поступления]]</f>
        <v>0</v>
      </c>
      <c r="W708" s="2">
        <f>Таблица1[[#This Row],[Дата поступления]]-Таблица1[[#This Row],[Дата рождения]]</f>
        <v>0</v>
      </c>
    </row>
    <row r="709" spans="22:23" ht="24.95" customHeight="1" x14ac:dyDescent="0.25">
      <c r="V709" s="2">
        <f>Таблица1[[#This Row],[Дата перевода]]-Таблица1[[#This Row],[Дата поступления]]</f>
        <v>0</v>
      </c>
      <c r="W709" s="2">
        <f>Таблица1[[#This Row],[Дата поступления]]-Таблица1[[#This Row],[Дата рождения]]</f>
        <v>0</v>
      </c>
    </row>
    <row r="710" spans="22:23" ht="24.95" customHeight="1" x14ac:dyDescent="0.25">
      <c r="V710" s="2">
        <f>Таблица1[[#This Row],[Дата перевода]]-Таблица1[[#This Row],[Дата поступления]]</f>
        <v>0</v>
      </c>
      <c r="W710" s="2">
        <f>Таблица1[[#This Row],[Дата поступления]]-Таблица1[[#This Row],[Дата рождения]]</f>
        <v>0</v>
      </c>
    </row>
    <row r="711" spans="22:23" ht="24.95" customHeight="1" x14ac:dyDescent="0.25">
      <c r="V711" s="2">
        <f>Таблица1[[#This Row],[Дата перевода]]-Таблица1[[#This Row],[Дата поступления]]</f>
        <v>0</v>
      </c>
      <c r="W711" s="2">
        <f>Таблица1[[#This Row],[Дата поступления]]-Таблица1[[#This Row],[Дата рождения]]</f>
        <v>0</v>
      </c>
    </row>
    <row r="712" spans="22:23" ht="24.95" customHeight="1" x14ac:dyDescent="0.25">
      <c r="V712" s="2">
        <f>Таблица1[[#This Row],[Дата перевода]]-Таблица1[[#This Row],[Дата поступления]]</f>
        <v>0</v>
      </c>
      <c r="W712" s="2">
        <f>Таблица1[[#This Row],[Дата поступления]]-Таблица1[[#This Row],[Дата рождения]]</f>
        <v>0</v>
      </c>
    </row>
    <row r="713" spans="22:23" ht="24.95" customHeight="1" x14ac:dyDescent="0.25">
      <c r="V713" s="2">
        <f>Таблица1[[#This Row],[Дата перевода]]-Таблица1[[#This Row],[Дата поступления]]</f>
        <v>0</v>
      </c>
      <c r="W713" s="2">
        <f>Таблица1[[#This Row],[Дата поступления]]-Таблица1[[#This Row],[Дата рождения]]</f>
        <v>0</v>
      </c>
    </row>
    <row r="714" spans="22:23" ht="24.95" customHeight="1" x14ac:dyDescent="0.25">
      <c r="V714" s="2">
        <f>Таблица1[[#This Row],[Дата перевода]]-Таблица1[[#This Row],[Дата поступления]]</f>
        <v>0</v>
      </c>
      <c r="W714" s="2">
        <f>Таблица1[[#This Row],[Дата поступления]]-Таблица1[[#This Row],[Дата рождения]]</f>
        <v>0</v>
      </c>
    </row>
    <row r="715" spans="22:23" ht="24.95" customHeight="1" x14ac:dyDescent="0.25">
      <c r="V715" s="2">
        <f>Таблица1[[#This Row],[Дата перевода]]-Таблица1[[#This Row],[Дата поступления]]</f>
        <v>0</v>
      </c>
      <c r="W715" s="2">
        <f>Таблица1[[#This Row],[Дата поступления]]-Таблица1[[#This Row],[Дата рождения]]</f>
        <v>0</v>
      </c>
    </row>
    <row r="716" spans="22:23" ht="24.95" customHeight="1" x14ac:dyDescent="0.25">
      <c r="V716" s="2">
        <f>Таблица1[[#This Row],[Дата перевода]]-Таблица1[[#This Row],[Дата поступления]]</f>
        <v>0</v>
      </c>
      <c r="W716" s="2">
        <f>Таблица1[[#This Row],[Дата поступления]]-Таблица1[[#This Row],[Дата рождения]]</f>
        <v>0</v>
      </c>
    </row>
    <row r="717" spans="22:23" ht="24.95" customHeight="1" x14ac:dyDescent="0.25">
      <c r="V717" s="2">
        <f>Таблица1[[#This Row],[Дата перевода]]-Таблица1[[#This Row],[Дата поступления]]</f>
        <v>0</v>
      </c>
      <c r="W717" s="2">
        <f>Таблица1[[#This Row],[Дата поступления]]-Таблица1[[#This Row],[Дата рождения]]</f>
        <v>0</v>
      </c>
    </row>
    <row r="718" spans="22:23" ht="24.95" customHeight="1" x14ac:dyDescent="0.25">
      <c r="V718" s="2">
        <f>Таблица1[[#This Row],[Дата перевода]]-Таблица1[[#This Row],[Дата поступления]]</f>
        <v>0</v>
      </c>
      <c r="W718" s="2">
        <f>Таблица1[[#This Row],[Дата поступления]]-Таблица1[[#This Row],[Дата рождения]]</f>
        <v>0</v>
      </c>
    </row>
    <row r="719" spans="22:23" ht="24.95" customHeight="1" x14ac:dyDescent="0.25">
      <c r="V719" s="2">
        <f>Таблица1[[#This Row],[Дата перевода]]-Таблица1[[#This Row],[Дата поступления]]</f>
        <v>0</v>
      </c>
      <c r="W719" s="2">
        <f>Таблица1[[#This Row],[Дата поступления]]-Таблица1[[#This Row],[Дата рождения]]</f>
        <v>0</v>
      </c>
    </row>
    <row r="720" spans="22:23" ht="24.95" customHeight="1" x14ac:dyDescent="0.25">
      <c r="V720" s="2">
        <f>Таблица1[[#This Row],[Дата перевода]]-Таблица1[[#This Row],[Дата поступления]]</f>
        <v>0</v>
      </c>
      <c r="W720" s="2">
        <f>Таблица1[[#This Row],[Дата поступления]]-Таблица1[[#This Row],[Дата рождения]]</f>
        <v>0</v>
      </c>
    </row>
    <row r="721" spans="22:23" ht="24.95" customHeight="1" x14ac:dyDescent="0.25">
      <c r="V721" s="2">
        <f>Таблица1[[#This Row],[Дата перевода]]-Таблица1[[#This Row],[Дата поступления]]</f>
        <v>0</v>
      </c>
      <c r="W721" s="2">
        <f>Таблица1[[#This Row],[Дата поступления]]-Таблица1[[#This Row],[Дата рождения]]</f>
        <v>0</v>
      </c>
    </row>
    <row r="722" spans="22:23" ht="24.95" customHeight="1" x14ac:dyDescent="0.25">
      <c r="V722" s="2">
        <f>Таблица1[[#This Row],[Дата перевода]]-Таблица1[[#This Row],[Дата поступления]]</f>
        <v>0</v>
      </c>
      <c r="W722" s="2">
        <f>Таблица1[[#This Row],[Дата поступления]]-Таблица1[[#This Row],[Дата рождения]]</f>
        <v>0</v>
      </c>
    </row>
    <row r="723" spans="22:23" ht="24.95" customHeight="1" x14ac:dyDescent="0.25">
      <c r="V723" s="2">
        <f>Таблица1[[#This Row],[Дата перевода]]-Таблица1[[#This Row],[Дата поступления]]</f>
        <v>0</v>
      </c>
      <c r="W723" s="2">
        <f>Таблица1[[#This Row],[Дата поступления]]-Таблица1[[#This Row],[Дата рождения]]</f>
        <v>0</v>
      </c>
    </row>
    <row r="724" spans="22:23" ht="24.95" customHeight="1" x14ac:dyDescent="0.25">
      <c r="V724" s="2">
        <f>Таблица1[[#This Row],[Дата перевода]]-Таблица1[[#This Row],[Дата поступления]]</f>
        <v>0</v>
      </c>
      <c r="W724" s="2">
        <f>Таблица1[[#This Row],[Дата поступления]]-Таблица1[[#This Row],[Дата рождения]]</f>
        <v>0</v>
      </c>
    </row>
    <row r="725" spans="22:23" ht="24.95" customHeight="1" x14ac:dyDescent="0.25">
      <c r="V725" s="2">
        <f>Таблица1[[#This Row],[Дата перевода]]-Таблица1[[#This Row],[Дата поступления]]</f>
        <v>0</v>
      </c>
      <c r="W725" s="2">
        <f>Таблица1[[#This Row],[Дата поступления]]-Таблица1[[#This Row],[Дата рождения]]</f>
        <v>0</v>
      </c>
    </row>
    <row r="726" spans="22:23" ht="24.95" customHeight="1" x14ac:dyDescent="0.25">
      <c r="V726" s="2">
        <f>Таблица1[[#This Row],[Дата перевода]]-Таблица1[[#This Row],[Дата поступления]]</f>
        <v>0</v>
      </c>
      <c r="W726" s="2">
        <f>Таблица1[[#This Row],[Дата поступления]]-Таблица1[[#This Row],[Дата рождения]]</f>
        <v>0</v>
      </c>
    </row>
    <row r="727" spans="22:23" ht="24.95" customHeight="1" x14ac:dyDescent="0.25">
      <c r="V727" s="2">
        <f>Таблица1[[#This Row],[Дата перевода]]-Таблица1[[#This Row],[Дата поступления]]</f>
        <v>0</v>
      </c>
      <c r="W727" s="2">
        <f>Таблица1[[#This Row],[Дата поступления]]-Таблица1[[#This Row],[Дата рождения]]</f>
        <v>0</v>
      </c>
    </row>
    <row r="728" spans="22:23" ht="24.95" customHeight="1" x14ac:dyDescent="0.25">
      <c r="V728" s="2">
        <f>Таблица1[[#This Row],[Дата перевода]]-Таблица1[[#This Row],[Дата поступления]]</f>
        <v>0</v>
      </c>
      <c r="W728" s="2">
        <f>Таблица1[[#This Row],[Дата поступления]]-Таблица1[[#This Row],[Дата рождения]]</f>
        <v>0</v>
      </c>
    </row>
    <row r="729" spans="22:23" ht="24.95" customHeight="1" x14ac:dyDescent="0.25">
      <c r="V729" s="2">
        <f>Таблица1[[#This Row],[Дата перевода]]-Таблица1[[#This Row],[Дата поступления]]</f>
        <v>0</v>
      </c>
      <c r="W729" s="2">
        <f>Таблица1[[#This Row],[Дата поступления]]-Таблица1[[#This Row],[Дата рождения]]</f>
        <v>0</v>
      </c>
    </row>
    <row r="730" spans="22:23" ht="24.95" customHeight="1" x14ac:dyDescent="0.25">
      <c r="V730" s="2">
        <f>Таблица1[[#This Row],[Дата перевода]]-Таблица1[[#This Row],[Дата поступления]]</f>
        <v>0</v>
      </c>
      <c r="W730" s="2">
        <f>Таблица1[[#This Row],[Дата поступления]]-Таблица1[[#This Row],[Дата рождения]]</f>
        <v>0</v>
      </c>
    </row>
    <row r="731" spans="22:23" ht="24.95" customHeight="1" x14ac:dyDescent="0.25">
      <c r="V731" s="2">
        <f>Таблица1[[#This Row],[Дата перевода]]-Таблица1[[#This Row],[Дата поступления]]</f>
        <v>0</v>
      </c>
      <c r="W731" s="2">
        <f>Таблица1[[#This Row],[Дата поступления]]-Таблица1[[#This Row],[Дата рождения]]</f>
        <v>0</v>
      </c>
    </row>
    <row r="732" spans="22:23" ht="24.95" customHeight="1" x14ac:dyDescent="0.25">
      <c r="V732" s="2">
        <f>Таблица1[[#This Row],[Дата перевода]]-Таблица1[[#This Row],[Дата поступления]]</f>
        <v>0</v>
      </c>
      <c r="W732" s="2">
        <f>Таблица1[[#This Row],[Дата поступления]]-Таблица1[[#This Row],[Дата рождения]]</f>
        <v>0</v>
      </c>
    </row>
    <row r="733" spans="22:23" ht="24.95" customHeight="1" x14ac:dyDescent="0.25">
      <c r="V733" s="2">
        <f>Таблица1[[#This Row],[Дата перевода]]-Таблица1[[#This Row],[Дата поступления]]</f>
        <v>0</v>
      </c>
      <c r="W733" s="2">
        <f>Таблица1[[#This Row],[Дата поступления]]-Таблица1[[#This Row],[Дата рождения]]</f>
        <v>0</v>
      </c>
    </row>
    <row r="734" spans="22:23" ht="24.95" customHeight="1" x14ac:dyDescent="0.25">
      <c r="V734" s="2">
        <f>Таблица1[[#This Row],[Дата перевода]]-Таблица1[[#This Row],[Дата поступления]]</f>
        <v>0</v>
      </c>
      <c r="W734" s="2">
        <f>Таблица1[[#This Row],[Дата поступления]]-Таблица1[[#This Row],[Дата рождения]]</f>
        <v>0</v>
      </c>
    </row>
    <row r="735" spans="22:23" ht="24.95" customHeight="1" x14ac:dyDescent="0.25">
      <c r="V735" s="2">
        <f>Таблица1[[#This Row],[Дата перевода]]-Таблица1[[#This Row],[Дата поступления]]</f>
        <v>0</v>
      </c>
      <c r="W735" s="2">
        <f>Таблица1[[#This Row],[Дата поступления]]-Таблица1[[#This Row],[Дата рождения]]</f>
        <v>0</v>
      </c>
    </row>
    <row r="736" spans="22:23" ht="24.95" customHeight="1" x14ac:dyDescent="0.25">
      <c r="V736" s="2">
        <f>Таблица1[[#This Row],[Дата перевода]]-Таблица1[[#This Row],[Дата поступления]]</f>
        <v>0</v>
      </c>
      <c r="W736" s="2">
        <f>Таблица1[[#This Row],[Дата поступления]]-Таблица1[[#This Row],[Дата рождения]]</f>
        <v>0</v>
      </c>
    </row>
    <row r="737" spans="22:23" ht="24.95" customHeight="1" x14ac:dyDescent="0.25">
      <c r="V737" s="2">
        <f>Таблица1[[#This Row],[Дата перевода]]-Таблица1[[#This Row],[Дата поступления]]</f>
        <v>0</v>
      </c>
      <c r="W737" s="2">
        <f>Таблица1[[#This Row],[Дата поступления]]-Таблица1[[#This Row],[Дата рождения]]</f>
        <v>0</v>
      </c>
    </row>
    <row r="738" spans="22:23" ht="24.95" customHeight="1" x14ac:dyDescent="0.25">
      <c r="V738" s="2">
        <f>Таблица1[[#This Row],[Дата перевода]]-Таблица1[[#This Row],[Дата поступления]]</f>
        <v>0</v>
      </c>
      <c r="W738" s="2">
        <f>Таблица1[[#This Row],[Дата поступления]]-Таблица1[[#This Row],[Дата рождения]]</f>
        <v>0</v>
      </c>
    </row>
    <row r="739" spans="22:23" ht="24.95" customHeight="1" x14ac:dyDescent="0.25">
      <c r="V739" s="2">
        <f>Таблица1[[#This Row],[Дата перевода]]-Таблица1[[#This Row],[Дата поступления]]</f>
        <v>0</v>
      </c>
      <c r="W739" s="2">
        <f>Таблица1[[#This Row],[Дата поступления]]-Таблица1[[#This Row],[Дата рождения]]</f>
        <v>0</v>
      </c>
    </row>
    <row r="740" spans="22:23" ht="24.95" customHeight="1" x14ac:dyDescent="0.25">
      <c r="V740" s="2">
        <f>Таблица1[[#This Row],[Дата перевода]]-Таблица1[[#This Row],[Дата поступления]]</f>
        <v>0</v>
      </c>
      <c r="W740" s="2">
        <f>Таблица1[[#This Row],[Дата поступления]]-Таблица1[[#This Row],[Дата рождения]]</f>
        <v>0</v>
      </c>
    </row>
    <row r="741" spans="22:23" ht="24.95" customHeight="1" x14ac:dyDescent="0.25">
      <c r="V741" s="2">
        <f>Таблица1[[#This Row],[Дата перевода]]-Таблица1[[#This Row],[Дата поступления]]</f>
        <v>0</v>
      </c>
      <c r="W741" s="2">
        <f>Таблица1[[#This Row],[Дата поступления]]-Таблица1[[#This Row],[Дата рождения]]</f>
        <v>0</v>
      </c>
    </row>
    <row r="742" spans="22:23" ht="24.95" customHeight="1" x14ac:dyDescent="0.25">
      <c r="V742" s="2">
        <f>Таблица1[[#This Row],[Дата перевода]]-Таблица1[[#This Row],[Дата поступления]]</f>
        <v>0</v>
      </c>
      <c r="W742" s="2">
        <f>Таблица1[[#This Row],[Дата поступления]]-Таблица1[[#This Row],[Дата рождения]]</f>
        <v>0</v>
      </c>
    </row>
    <row r="743" spans="22:23" ht="24.95" customHeight="1" x14ac:dyDescent="0.25">
      <c r="V743" s="2">
        <f>Таблица1[[#This Row],[Дата перевода]]-Таблица1[[#This Row],[Дата поступления]]</f>
        <v>0</v>
      </c>
      <c r="W743" s="2">
        <f>Таблица1[[#This Row],[Дата поступления]]-Таблица1[[#This Row],[Дата рождения]]</f>
        <v>0</v>
      </c>
    </row>
    <row r="744" spans="22:23" ht="24.95" customHeight="1" x14ac:dyDescent="0.25">
      <c r="V744" s="2">
        <f>Таблица1[[#This Row],[Дата перевода]]-Таблица1[[#This Row],[Дата поступления]]</f>
        <v>0</v>
      </c>
      <c r="W744" s="2">
        <f>Таблица1[[#This Row],[Дата поступления]]-Таблица1[[#This Row],[Дата рождения]]</f>
        <v>0</v>
      </c>
    </row>
    <row r="745" spans="22:23" ht="24.95" customHeight="1" x14ac:dyDescent="0.25">
      <c r="V745" s="2">
        <f>Таблица1[[#This Row],[Дата перевода]]-Таблица1[[#This Row],[Дата поступления]]</f>
        <v>0</v>
      </c>
      <c r="W745" s="2">
        <f>Таблица1[[#This Row],[Дата поступления]]-Таблица1[[#This Row],[Дата рождения]]</f>
        <v>0</v>
      </c>
    </row>
    <row r="746" spans="22:23" ht="24.95" customHeight="1" x14ac:dyDescent="0.25">
      <c r="V746" s="2">
        <f>Таблица1[[#This Row],[Дата перевода]]-Таблица1[[#This Row],[Дата поступления]]</f>
        <v>0</v>
      </c>
      <c r="W746" s="2">
        <f>Таблица1[[#This Row],[Дата поступления]]-Таблица1[[#This Row],[Дата рождения]]</f>
        <v>0</v>
      </c>
    </row>
    <row r="747" spans="22:23" ht="24.95" customHeight="1" x14ac:dyDescent="0.25">
      <c r="V747" s="2">
        <f>Таблица1[[#This Row],[Дата перевода]]-Таблица1[[#This Row],[Дата поступления]]</f>
        <v>0</v>
      </c>
      <c r="W747" s="2">
        <f>Таблица1[[#This Row],[Дата поступления]]-Таблица1[[#This Row],[Дата рождения]]</f>
        <v>0</v>
      </c>
    </row>
    <row r="748" spans="22:23" ht="24.95" customHeight="1" x14ac:dyDescent="0.25">
      <c r="V748" s="2">
        <f>Таблица1[[#This Row],[Дата перевода]]-Таблица1[[#This Row],[Дата поступления]]</f>
        <v>0</v>
      </c>
      <c r="W748" s="2">
        <f>Таблица1[[#This Row],[Дата поступления]]-Таблица1[[#This Row],[Дата рождения]]</f>
        <v>0</v>
      </c>
    </row>
    <row r="749" spans="22:23" ht="24.95" customHeight="1" x14ac:dyDescent="0.25">
      <c r="V749" s="2">
        <f>Таблица1[[#This Row],[Дата перевода]]-Таблица1[[#This Row],[Дата поступления]]</f>
        <v>0</v>
      </c>
      <c r="W749" s="2">
        <f>Таблица1[[#This Row],[Дата поступления]]-Таблица1[[#This Row],[Дата рождения]]</f>
        <v>0</v>
      </c>
    </row>
    <row r="750" spans="22:23" ht="24.95" customHeight="1" x14ac:dyDescent="0.25">
      <c r="V750" s="2">
        <f>Таблица1[[#This Row],[Дата перевода]]-Таблица1[[#This Row],[Дата поступления]]</f>
        <v>0</v>
      </c>
      <c r="W750" s="2">
        <f>Таблица1[[#This Row],[Дата поступления]]-Таблица1[[#This Row],[Дата рождения]]</f>
        <v>0</v>
      </c>
    </row>
    <row r="751" spans="22:23" ht="24.95" customHeight="1" x14ac:dyDescent="0.25">
      <c r="V751" s="2">
        <f>Таблица1[[#This Row],[Дата перевода]]-Таблица1[[#This Row],[Дата поступления]]</f>
        <v>0</v>
      </c>
      <c r="W751" s="2">
        <f>Таблица1[[#This Row],[Дата поступления]]-Таблица1[[#This Row],[Дата рождения]]</f>
        <v>0</v>
      </c>
    </row>
    <row r="752" spans="22:23" ht="24.95" customHeight="1" x14ac:dyDescent="0.25">
      <c r="V752" s="2">
        <f>Таблица1[[#This Row],[Дата перевода]]-Таблица1[[#This Row],[Дата поступления]]</f>
        <v>0</v>
      </c>
      <c r="W752" s="2">
        <f>Таблица1[[#This Row],[Дата поступления]]-Таблица1[[#This Row],[Дата рождения]]</f>
        <v>0</v>
      </c>
    </row>
    <row r="753" spans="22:23" ht="24.95" customHeight="1" x14ac:dyDescent="0.25">
      <c r="V753" s="2">
        <f>Таблица1[[#This Row],[Дата перевода]]-Таблица1[[#This Row],[Дата поступления]]</f>
        <v>0</v>
      </c>
      <c r="W753" s="2">
        <f>Таблица1[[#This Row],[Дата поступления]]-Таблица1[[#This Row],[Дата рождения]]</f>
        <v>0</v>
      </c>
    </row>
    <row r="754" spans="22:23" ht="24.95" customHeight="1" x14ac:dyDescent="0.25">
      <c r="V754" s="2">
        <f>Таблица1[[#This Row],[Дата перевода]]-Таблица1[[#This Row],[Дата поступления]]</f>
        <v>0</v>
      </c>
      <c r="W754" s="2">
        <f>Таблица1[[#This Row],[Дата поступления]]-Таблица1[[#This Row],[Дата рождения]]</f>
        <v>0</v>
      </c>
    </row>
    <row r="755" spans="22:23" ht="24.95" customHeight="1" x14ac:dyDescent="0.25">
      <c r="V755" s="2">
        <f>Таблица1[[#This Row],[Дата перевода]]-Таблица1[[#This Row],[Дата поступления]]</f>
        <v>0</v>
      </c>
      <c r="W755" s="2">
        <f>Таблица1[[#This Row],[Дата поступления]]-Таблица1[[#This Row],[Дата рождения]]</f>
        <v>0</v>
      </c>
    </row>
    <row r="756" spans="22:23" ht="24.95" customHeight="1" x14ac:dyDescent="0.25">
      <c r="V756" s="2">
        <f>Таблица1[[#This Row],[Дата перевода]]-Таблица1[[#This Row],[Дата поступления]]</f>
        <v>0</v>
      </c>
      <c r="W756" s="2">
        <f>Таблица1[[#This Row],[Дата поступления]]-Таблица1[[#This Row],[Дата рождения]]</f>
        <v>0</v>
      </c>
    </row>
    <row r="757" spans="22:23" ht="24.95" customHeight="1" x14ac:dyDescent="0.25">
      <c r="V757" s="2">
        <f>Таблица1[[#This Row],[Дата перевода]]-Таблица1[[#This Row],[Дата поступления]]</f>
        <v>0</v>
      </c>
      <c r="W757" s="2">
        <f>Таблица1[[#This Row],[Дата поступления]]-Таблица1[[#This Row],[Дата рождения]]</f>
        <v>0</v>
      </c>
    </row>
    <row r="758" spans="22:23" ht="24.95" customHeight="1" x14ac:dyDescent="0.25">
      <c r="V758" s="2">
        <f>Таблица1[[#This Row],[Дата перевода]]-Таблица1[[#This Row],[Дата поступления]]</f>
        <v>0</v>
      </c>
      <c r="W758" s="2">
        <f>Таблица1[[#This Row],[Дата поступления]]-Таблица1[[#This Row],[Дата рождения]]</f>
        <v>0</v>
      </c>
    </row>
    <row r="759" spans="22:23" ht="24.95" customHeight="1" x14ac:dyDescent="0.25">
      <c r="V759" s="2">
        <f>Таблица1[[#This Row],[Дата перевода]]-Таблица1[[#This Row],[Дата поступления]]</f>
        <v>0</v>
      </c>
      <c r="W759" s="2">
        <f>Таблица1[[#This Row],[Дата поступления]]-Таблица1[[#This Row],[Дата рождения]]</f>
        <v>0</v>
      </c>
    </row>
    <row r="760" spans="22:23" ht="24.95" customHeight="1" x14ac:dyDescent="0.25">
      <c r="V760" s="2">
        <f>Таблица1[[#This Row],[Дата перевода]]-Таблица1[[#This Row],[Дата поступления]]</f>
        <v>0</v>
      </c>
      <c r="W760" s="2">
        <f>Таблица1[[#This Row],[Дата поступления]]-Таблица1[[#This Row],[Дата рождения]]</f>
        <v>0</v>
      </c>
    </row>
    <row r="761" spans="22:23" ht="24.95" customHeight="1" x14ac:dyDescent="0.25">
      <c r="V761" s="2">
        <f>Таблица1[[#This Row],[Дата перевода]]-Таблица1[[#This Row],[Дата поступления]]</f>
        <v>0</v>
      </c>
      <c r="W761" s="2">
        <f>Таблица1[[#This Row],[Дата поступления]]-Таблица1[[#This Row],[Дата рождения]]</f>
        <v>0</v>
      </c>
    </row>
    <row r="762" spans="22:23" ht="24.95" customHeight="1" x14ac:dyDescent="0.25">
      <c r="V762" s="2">
        <f>Таблица1[[#This Row],[Дата перевода]]-Таблица1[[#This Row],[Дата поступления]]</f>
        <v>0</v>
      </c>
      <c r="W762" s="2">
        <f>Таблица1[[#This Row],[Дата поступления]]-Таблица1[[#This Row],[Дата рождения]]</f>
        <v>0</v>
      </c>
    </row>
    <row r="763" spans="22:23" ht="24.95" customHeight="1" x14ac:dyDescent="0.25">
      <c r="V763" s="2">
        <f>Таблица1[[#This Row],[Дата перевода]]-Таблица1[[#This Row],[Дата поступления]]</f>
        <v>0</v>
      </c>
      <c r="W763" s="2">
        <f>Таблица1[[#This Row],[Дата поступления]]-Таблица1[[#This Row],[Дата рождения]]</f>
        <v>0</v>
      </c>
    </row>
    <row r="764" spans="22:23" ht="24.95" customHeight="1" x14ac:dyDescent="0.25">
      <c r="V764" s="2">
        <f>Таблица1[[#This Row],[Дата перевода]]-Таблица1[[#This Row],[Дата поступления]]</f>
        <v>0</v>
      </c>
      <c r="W764" s="2">
        <f>Таблица1[[#This Row],[Дата поступления]]-Таблица1[[#This Row],[Дата рождения]]</f>
        <v>0</v>
      </c>
    </row>
    <row r="765" spans="22:23" ht="24.95" customHeight="1" x14ac:dyDescent="0.25">
      <c r="V765" s="2">
        <f>Таблица1[[#This Row],[Дата перевода]]-Таблица1[[#This Row],[Дата поступления]]</f>
        <v>0</v>
      </c>
      <c r="W765" s="2">
        <f>Таблица1[[#This Row],[Дата поступления]]-Таблица1[[#This Row],[Дата рождения]]</f>
        <v>0</v>
      </c>
    </row>
    <row r="766" spans="22:23" ht="24.95" customHeight="1" x14ac:dyDescent="0.25">
      <c r="V766" s="2">
        <f>Таблица1[[#This Row],[Дата перевода]]-Таблица1[[#This Row],[Дата поступления]]</f>
        <v>0</v>
      </c>
      <c r="W766" s="2">
        <f>Таблица1[[#This Row],[Дата поступления]]-Таблица1[[#This Row],[Дата рождения]]</f>
        <v>0</v>
      </c>
    </row>
    <row r="767" spans="22:23" ht="24.95" customHeight="1" x14ac:dyDescent="0.25">
      <c r="V767" s="2">
        <f>Таблица1[[#This Row],[Дата перевода]]-Таблица1[[#This Row],[Дата поступления]]</f>
        <v>0</v>
      </c>
      <c r="W767" s="2">
        <f>Таблица1[[#This Row],[Дата поступления]]-Таблица1[[#This Row],[Дата рождения]]</f>
        <v>0</v>
      </c>
    </row>
    <row r="768" spans="22:23" ht="24.95" customHeight="1" x14ac:dyDescent="0.25">
      <c r="V768" s="2">
        <f>Таблица1[[#This Row],[Дата перевода]]-Таблица1[[#This Row],[Дата поступления]]</f>
        <v>0</v>
      </c>
      <c r="W768" s="2">
        <f>Таблица1[[#This Row],[Дата поступления]]-Таблица1[[#This Row],[Дата рождения]]</f>
        <v>0</v>
      </c>
    </row>
    <row r="769" spans="22:23" ht="24.95" customHeight="1" x14ac:dyDescent="0.25">
      <c r="V769" s="2">
        <f>Таблица1[[#This Row],[Дата перевода]]-Таблица1[[#This Row],[Дата поступления]]</f>
        <v>0</v>
      </c>
      <c r="W769" s="2">
        <f>Таблица1[[#This Row],[Дата поступления]]-Таблица1[[#This Row],[Дата рождения]]</f>
        <v>0</v>
      </c>
    </row>
    <row r="770" spans="22:23" ht="24.95" customHeight="1" x14ac:dyDescent="0.25">
      <c r="V770" s="2">
        <f>Таблица1[[#This Row],[Дата перевода]]-Таблица1[[#This Row],[Дата поступления]]</f>
        <v>0</v>
      </c>
      <c r="W770" s="2">
        <f>Таблица1[[#This Row],[Дата поступления]]-Таблица1[[#This Row],[Дата рождения]]</f>
        <v>0</v>
      </c>
    </row>
    <row r="771" spans="22:23" ht="24.95" customHeight="1" x14ac:dyDescent="0.25">
      <c r="V771" s="2">
        <f>Таблица1[[#This Row],[Дата перевода]]-Таблица1[[#This Row],[Дата поступления]]</f>
        <v>0</v>
      </c>
      <c r="W771" s="2">
        <f>Таблица1[[#This Row],[Дата поступления]]-Таблица1[[#This Row],[Дата рождения]]</f>
        <v>0</v>
      </c>
    </row>
    <row r="772" spans="22:23" ht="24.95" customHeight="1" x14ac:dyDescent="0.25">
      <c r="V772" s="2">
        <f>Таблица1[[#This Row],[Дата перевода]]-Таблица1[[#This Row],[Дата поступления]]</f>
        <v>0</v>
      </c>
      <c r="W772" s="2">
        <f>Таблица1[[#This Row],[Дата поступления]]-Таблица1[[#This Row],[Дата рождения]]</f>
        <v>0</v>
      </c>
    </row>
    <row r="773" spans="22:23" ht="24.95" customHeight="1" x14ac:dyDescent="0.25">
      <c r="V773" s="2">
        <f>Таблица1[[#This Row],[Дата перевода]]-Таблица1[[#This Row],[Дата поступления]]</f>
        <v>0</v>
      </c>
      <c r="W773" s="2">
        <f>Таблица1[[#This Row],[Дата поступления]]-Таблица1[[#This Row],[Дата рождения]]</f>
        <v>0</v>
      </c>
    </row>
    <row r="774" spans="22:23" ht="24.95" customHeight="1" x14ac:dyDescent="0.25">
      <c r="V774" s="2">
        <f>Таблица1[[#This Row],[Дата перевода]]-Таблица1[[#This Row],[Дата поступления]]</f>
        <v>0</v>
      </c>
      <c r="W774" s="2">
        <f>Таблица1[[#This Row],[Дата поступления]]-Таблица1[[#This Row],[Дата рождения]]</f>
        <v>0</v>
      </c>
    </row>
    <row r="775" spans="22:23" ht="24.95" customHeight="1" x14ac:dyDescent="0.25">
      <c r="V775" s="2">
        <f>Таблица1[[#This Row],[Дата перевода]]-Таблица1[[#This Row],[Дата поступления]]</f>
        <v>0</v>
      </c>
      <c r="W775" s="2">
        <f>Таблица1[[#This Row],[Дата поступления]]-Таблица1[[#This Row],[Дата рождения]]</f>
        <v>0</v>
      </c>
    </row>
    <row r="776" spans="22:23" ht="24.95" customHeight="1" x14ac:dyDescent="0.25">
      <c r="V776" s="2">
        <f>Таблица1[[#This Row],[Дата перевода]]-Таблица1[[#This Row],[Дата поступления]]</f>
        <v>0</v>
      </c>
      <c r="W776" s="2">
        <f>Таблица1[[#This Row],[Дата поступления]]-Таблица1[[#This Row],[Дата рождения]]</f>
        <v>0</v>
      </c>
    </row>
    <row r="777" spans="22:23" ht="24.95" customHeight="1" x14ac:dyDescent="0.25">
      <c r="V777" s="2">
        <f>Таблица1[[#This Row],[Дата перевода]]-Таблица1[[#This Row],[Дата поступления]]</f>
        <v>0</v>
      </c>
      <c r="W777" s="2">
        <f>Таблица1[[#This Row],[Дата поступления]]-Таблица1[[#This Row],[Дата рождения]]</f>
        <v>0</v>
      </c>
    </row>
    <row r="778" spans="22:23" ht="24.95" customHeight="1" x14ac:dyDescent="0.25">
      <c r="V778" s="2">
        <f>Таблица1[[#This Row],[Дата перевода]]-Таблица1[[#This Row],[Дата поступления]]</f>
        <v>0</v>
      </c>
      <c r="W778" s="2">
        <f>Таблица1[[#This Row],[Дата поступления]]-Таблица1[[#This Row],[Дата рождения]]</f>
        <v>0</v>
      </c>
    </row>
    <row r="779" spans="22:23" ht="24.95" customHeight="1" x14ac:dyDescent="0.25">
      <c r="V779" s="2">
        <f>Таблица1[[#This Row],[Дата перевода]]-Таблица1[[#This Row],[Дата поступления]]</f>
        <v>0</v>
      </c>
      <c r="W779" s="2">
        <f>Таблица1[[#This Row],[Дата поступления]]-Таблица1[[#This Row],[Дата рождения]]</f>
        <v>0</v>
      </c>
    </row>
    <row r="780" spans="22:23" ht="24.95" customHeight="1" x14ac:dyDescent="0.25">
      <c r="V780" s="2">
        <f>Таблица1[[#This Row],[Дата перевода]]-Таблица1[[#This Row],[Дата поступления]]</f>
        <v>0</v>
      </c>
      <c r="W780" s="2">
        <f>Таблица1[[#This Row],[Дата поступления]]-Таблица1[[#This Row],[Дата рождения]]</f>
        <v>0</v>
      </c>
    </row>
    <row r="781" spans="22:23" ht="24.95" customHeight="1" x14ac:dyDescent="0.25">
      <c r="V781" s="2">
        <f>Таблица1[[#This Row],[Дата перевода]]-Таблица1[[#This Row],[Дата поступления]]</f>
        <v>0</v>
      </c>
      <c r="W781" s="2">
        <f>Таблица1[[#This Row],[Дата поступления]]-Таблица1[[#This Row],[Дата рождения]]</f>
        <v>0</v>
      </c>
    </row>
    <row r="782" spans="22:23" ht="24.95" customHeight="1" x14ac:dyDescent="0.25">
      <c r="V782" s="2">
        <f>Таблица1[[#This Row],[Дата перевода]]-Таблица1[[#This Row],[Дата поступления]]</f>
        <v>0</v>
      </c>
      <c r="W782" s="2">
        <f>Таблица1[[#This Row],[Дата поступления]]-Таблица1[[#This Row],[Дата рождения]]</f>
        <v>0</v>
      </c>
    </row>
    <row r="783" spans="22:23" ht="24.95" customHeight="1" x14ac:dyDescent="0.25">
      <c r="V783" s="2">
        <f>Таблица1[[#This Row],[Дата перевода]]-Таблица1[[#This Row],[Дата поступления]]</f>
        <v>0</v>
      </c>
      <c r="W783" s="2">
        <f>Таблица1[[#This Row],[Дата поступления]]-Таблица1[[#This Row],[Дата рождения]]</f>
        <v>0</v>
      </c>
    </row>
    <row r="784" spans="22:23" ht="24.95" customHeight="1" x14ac:dyDescent="0.25">
      <c r="V784" s="2">
        <f>Таблица1[[#This Row],[Дата перевода]]-Таблица1[[#This Row],[Дата поступления]]</f>
        <v>0</v>
      </c>
      <c r="W784" s="2">
        <f>Таблица1[[#This Row],[Дата поступления]]-Таблица1[[#This Row],[Дата рождения]]</f>
        <v>0</v>
      </c>
    </row>
    <row r="785" spans="22:23" ht="24.95" customHeight="1" x14ac:dyDescent="0.25">
      <c r="V785" s="2">
        <f>Таблица1[[#This Row],[Дата перевода]]-Таблица1[[#This Row],[Дата поступления]]</f>
        <v>0</v>
      </c>
      <c r="W785" s="2">
        <f>Таблица1[[#This Row],[Дата поступления]]-Таблица1[[#This Row],[Дата рождения]]</f>
        <v>0</v>
      </c>
    </row>
    <row r="786" spans="22:23" ht="24.95" customHeight="1" x14ac:dyDescent="0.25">
      <c r="V786" s="2">
        <f>Таблица1[[#This Row],[Дата перевода]]-Таблица1[[#This Row],[Дата поступления]]</f>
        <v>0</v>
      </c>
      <c r="W786" s="2">
        <f>Таблица1[[#This Row],[Дата поступления]]-Таблица1[[#This Row],[Дата рождения]]</f>
        <v>0</v>
      </c>
    </row>
    <row r="787" spans="22:23" ht="24.95" customHeight="1" x14ac:dyDescent="0.25">
      <c r="V787" s="2">
        <f>Таблица1[[#This Row],[Дата перевода]]-Таблица1[[#This Row],[Дата поступления]]</f>
        <v>0</v>
      </c>
      <c r="W787" s="2">
        <f>Таблица1[[#This Row],[Дата поступления]]-Таблица1[[#This Row],[Дата рождения]]</f>
        <v>0</v>
      </c>
    </row>
    <row r="788" spans="22:23" ht="24.95" customHeight="1" x14ac:dyDescent="0.25">
      <c r="V788" s="2">
        <f>Таблица1[[#This Row],[Дата перевода]]-Таблица1[[#This Row],[Дата поступления]]</f>
        <v>0</v>
      </c>
      <c r="W788" s="2">
        <f>Таблица1[[#This Row],[Дата поступления]]-Таблица1[[#This Row],[Дата рождения]]</f>
        <v>0</v>
      </c>
    </row>
    <row r="789" spans="22:23" ht="24.95" customHeight="1" x14ac:dyDescent="0.25">
      <c r="V789" s="2">
        <f>Таблица1[[#This Row],[Дата перевода]]-Таблица1[[#This Row],[Дата поступления]]</f>
        <v>0</v>
      </c>
      <c r="W789" s="2">
        <f>Таблица1[[#This Row],[Дата поступления]]-Таблица1[[#This Row],[Дата рождения]]</f>
        <v>0</v>
      </c>
    </row>
    <row r="790" spans="22:23" ht="24.95" customHeight="1" x14ac:dyDescent="0.25">
      <c r="V790" s="2">
        <f>Таблица1[[#This Row],[Дата перевода]]-Таблица1[[#This Row],[Дата поступления]]</f>
        <v>0</v>
      </c>
      <c r="W790" s="2">
        <f>Таблица1[[#This Row],[Дата поступления]]-Таблица1[[#This Row],[Дата рождения]]</f>
        <v>0</v>
      </c>
    </row>
    <row r="791" spans="22:23" ht="24.95" customHeight="1" x14ac:dyDescent="0.25">
      <c r="V791" s="2">
        <f>Таблица1[[#This Row],[Дата перевода]]-Таблица1[[#This Row],[Дата поступления]]</f>
        <v>0</v>
      </c>
      <c r="W791" s="2">
        <f>Таблица1[[#This Row],[Дата поступления]]-Таблица1[[#This Row],[Дата рождения]]</f>
        <v>0</v>
      </c>
    </row>
    <row r="792" spans="22:23" ht="24.95" customHeight="1" x14ac:dyDescent="0.25">
      <c r="V792" s="2">
        <f>Таблица1[[#This Row],[Дата перевода]]-Таблица1[[#This Row],[Дата поступления]]</f>
        <v>0</v>
      </c>
      <c r="W792" s="2">
        <f>Таблица1[[#This Row],[Дата поступления]]-Таблица1[[#This Row],[Дата рождения]]</f>
        <v>0</v>
      </c>
    </row>
    <row r="793" spans="22:23" ht="24.95" customHeight="1" x14ac:dyDescent="0.25">
      <c r="V793" s="2">
        <f>Таблица1[[#This Row],[Дата перевода]]-Таблица1[[#This Row],[Дата поступления]]</f>
        <v>0</v>
      </c>
      <c r="W793" s="2">
        <f>Таблица1[[#This Row],[Дата поступления]]-Таблица1[[#This Row],[Дата рождения]]</f>
        <v>0</v>
      </c>
    </row>
    <row r="794" spans="22:23" ht="24.95" customHeight="1" x14ac:dyDescent="0.25">
      <c r="V794" s="2">
        <f>Таблица1[[#This Row],[Дата перевода]]-Таблица1[[#This Row],[Дата поступления]]</f>
        <v>0</v>
      </c>
      <c r="W794" s="2">
        <f>Таблица1[[#This Row],[Дата поступления]]-Таблица1[[#This Row],[Дата рождения]]</f>
        <v>0</v>
      </c>
    </row>
    <row r="795" spans="22:23" ht="24.95" customHeight="1" x14ac:dyDescent="0.25">
      <c r="V795" s="2">
        <f>Таблица1[[#This Row],[Дата перевода]]-Таблица1[[#This Row],[Дата поступления]]</f>
        <v>0</v>
      </c>
      <c r="W795" s="2">
        <f>Таблица1[[#This Row],[Дата поступления]]-Таблица1[[#This Row],[Дата рождения]]</f>
        <v>0</v>
      </c>
    </row>
    <row r="796" spans="22:23" ht="24.95" customHeight="1" x14ac:dyDescent="0.25">
      <c r="V796" s="2">
        <f>Таблица1[[#This Row],[Дата перевода]]-Таблица1[[#This Row],[Дата поступления]]</f>
        <v>0</v>
      </c>
      <c r="W796" s="2">
        <f>Таблица1[[#This Row],[Дата поступления]]-Таблица1[[#This Row],[Дата рождения]]</f>
        <v>0</v>
      </c>
    </row>
    <row r="797" spans="22:23" ht="24.95" customHeight="1" x14ac:dyDescent="0.25">
      <c r="V797" s="2">
        <f>Таблица1[[#This Row],[Дата перевода]]-Таблица1[[#This Row],[Дата поступления]]</f>
        <v>0</v>
      </c>
      <c r="W797" s="2">
        <f>Таблица1[[#This Row],[Дата поступления]]-Таблица1[[#This Row],[Дата рождения]]</f>
        <v>0</v>
      </c>
    </row>
    <row r="798" spans="22:23" ht="24.95" customHeight="1" x14ac:dyDescent="0.25">
      <c r="V798" s="2">
        <f>Таблица1[[#This Row],[Дата перевода]]-Таблица1[[#This Row],[Дата поступления]]</f>
        <v>0</v>
      </c>
      <c r="W798" s="2">
        <f>Таблица1[[#This Row],[Дата поступления]]-Таблица1[[#This Row],[Дата рождения]]</f>
        <v>0</v>
      </c>
    </row>
    <row r="799" spans="22:23" ht="24.95" customHeight="1" x14ac:dyDescent="0.25">
      <c r="V799" s="2">
        <f>Таблица1[[#This Row],[Дата перевода]]-Таблица1[[#This Row],[Дата поступления]]</f>
        <v>0</v>
      </c>
      <c r="W799" s="2">
        <f>Таблица1[[#This Row],[Дата поступления]]-Таблица1[[#This Row],[Дата рождения]]</f>
        <v>0</v>
      </c>
    </row>
    <row r="800" spans="22:23" ht="24.95" customHeight="1" x14ac:dyDescent="0.25">
      <c r="V800" s="2">
        <f>Таблица1[[#This Row],[Дата перевода]]-Таблица1[[#This Row],[Дата поступления]]</f>
        <v>0</v>
      </c>
      <c r="W800" s="2">
        <f>Таблица1[[#This Row],[Дата поступления]]-Таблица1[[#This Row],[Дата рождения]]</f>
        <v>0</v>
      </c>
    </row>
    <row r="801" spans="22:23" ht="24.95" customHeight="1" x14ac:dyDescent="0.25">
      <c r="V801" s="2">
        <f>Таблица1[[#This Row],[Дата перевода]]-Таблица1[[#This Row],[Дата поступления]]</f>
        <v>0</v>
      </c>
      <c r="W801" s="2">
        <f>Таблица1[[#This Row],[Дата поступления]]-Таблица1[[#This Row],[Дата рождения]]</f>
        <v>0</v>
      </c>
    </row>
    <row r="802" spans="22:23" ht="24.95" customHeight="1" x14ac:dyDescent="0.25">
      <c r="V802" s="2">
        <f>Таблица1[[#This Row],[Дата перевода]]-Таблица1[[#This Row],[Дата поступления]]</f>
        <v>0</v>
      </c>
      <c r="W802" s="2">
        <f>Таблица1[[#This Row],[Дата поступления]]-Таблица1[[#This Row],[Дата рождения]]</f>
        <v>0</v>
      </c>
    </row>
    <row r="803" spans="22:23" ht="24.95" customHeight="1" x14ac:dyDescent="0.25">
      <c r="V803" s="2">
        <f>Таблица1[[#This Row],[Дата перевода]]-Таблица1[[#This Row],[Дата поступления]]</f>
        <v>0</v>
      </c>
      <c r="W803" s="2">
        <f>Таблица1[[#This Row],[Дата поступления]]-Таблица1[[#This Row],[Дата рождения]]</f>
        <v>0</v>
      </c>
    </row>
    <row r="804" spans="22:23" ht="24.95" customHeight="1" x14ac:dyDescent="0.25">
      <c r="V804" s="2">
        <f>Таблица1[[#This Row],[Дата перевода]]-Таблица1[[#This Row],[Дата поступления]]</f>
        <v>0</v>
      </c>
      <c r="W804" s="2">
        <f>Таблица1[[#This Row],[Дата поступления]]-Таблица1[[#This Row],[Дата рождения]]</f>
        <v>0</v>
      </c>
    </row>
    <row r="805" spans="22:23" ht="24.95" customHeight="1" x14ac:dyDescent="0.25">
      <c r="V805" s="2">
        <f>Таблица1[[#This Row],[Дата перевода]]-Таблица1[[#This Row],[Дата поступления]]</f>
        <v>0</v>
      </c>
      <c r="W805" s="2">
        <f>Таблица1[[#This Row],[Дата поступления]]-Таблица1[[#This Row],[Дата рождения]]</f>
        <v>0</v>
      </c>
    </row>
    <row r="806" spans="22:23" ht="24.95" customHeight="1" x14ac:dyDescent="0.25">
      <c r="V806" s="2">
        <f>Таблица1[[#This Row],[Дата перевода]]-Таблица1[[#This Row],[Дата поступления]]</f>
        <v>0</v>
      </c>
      <c r="W806" s="2">
        <f>Таблица1[[#This Row],[Дата поступления]]-Таблица1[[#This Row],[Дата рождения]]</f>
        <v>0</v>
      </c>
    </row>
    <row r="807" spans="22:23" ht="24.95" customHeight="1" x14ac:dyDescent="0.25">
      <c r="V807" s="2">
        <f>Таблица1[[#This Row],[Дата перевода]]-Таблица1[[#This Row],[Дата поступления]]</f>
        <v>0</v>
      </c>
      <c r="W807" s="2">
        <f>Таблица1[[#This Row],[Дата поступления]]-Таблица1[[#This Row],[Дата рождения]]</f>
        <v>0</v>
      </c>
    </row>
    <row r="808" spans="22:23" ht="24.95" customHeight="1" x14ac:dyDescent="0.25">
      <c r="V808" s="2">
        <f>Таблица1[[#This Row],[Дата перевода]]-Таблица1[[#This Row],[Дата поступления]]</f>
        <v>0</v>
      </c>
      <c r="W808" s="2">
        <f>Таблица1[[#This Row],[Дата поступления]]-Таблица1[[#This Row],[Дата рождения]]</f>
        <v>0</v>
      </c>
    </row>
    <row r="809" spans="22:23" ht="24.95" customHeight="1" x14ac:dyDescent="0.25">
      <c r="V809" s="2">
        <f>Таблица1[[#This Row],[Дата перевода]]-Таблица1[[#This Row],[Дата поступления]]</f>
        <v>0</v>
      </c>
      <c r="W809" s="2">
        <f>Таблица1[[#This Row],[Дата поступления]]-Таблица1[[#This Row],[Дата рождения]]</f>
        <v>0</v>
      </c>
    </row>
    <row r="810" spans="22:23" ht="24.95" customHeight="1" x14ac:dyDescent="0.25">
      <c r="V810" s="2">
        <f>Таблица1[[#This Row],[Дата перевода]]-Таблица1[[#This Row],[Дата поступления]]</f>
        <v>0</v>
      </c>
      <c r="W810" s="2">
        <f>Таблица1[[#This Row],[Дата поступления]]-Таблица1[[#This Row],[Дата рождения]]</f>
        <v>0</v>
      </c>
    </row>
    <row r="811" spans="22:23" ht="24.95" customHeight="1" x14ac:dyDescent="0.25">
      <c r="V811" s="2">
        <f>Таблица1[[#This Row],[Дата перевода]]-Таблица1[[#This Row],[Дата поступления]]</f>
        <v>0</v>
      </c>
      <c r="W811" s="2">
        <f>Таблица1[[#This Row],[Дата поступления]]-Таблица1[[#This Row],[Дата рождения]]</f>
        <v>0</v>
      </c>
    </row>
    <row r="812" spans="22:23" ht="24.95" customHeight="1" x14ac:dyDescent="0.25">
      <c r="V812" s="2">
        <f>Таблица1[[#This Row],[Дата перевода]]-Таблица1[[#This Row],[Дата поступления]]</f>
        <v>0</v>
      </c>
      <c r="W812" s="2">
        <f>Таблица1[[#This Row],[Дата поступления]]-Таблица1[[#This Row],[Дата рождения]]</f>
        <v>0</v>
      </c>
    </row>
    <row r="813" spans="22:23" ht="24.95" customHeight="1" x14ac:dyDescent="0.25">
      <c r="V813" s="2">
        <f>Таблица1[[#This Row],[Дата перевода]]-Таблица1[[#This Row],[Дата поступления]]</f>
        <v>0</v>
      </c>
      <c r="W813" s="2">
        <f>Таблица1[[#This Row],[Дата поступления]]-Таблица1[[#This Row],[Дата рождения]]</f>
        <v>0</v>
      </c>
    </row>
    <row r="814" spans="22:23" ht="24.95" customHeight="1" x14ac:dyDescent="0.25">
      <c r="V814" s="2">
        <f>Таблица1[[#This Row],[Дата перевода]]-Таблица1[[#This Row],[Дата поступления]]</f>
        <v>0</v>
      </c>
      <c r="W814" s="2">
        <f>Таблица1[[#This Row],[Дата поступления]]-Таблица1[[#This Row],[Дата рождения]]</f>
        <v>0</v>
      </c>
    </row>
    <row r="815" spans="22:23" ht="24.95" customHeight="1" x14ac:dyDescent="0.25">
      <c r="V815" s="2">
        <f>Таблица1[[#This Row],[Дата перевода]]-Таблица1[[#This Row],[Дата поступления]]</f>
        <v>0</v>
      </c>
      <c r="W815" s="2">
        <f>Таблица1[[#This Row],[Дата поступления]]-Таблица1[[#This Row],[Дата рождения]]</f>
        <v>0</v>
      </c>
    </row>
    <row r="816" spans="22:23" ht="24.95" customHeight="1" x14ac:dyDescent="0.25">
      <c r="V816" s="2">
        <f>Таблица1[[#This Row],[Дата перевода]]-Таблица1[[#This Row],[Дата поступления]]</f>
        <v>0</v>
      </c>
      <c r="W816" s="2">
        <f>Таблица1[[#This Row],[Дата поступления]]-Таблица1[[#This Row],[Дата рождения]]</f>
        <v>0</v>
      </c>
    </row>
    <row r="817" spans="22:23" ht="24.95" customHeight="1" x14ac:dyDescent="0.25">
      <c r="V817" s="2">
        <f>Таблица1[[#This Row],[Дата перевода]]-Таблица1[[#This Row],[Дата поступления]]</f>
        <v>0</v>
      </c>
      <c r="W817" s="2">
        <f>Таблица1[[#This Row],[Дата поступления]]-Таблица1[[#This Row],[Дата рождения]]</f>
        <v>0</v>
      </c>
    </row>
    <row r="818" spans="22:23" ht="24.95" customHeight="1" x14ac:dyDescent="0.25">
      <c r="V818" s="2">
        <f>Таблица1[[#This Row],[Дата перевода]]-Таблица1[[#This Row],[Дата поступления]]</f>
        <v>0</v>
      </c>
      <c r="W818" s="2">
        <f>Таблица1[[#This Row],[Дата поступления]]-Таблица1[[#This Row],[Дата рождения]]</f>
        <v>0</v>
      </c>
    </row>
    <row r="819" spans="22:23" ht="24.95" customHeight="1" x14ac:dyDescent="0.25">
      <c r="V819" s="2">
        <f>Таблица1[[#This Row],[Дата перевода]]-Таблица1[[#This Row],[Дата поступления]]</f>
        <v>0</v>
      </c>
      <c r="W819" s="2">
        <f>Таблица1[[#This Row],[Дата поступления]]-Таблица1[[#This Row],[Дата рождения]]</f>
        <v>0</v>
      </c>
    </row>
    <row r="820" spans="22:23" ht="24.95" customHeight="1" x14ac:dyDescent="0.25">
      <c r="V820" s="2">
        <f>Таблица1[[#This Row],[Дата перевода]]-Таблица1[[#This Row],[Дата поступления]]</f>
        <v>0</v>
      </c>
      <c r="W820" s="2">
        <f>Таблица1[[#This Row],[Дата поступления]]-Таблица1[[#This Row],[Дата рождения]]</f>
        <v>0</v>
      </c>
    </row>
    <row r="821" spans="22:23" ht="24.95" customHeight="1" x14ac:dyDescent="0.25">
      <c r="V821" s="2">
        <f>Таблица1[[#This Row],[Дата перевода]]-Таблица1[[#This Row],[Дата поступления]]</f>
        <v>0</v>
      </c>
      <c r="W821" s="2">
        <f>Таблица1[[#This Row],[Дата поступления]]-Таблица1[[#This Row],[Дата рождения]]</f>
        <v>0</v>
      </c>
    </row>
    <row r="822" spans="22:23" ht="24.95" customHeight="1" x14ac:dyDescent="0.25">
      <c r="V822" s="2">
        <f>Таблица1[[#This Row],[Дата перевода]]-Таблица1[[#This Row],[Дата поступления]]</f>
        <v>0</v>
      </c>
      <c r="W822" s="2">
        <f>Таблица1[[#This Row],[Дата поступления]]-Таблица1[[#This Row],[Дата рождения]]</f>
        <v>0</v>
      </c>
    </row>
    <row r="823" spans="22:23" ht="24.95" customHeight="1" x14ac:dyDescent="0.25">
      <c r="V823" s="2">
        <f>Таблица1[[#This Row],[Дата перевода]]-Таблица1[[#This Row],[Дата поступления]]</f>
        <v>0</v>
      </c>
      <c r="W823" s="2">
        <f>Таблица1[[#This Row],[Дата поступления]]-Таблица1[[#This Row],[Дата рождения]]</f>
        <v>0</v>
      </c>
    </row>
    <row r="824" spans="22:23" ht="24.95" customHeight="1" x14ac:dyDescent="0.25">
      <c r="V824" s="2">
        <f>Таблица1[[#This Row],[Дата перевода]]-Таблица1[[#This Row],[Дата поступления]]</f>
        <v>0</v>
      </c>
      <c r="W824" s="2">
        <f>Таблица1[[#This Row],[Дата поступления]]-Таблица1[[#This Row],[Дата рождения]]</f>
        <v>0</v>
      </c>
    </row>
    <row r="825" spans="22:23" ht="24.95" customHeight="1" x14ac:dyDescent="0.25">
      <c r="V825" s="2">
        <f>Таблица1[[#This Row],[Дата перевода]]-Таблица1[[#This Row],[Дата поступления]]</f>
        <v>0</v>
      </c>
      <c r="W825" s="2">
        <f>Таблица1[[#This Row],[Дата поступления]]-Таблица1[[#This Row],[Дата рождения]]</f>
        <v>0</v>
      </c>
    </row>
    <row r="826" spans="22:23" ht="24.95" customHeight="1" x14ac:dyDescent="0.25">
      <c r="V826" s="2">
        <f>Таблица1[[#This Row],[Дата перевода]]-Таблица1[[#This Row],[Дата поступления]]</f>
        <v>0</v>
      </c>
      <c r="W826" s="2">
        <f>Таблица1[[#This Row],[Дата поступления]]-Таблица1[[#This Row],[Дата рождения]]</f>
        <v>0</v>
      </c>
    </row>
    <row r="827" spans="22:23" ht="24.95" customHeight="1" x14ac:dyDescent="0.25">
      <c r="V827" s="2">
        <f>Таблица1[[#This Row],[Дата перевода]]-Таблица1[[#This Row],[Дата поступления]]</f>
        <v>0</v>
      </c>
      <c r="W827" s="2">
        <f>Таблица1[[#This Row],[Дата поступления]]-Таблица1[[#This Row],[Дата рождения]]</f>
        <v>0</v>
      </c>
    </row>
    <row r="828" spans="22:23" ht="24.95" customHeight="1" x14ac:dyDescent="0.25">
      <c r="V828" s="2">
        <f>Таблица1[[#This Row],[Дата перевода]]-Таблица1[[#This Row],[Дата поступления]]</f>
        <v>0</v>
      </c>
      <c r="W828" s="2">
        <f>Таблица1[[#This Row],[Дата поступления]]-Таблица1[[#This Row],[Дата рождения]]</f>
        <v>0</v>
      </c>
    </row>
    <row r="829" spans="22:23" ht="24.95" customHeight="1" x14ac:dyDescent="0.25">
      <c r="V829" s="2">
        <f>Таблица1[[#This Row],[Дата перевода]]-Таблица1[[#This Row],[Дата поступления]]</f>
        <v>0</v>
      </c>
      <c r="W829" s="2">
        <f>Таблица1[[#This Row],[Дата поступления]]-Таблица1[[#This Row],[Дата рождения]]</f>
        <v>0</v>
      </c>
    </row>
    <row r="830" spans="22:23" ht="24.95" customHeight="1" x14ac:dyDescent="0.25">
      <c r="V830" s="2">
        <f>Таблица1[[#This Row],[Дата перевода]]-Таблица1[[#This Row],[Дата поступления]]</f>
        <v>0</v>
      </c>
      <c r="W830" s="2">
        <f>Таблица1[[#This Row],[Дата поступления]]-Таблица1[[#This Row],[Дата рождения]]</f>
        <v>0</v>
      </c>
    </row>
    <row r="831" spans="22:23" ht="24.95" customHeight="1" x14ac:dyDescent="0.25">
      <c r="V831" s="2">
        <f>Таблица1[[#This Row],[Дата перевода]]-Таблица1[[#This Row],[Дата поступления]]</f>
        <v>0</v>
      </c>
      <c r="W831" s="2">
        <f>Таблица1[[#This Row],[Дата поступления]]-Таблица1[[#This Row],[Дата рождения]]</f>
        <v>0</v>
      </c>
    </row>
    <row r="832" spans="22:23" ht="24.95" customHeight="1" x14ac:dyDescent="0.25">
      <c r="V832" s="2">
        <f>Таблица1[[#This Row],[Дата перевода]]-Таблица1[[#This Row],[Дата поступления]]</f>
        <v>0</v>
      </c>
      <c r="W832" s="2">
        <f>Таблица1[[#This Row],[Дата поступления]]-Таблица1[[#This Row],[Дата рождения]]</f>
        <v>0</v>
      </c>
    </row>
    <row r="833" spans="22:23" ht="24.95" customHeight="1" x14ac:dyDescent="0.25">
      <c r="V833" s="2">
        <f>Таблица1[[#This Row],[Дата перевода]]-Таблица1[[#This Row],[Дата поступления]]</f>
        <v>0</v>
      </c>
      <c r="W833" s="2">
        <f>Таблица1[[#This Row],[Дата поступления]]-Таблица1[[#This Row],[Дата рождения]]</f>
        <v>0</v>
      </c>
    </row>
    <row r="834" spans="22:23" ht="24.95" customHeight="1" x14ac:dyDescent="0.25">
      <c r="V834" s="2">
        <f>Таблица1[[#This Row],[Дата перевода]]-Таблица1[[#This Row],[Дата поступления]]</f>
        <v>0</v>
      </c>
      <c r="W834" s="2">
        <f>Таблица1[[#This Row],[Дата поступления]]-Таблица1[[#This Row],[Дата рождения]]</f>
        <v>0</v>
      </c>
    </row>
    <row r="835" spans="22:23" ht="24.95" customHeight="1" x14ac:dyDescent="0.25">
      <c r="V835" s="2">
        <f>Таблица1[[#This Row],[Дата перевода]]-Таблица1[[#This Row],[Дата поступления]]</f>
        <v>0</v>
      </c>
      <c r="W835" s="2">
        <f>Таблица1[[#This Row],[Дата поступления]]-Таблица1[[#This Row],[Дата рождения]]</f>
        <v>0</v>
      </c>
    </row>
    <row r="836" spans="22:23" ht="24.95" customHeight="1" x14ac:dyDescent="0.25">
      <c r="V836" s="2">
        <f>Таблица1[[#This Row],[Дата перевода]]-Таблица1[[#This Row],[Дата поступления]]</f>
        <v>0</v>
      </c>
      <c r="W836" s="2">
        <f>Таблица1[[#This Row],[Дата поступления]]-Таблица1[[#This Row],[Дата рождения]]</f>
        <v>0</v>
      </c>
    </row>
    <row r="837" spans="22:23" ht="24.95" customHeight="1" x14ac:dyDescent="0.25">
      <c r="V837" s="2">
        <f>Таблица1[[#This Row],[Дата перевода]]-Таблица1[[#This Row],[Дата поступления]]</f>
        <v>0</v>
      </c>
      <c r="W837" s="2">
        <f>Таблица1[[#This Row],[Дата поступления]]-Таблица1[[#This Row],[Дата рождения]]</f>
        <v>0</v>
      </c>
    </row>
    <row r="838" spans="22:23" ht="24.95" customHeight="1" x14ac:dyDescent="0.25">
      <c r="V838" s="2">
        <f>Таблица1[[#This Row],[Дата перевода]]-Таблица1[[#This Row],[Дата поступления]]</f>
        <v>0</v>
      </c>
      <c r="W838" s="2">
        <f>Таблица1[[#This Row],[Дата поступления]]-Таблица1[[#This Row],[Дата рождения]]</f>
        <v>0</v>
      </c>
    </row>
    <row r="839" spans="22:23" ht="24.95" customHeight="1" x14ac:dyDescent="0.25">
      <c r="V839" s="2">
        <f>Таблица1[[#This Row],[Дата перевода]]-Таблица1[[#This Row],[Дата поступления]]</f>
        <v>0</v>
      </c>
      <c r="W839" s="2">
        <f>Таблица1[[#This Row],[Дата поступления]]-Таблица1[[#This Row],[Дата рождения]]</f>
        <v>0</v>
      </c>
    </row>
    <row r="840" spans="22:23" ht="24.95" customHeight="1" x14ac:dyDescent="0.25">
      <c r="V840" s="2">
        <f>Таблица1[[#This Row],[Дата перевода]]-Таблица1[[#This Row],[Дата поступления]]</f>
        <v>0</v>
      </c>
      <c r="W840" s="2">
        <f>Таблица1[[#This Row],[Дата поступления]]-Таблица1[[#This Row],[Дата рождения]]</f>
        <v>0</v>
      </c>
    </row>
    <row r="841" spans="22:23" ht="24.95" customHeight="1" x14ac:dyDescent="0.25">
      <c r="V841" s="2">
        <f>Таблица1[[#This Row],[Дата перевода]]-Таблица1[[#This Row],[Дата поступления]]</f>
        <v>0</v>
      </c>
      <c r="W841" s="2">
        <f>Таблица1[[#This Row],[Дата поступления]]-Таблица1[[#This Row],[Дата рождения]]</f>
        <v>0</v>
      </c>
    </row>
    <row r="842" spans="22:23" ht="24.95" customHeight="1" x14ac:dyDescent="0.25">
      <c r="V842" s="2">
        <f>Таблица1[[#This Row],[Дата перевода]]-Таблица1[[#This Row],[Дата поступления]]</f>
        <v>0</v>
      </c>
      <c r="W842" s="2">
        <f>Таблица1[[#This Row],[Дата поступления]]-Таблица1[[#This Row],[Дата рождения]]</f>
        <v>0</v>
      </c>
    </row>
    <row r="843" spans="22:23" ht="24.95" customHeight="1" x14ac:dyDescent="0.25">
      <c r="V843" s="2">
        <f>Таблица1[[#This Row],[Дата перевода]]-Таблица1[[#This Row],[Дата поступления]]</f>
        <v>0</v>
      </c>
      <c r="W843" s="2">
        <f>Таблица1[[#This Row],[Дата поступления]]-Таблица1[[#This Row],[Дата рождения]]</f>
        <v>0</v>
      </c>
    </row>
    <row r="844" spans="22:23" ht="24.95" customHeight="1" x14ac:dyDescent="0.25">
      <c r="V844" s="2">
        <f>Таблица1[[#This Row],[Дата перевода]]-Таблица1[[#This Row],[Дата поступления]]</f>
        <v>0</v>
      </c>
      <c r="W844" s="2">
        <f>Таблица1[[#This Row],[Дата поступления]]-Таблица1[[#This Row],[Дата рождения]]</f>
        <v>0</v>
      </c>
    </row>
    <row r="845" spans="22:23" ht="24.95" customHeight="1" x14ac:dyDescent="0.25">
      <c r="V845" s="2">
        <f>Таблица1[[#This Row],[Дата перевода]]-Таблица1[[#This Row],[Дата поступления]]</f>
        <v>0</v>
      </c>
      <c r="W845" s="2">
        <f>Таблица1[[#This Row],[Дата поступления]]-Таблица1[[#This Row],[Дата рождения]]</f>
        <v>0</v>
      </c>
    </row>
    <row r="846" spans="22:23" ht="24.95" customHeight="1" x14ac:dyDescent="0.25">
      <c r="V846" s="2">
        <f>Таблица1[[#This Row],[Дата перевода]]-Таблица1[[#This Row],[Дата поступления]]</f>
        <v>0</v>
      </c>
      <c r="W846" s="2">
        <f>Таблица1[[#This Row],[Дата поступления]]-Таблица1[[#This Row],[Дата рождения]]</f>
        <v>0</v>
      </c>
    </row>
    <row r="847" spans="22:23" ht="24.95" customHeight="1" x14ac:dyDescent="0.25">
      <c r="V847" s="2">
        <f>Таблица1[[#This Row],[Дата перевода]]-Таблица1[[#This Row],[Дата поступления]]</f>
        <v>0</v>
      </c>
      <c r="W847" s="2">
        <f>Таблица1[[#This Row],[Дата поступления]]-Таблица1[[#This Row],[Дата рождения]]</f>
        <v>0</v>
      </c>
    </row>
    <row r="848" spans="22:23" ht="24.95" customHeight="1" x14ac:dyDescent="0.25">
      <c r="V848" s="2">
        <f>Таблица1[[#This Row],[Дата перевода]]-Таблица1[[#This Row],[Дата поступления]]</f>
        <v>0</v>
      </c>
      <c r="W848" s="2">
        <f>Таблица1[[#This Row],[Дата поступления]]-Таблица1[[#This Row],[Дата рождения]]</f>
        <v>0</v>
      </c>
    </row>
    <row r="849" spans="22:23" ht="24.95" customHeight="1" x14ac:dyDescent="0.25">
      <c r="V849" s="2">
        <f>Таблица1[[#This Row],[Дата перевода]]-Таблица1[[#This Row],[Дата поступления]]</f>
        <v>0</v>
      </c>
      <c r="W849" s="2">
        <f>Таблица1[[#This Row],[Дата поступления]]-Таблица1[[#This Row],[Дата рождения]]</f>
        <v>0</v>
      </c>
    </row>
    <row r="850" spans="22:23" ht="24.95" customHeight="1" x14ac:dyDescent="0.25">
      <c r="V850" s="2">
        <f>Таблица1[[#This Row],[Дата перевода]]-Таблица1[[#This Row],[Дата поступления]]</f>
        <v>0</v>
      </c>
      <c r="W850" s="2">
        <f>Таблица1[[#This Row],[Дата поступления]]-Таблица1[[#This Row],[Дата рождения]]</f>
        <v>0</v>
      </c>
    </row>
    <row r="851" spans="22:23" ht="24.95" customHeight="1" x14ac:dyDescent="0.25">
      <c r="V851" s="2">
        <f>Таблица1[[#This Row],[Дата перевода]]-Таблица1[[#This Row],[Дата поступления]]</f>
        <v>0</v>
      </c>
      <c r="W851" s="2">
        <f>Таблица1[[#This Row],[Дата поступления]]-Таблица1[[#This Row],[Дата рождения]]</f>
        <v>0</v>
      </c>
    </row>
    <row r="852" spans="22:23" ht="24.95" customHeight="1" x14ac:dyDescent="0.25">
      <c r="V852" s="2">
        <f>Таблица1[[#This Row],[Дата перевода]]-Таблица1[[#This Row],[Дата поступления]]</f>
        <v>0</v>
      </c>
      <c r="W852" s="2">
        <f>Таблица1[[#This Row],[Дата поступления]]-Таблица1[[#This Row],[Дата рождения]]</f>
        <v>0</v>
      </c>
    </row>
    <row r="853" spans="22:23" ht="24.95" customHeight="1" x14ac:dyDescent="0.25">
      <c r="V853" s="2">
        <f>Таблица1[[#This Row],[Дата перевода]]-Таблица1[[#This Row],[Дата поступления]]</f>
        <v>0</v>
      </c>
      <c r="W853" s="2">
        <f>Таблица1[[#This Row],[Дата поступления]]-Таблица1[[#This Row],[Дата рождения]]</f>
        <v>0</v>
      </c>
    </row>
    <row r="854" spans="22:23" ht="24.95" customHeight="1" x14ac:dyDescent="0.25">
      <c r="V854" s="2">
        <f>Таблица1[[#This Row],[Дата перевода]]-Таблица1[[#This Row],[Дата поступления]]</f>
        <v>0</v>
      </c>
      <c r="W854" s="2">
        <f>Таблица1[[#This Row],[Дата поступления]]-Таблица1[[#This Row],[Дата рождения]]</f>
        <v>0</v>
      </c>
    </row>
    <row r="855" spans="22:23" ht="24.95" customHeight="1" x14ac:dyDescent="0.25">
      <c r="V855" s="2">
        <f>Таблица1[[#This Row],[Дата перевода]]-Таблица1[[#This Row],[Дата поступления]]</f>
        <v>0</v>
      </c>
      <c r="W855" s="2">
        <f>Таблица1[[#This Row],[Дата поступления]]-Таблица1[[#This Row],[Дата рождения]]</f>
        <v>0</v>
      </c>
    </row>
    <row r="856" spans="22:23" ht="24.95" customHeight="1" x14ac:dyDescent="0.25">
      <c r="V856" s="2">
        <f>Таблица1[[#This Row],[Дата перевода]]-Таблица1[[#This Row],[Дата поступления]]</f>
        <v>0</v>
      </c>
      <c r="W856" s="2">
        <f>Таблица1[[#This Row],[Дата поступления]]-Таблица1[[#This Row],[Дата рождения]]</f>
        <v>0</v>
      </c>
    </row>
    <row r="857" spans="22:23" ht="24.95" customHeight="1" x14ac:dyDescent="0.25">
      <c r="V857" s="2">
        <f>Таблица1[[#This Row],[Дата перевода]]-Таблица1[[#This Row],[Дата поступления]]</f>
        <v>0</v>
      </c>
      <c r="W857" s="2">
        <f>Таблица1[[#This Row],[Дата поступления]]-Таблица1[[#This Row],[Дата рождения]]</f>
        <v>0</v>
      </c>
    </row>
    <row r="858" spans="22:23" ht="24.95" customHeight="1" x14ac:dyDescent="0.25">
      <c r="V858" s="2">
        <f>Таблица1[[#This Row],[Дата перевода]]-Таблица1[[#This Row],[Дата поступления]]</f>
        <v>0</v>
      </c>
      <c r="W858" s="2">
        <f>Таблица1[[#This Row],[Дата поступления]]-Таблица1[[#This Row],[Дата рождения]]</f>
        <v>0</v>
      </c>
    </row>
    <row r="859" spans="22:23" ht="24.95" customHeight="1" x14ac:dyDescent="0.25">
      <c r="V859" s="2">
        <f>Таблица1[[#This Row],[Дата перевода]]-Таблица1[[#This Row],[Дата поступления]]</f>
        <v>0</v>
      </c>
      <c r="W859" s="2">
        <f>Таблица1[[#This Row],[Дата поступления]]-Таблица1[[#This Row],[Дата рождения]]</f>
        <v>0</v>
      </c>
    </row>
    <row r="860" spans="22:23" ht="24.95" customHeight="1" x14ac:dyDescent="0.25">
      <c r="V860" s="2">
        <f>Таблица1[[#This Row],[Дата перевода]]-Таблица1[[#This Row],[Дата поступления]]</f>
        <v>0</v>
      </c>
      <c r="W860" s="2">
        <f>Таблица1[[#This Row],[Дата поступления]]-Таблица1[[#This Row],[Дата рождения]]</f>
        <v>0</v>
      </c>
    </row>
    <row r="861" spans="22:23" ht="24.95" customHeight="1" x14ac:dyDescent="0.25">
      <c r="V861" s="2">
        <f>Таблица1[[#This Row],[Дата перевода]]-Таблица1[[#This Row],[Дата поступления]]</f>
        <v>0</v>
      </c>
      <c r="W861" s="2">
        <f>Таблица1[[#This Row],[Дата поступления]]-Таблица1[[#This Row],[Дата рождения]]</f>
        <v>0</v>
      </c>
    </row>
    <row r="862" spans="22:23" ht="24.95" customHeight="1" x14ac:dyDescent="0.25">
      <c r="V862" s="2">
        <f>Таблица1[[#This Row],[Дата перевода]]-Таблица1[[#This Row],[Дата поступления]]</f>
        <v>0</v>
      </c>
      <c r="W862" s="2">
        <f>Таблица1[[#This Row],[Дата поступления]]-Таблица1[[#This Row],[Дата рождения]]</f>
        <v>0</v>
      </c>
    </row>
    <row r="863" spans="22:23" ht="24.95" customHeight="1" x14ac:dyDescent="0.25">
      <c r="V863" s="2">
        <f>Таблица1[[#This Row],[Дата перевода]]-Таблица1[[#This Row],[Дата поступления]]</f>
        <v>0</v>
      </c>
      <c r="W863" s="2">
        <f>Таблица1[[#This Row],[Дата поступления]]-Таблица1[[#This Row],[Дата рождения]]</f>
        <v>0</v>
      </c>
    </row>
    <row r="864" spans="22:23" ht="24.95" customHeight="1" x14ac:dyDescent="0.25">
      <c r="V864" s="2">
        <f>Таблица1[[#This Row],[Дата перевода]]-Таблица1[[#This Row],[Дата поступления]]</f>
        <v>0</v>
      </c>
      <c r="W864" s="2">
        <f>Таблица1[[#This Row],[Дата поступления]]-Таблица1[[#This Row],[Дата рождения]]</f>
        <v>0</v>
      </c>
    </row>
    <row r="865" spans="22:23" ht="24.95" customHeight="1" x14ac:dyDescent="0.25">
      <c r="V865" s="2">
        <f>Таблица1[[#This Row],[Дата перевода]]-Таблица1[[#This Row],[Дата поступления]]</f>
        <v>0</v>
      </c>
      <c r="W865" s="2">
        <f>Таблица1[[#This Row],[Дата поступления]]-Таблица1[[#This Row],[Дата рождения]]</f>
        <v>0</v>
      </c>
    </row>
    <row r="866" spans="22:23" ht="24.95" customHeight="1" x14ac:dyDescent="0.25">
      <c r="V866" s="2">
        <f>Таблица1[[#This Row],[Дата перевода]]-Таблица1[[#This Row],[Дата поступления]]</f>
        <v>0</v>
      </c>
      <c r="W866" s="2">
        <f>Таблица1[[#This Row],[Дата поступления]]-Таблица1[[#This Row],[Дата рождения]]</f>
        <v>0</v>
      </c>
    </row>
    <row r="867" spans="22:23" ht="24.95" customHeight="1" x14ac:dyDescent="0.25">
      <c r="V867" s="2">
        <f>Таблица1[[#This Row],[Дата перевода]]-Таблица1[[#This Row],[Дата поступления]]</f>
        <v>0</v>
      </c>
      <c r="W867" s="2">
        <f>Таблица1[[#This Row],[Дата поступления]]-Таблица1[[#This Row],[Дата рождения]]</f>
        <v>0</v>
      </c>
    </row>
    <row r="868" spans="22:23" ht="24.95" customHeight="1" x14ac:dyDescent="0.25">
      <c r="V868" s="2">
        <f>Таблица1[[#This Row],[Дата перевода]]-Таблица1[[#This Row],[Дата поступления]]</f>
        <v>0</v>
      </c>
      <c r="W868" s="2">
        <f>Таблица1[[#This Row],[Дата поступления]]-Таблица1[[#This Row],[Дата рождения]]</f>
        <v>0</v>
      </c>
    </row>
    <row r="869" spans="22:23" ht="24.95" customHeight="1" x14ac:dyDescent="0.25">
      <c r="V869" s="2">
        <f>Таблица1[[#This Row],[Дата перевода]]-Таблица1[[#This Row],[Дата поступления]]</f>
        <v>0</v>
      </c>
      <c r="W869" s="2">
        <f>Таблица1[[#This Row],[Дата поступления]]-Таблица1[[#This Row],[Дата рождения]]</f>
        <v>0</v>
      </c>
    </row>
    <row r="870" spans="22:23" ht="24.95" customHeight="1" x14ac:dyDescent="0.25">
      <c r="V870" s="2">
        <f>Таблица1[[#This Row],[Дата перевода]]-Таблица1[[#This Row],[Дата поступления]]</f>
        <v>0</v>
      </c>
      <c r="W870" s="2">
        <f>Таблица1[[#This Row],[Дата поступления]]-Таблица1[[#This Row],[Дата рождения]]</f>
        <v>0</v>
      </c>
    </row>
    <row r="871" spans="22:23" ht="24.95" customHeight="1" x14ac:dyDescent="0.25">
      <c r="V871" s="2">
        <f>Таблица1[[#This Row],[Дата перевода]]-Таблица1[[#This Row],[Дата поступления]]</f>
        <v>0</v>
      </c>
      <c r="W871" s="2">
        <f>Таблица1[[#This Row],[Дата поступления]]-Таблица1[[#This Row],[Дата рождения]]</f>
        <v>0</v>
      </c>
    </row>
    <row r="872" spans="22:23" ht="24.95" customHeight="1" x14ac:dyDescent="0.25">
      <c r="V872" s="2">
        <f>Таблица1[[#This Row],[Дата перевода]]-Таблица1[[#This Row],[Дата поступления]]</f>
        <v>0</v>
      </c>
      <c r="W872" s="2">
        <f>Таблица1[[#This Row],[Дата поступления]]-Таблица1[[#This Row],[Дата рождения]]</f>
        <v>0</v>
      </c>
    </row>
    <row r="873" spans="22:23" ht="24.95" customHeight="1" x14ac:dyDescent="0.25">
      <c r="V873" s="2">
        <f>Таблица1[[#This Row],[Дата перевода]]-Таблица1[[#This Row],[Дата поступления]]</f>
        <v>0</v>
      </c>
      <c r="W873" s="2">
        <f>Таблица1[[#This Row],[Дата поступления]]-Таблица1[[#This Row],[Дата рождения]]</f>
        <v>0</v>
      </c>
    </row>
    <row r="874" spans="22:23" ht="24.95" customHeight="1" x14ac:dyDescent="0.25">
      <c r="V874" s="2">
        <f>Таблица1[[#This Row],[Дата перевода]]-Таблица1[[#This Row],[Дата поступления]]</f>
        <v>0</v>
      </c>
      <c r="W874" s="2">
        <f>Таблица1[[#This Row],[Дата поступления]]-Таблица1[[#This Row],[Дата рождения]]</f>
        <v>0</v>
      </c>
    </row>
    <row r="875" spans="22:23" ht="24.95" customHeight="1" x14ac:dyDescent="0.25">
      <c r="V875" s="2">
        <f>Таблица1[[#This Row],[Дата перевода]]-Таблица1[[#This Row],[Дата поступления]]</f>
        <v>0</v>
      </c>
      <c r="W875" s="2">
        <f>Таблица1[[#This Row],[Дата поступления]]-Таблица1[[#This Row],[Дата рождения]]</f>
        <v>0</v>
      </c>
    </row>
    <row r="876" spans="22:23" ht="24.95" customHeight="1" x14ac:dyDescent="0.25">
      <c r="V876" s="2">
        <f>Таблица1[[#This Row],[Дата перевода]]-Таблица1[[#This Row],[Дата поступления]]</f>
        <v>0</v>
      </c>
      <c r="W876" s="2">
        <f>Таблица1[[#This Row],[Дата поступления]]-Таблица1[[#This Row],[Дата рождения]]</f>
        <v>0</v>
      </c>
    </row>
    <row r="877" spans="22:23" ht="24.95" customHeight="1" x14ac:dyDescent="0.25">
      <c r="V877" s="2">
        <f>Таблица1[[#This Row],[Дата перевода]]-Таблица1[[#This Row],[Дата поступления]]</f>
        <v>0</v>
      </c>
      <c r="W877" s="2">
        <f>Таблица1[[#This Row],[Дата поступления]]-Таблица1[[#This Row],[Дата рождения]]</f>
        <v>0</v>
      </c>
    </row>
    <row r="878" spans="22:23" ht="24.95" customHeight="1" x14ac:dyDescent="0.25">
      <c r="V878" s="2">
        <f>Таблица1[[#This Row],[Дата перевода]]-Таблица1[[#This Row],[Дата поступления]]</f>
        <v>0</v>
      </c>
      <c r="W878" s="2">
        <f>Таблица1[[#This Row],[Дата поступления]]-Таблица1[[#This Row],[Дата рождения]]</f>
        <v>0</v>
      </c>
    </row>
    <row r="879" spans="22:23" ht="24.95" customHeight="1" x14ac:dyDescent="0.25">
      <c r="V879" s="2">
        <f>Таблица1[[#This Row],[Дата перевода]]-Таблица1[[#This Row],[Дата поступления]]</f>
        <v>0</v>
      </c>
      <c r="W879" s="2">
        <f>Таблица1[[#This Row],[Дата поступления]]-Таблица1[[#This Row],[Дата рождения]]</f>
        <v>0</v>
      </c>
    </row>
    <row r="880" spans="22:23" ht="24.95" customHeight="1" x14ac:dyDescent="0.25">
      <c r="V880" s="2">
        <f>Таблица1[[#This Row],[Дата перевода]]-Таблица1[[#This Row],[Дата поступления]]</f>
        <v>0</v>
      </c>
      <c r="W880" s="2">
        <f>Таблица1[[#This Row],[Дата поступления]]-Таблица1[[#This Row],[Дата рождения]]</f>
        <v>0</v>
      </c>
    </row>
    <row r="881" spans="22:23" ht="24.95" customHeight="1" x14ac:dyDescent="0.25">
      <c r="V881" s="2">
        <f>Таблица1[[#This Row],[Дата перевода]]-Таблица1[[#This Row],[Дата поступления]]</f>
        <v>0</v>
      </c>
      <c r="W881" s="2">
        <f>Таблица1[[#This Row],[Дата поступления]]-Таблица1[[#This Row],[Дата рождения]]</f>
        <v>0</v>
      </c>
    </row>
    <row r="882" spans="22:23" ht="24.95" customHeight="1" x14ac:dyDescent="0.25">
      <c r="V882" s="2">
        <f>Таблица1[[#This Row],[Дата перевода]]-Таблица1[[#This Row],[Дата поступления]]</f>
        <v>0</v>
      </c>
      <c r="W882" s="2">
        <f>Таблица1[[#This Row],[Дата поступления]]-Таблица1[[#This Row],[Дата рождения]]</f>
        <v>0</v>
      </c>
    </row>
    <row r="883" spans="22:23" ht="24.95" customHeight="1" x14ac:dyDescent="0.25">
      <c r="V883" s="2">
        <f>Таблица1[[#This Row],[Дата перевода]]-Таблица1[[#This Row],[Дата поступления]]</f>
        <v>0</v>
      </c>
      <c r="W883" s="2">
        <f>Таблица1[[#This Row],[Дата поступления]]-Таблица1[[#This Row],[Дата рождения]]</f>
        <v>0</v>
      </c>
    </row>
    <row r="884" spans="22:23" ht="24.95" customHeight="1" x14ac:dyDescent="0.25">
      <c r="V884" s="2">
        <f>Таблица1[[#This Row],[Дата перевода]]-Таблица1[[#This Row],[Дата поступления]]</f>
        <v>0</v>
      </c>
      <c r="W884" s="2">
        <f>Таблица1[[#This Row],[Дата поступления]]-Таблица1[[#This Row],[Дата рождения]]</f>
        <v>0</v>
      </c>
    </row>
    <row r="885" spans="22:23" ht="24.95" customHeight="1" x14ac:dyDescent="0.25">
      <c r="V885" s="2">
        <f>Таблица1[[#This Row],[Дата перевода]]-Таблица1[[#This Row],[Дата поступления]]</f>
        <v>0</v>
      </c>
      <c r="W885" s="2">
        <f>Таблица1[[#This Row],[Дата поступления]]-Таблица1[[#This Row],[Дата рождения]]</f>
        <v>0</v>
      </c>
    </row>
    <row r="886" spans="22:23" ht="24.95" customHeight="1" x14ac:dyDescent="0.25">
      <c r="V886" s="2">
        <f>Таблица1[[#This Row],[Дата перевода]]-Таблица1[[#This Row],[Дата поступления]]</f>
        <v>0</v>
      </c>
      <c r="W886" s="2">
        <f>Таблица1[[#This Row],[Дата поступления]]-Таблица1[[#This Row],[Дата рождения]]</f>
        <v>0</v>
      </c>
    </row>
    <row r="887" spans="22:23" ht="24.95" customHeight="1" x14ac:dyDescent="0.25">
      <c r="V887" s="2">
        <f>Таблица1[[#This Row],[Дата перевода]]-Таблица1[[#This Row],[Дата поступления]]</f>
        <v>0</v>
      </c>
      <c r="W887" s="2">
        <f>Таблица1[[#This Row],[Дата поступления]]-Таблица1[[#This Row],[Дата рождения]]</f>
        <v>0</v>
      </c>
    </row>
    <row r="888" spans="22:23" ht="24.95" customHeight="1" x14ac:dyDescent="0.25">
      <c r="V888" s="2">
        <f>Таблица1[[#This Row],[Дата перевода]]-Таблица1[[#This Row],[Дата поступления]]</f>
        <v>0</v>
      </c>
      <c r="W888" s="2">
        <f>Таблица1[[#This Row],[Дата поступления]]-Таблица1[[#This Row],[Дата рождения]]</f>
        <v>0</v>
      </c>
    </row>
    <row r="889" spans="22:23" ht="24.95" customHeight="1" x14ac:dyDescent="0.25">
      <c r="V889" s="2">
        <f>Таблица1[[#This Row],[Дата перевода]]-Таблица1[[#This Row],[Дата поступления]]</f>
        <v>0</v>
      </c>
      <c r="W889" s="2">
        <f>Таблица1[[#This Row],[Дата поступления]]-Таблица1[[#This Row],[Дата рождения]]</f>
        <v>0</v>
      </c>
    </row>
    <row r="890" spans="22:23" ht="24.95" customHeight="1" x14ac:dyDescent="0.25">
      <c r="V890" s="2">
        <f>Таблица1[[#This Row],[Дата перевода]]-Таблица1[[#This Row],[Дата поступления]]</f>
        <v>0</v>
      </c>
      <c r="W890" s="2">
        <f>Таблица1[[#This Row],[Дата поступления]]-Таблица1[[#This Row],[Дата рождения]]</f>
        <v>0</v>
      </c>
    </row>
    <row r="891" spans="22:23" ht="24.95" customHeight="1" x14ac:dyDescent="0.25">
      <c r="V891" s="2">
        <f>Таблица1[[#This Row],[Дата перевода]]-Таблица1[[#This Row],[Дата поступления]]</f>
        <v>0</v>
      </c>
      <c r="W891" s="2">
        <f>Таблица1[[#This Row],[Дата поступления]]-Таблица1[[#This Row],[Дата рождения]]</f>
        <v>0</v>
      </c>
    </row>
    <row r="892" spans="22:23" ht="24.95" customHeight="1" x14ac:dyDescent="0.25">
      <c r="V892" s="2">
        <f>Таблица1[[#This Row],[Дата перевода]]-Таблица1[[#This Row],[Дата поступления]]</f>
        <v>0</v>
      </c>
      <c r="W892" s="2">
        <f>Таблица1[[#This Row],[Дата поступления]]-Таблица1[[#This Row],[Дата рождения]]</f>
        <v>0</v>
      </c>
    </row>
    <row r="893" spans="22:23" ht="24.95" customHeight="1" x14ac:dyDescent="0.25">
      <c r="V893" s="2">
        <f>Таблица1[[#This Row],[Дата перевода]]-Таблица1[[#This Row],[Дата поступления]]</f>
        <v>0</v>
      </c>
      <c r="W893" s="2">
        <f>Таблица1[[#This Row],[Дата поступления]]-Таблица1[[#This Row],[Дата рождения]]</f>
        <v>0</v>
      </c>
    </row>
    <row r="894" spans="22:23" ht="24.95" customHeight="1" x14ac:dyDescent="0.25">
      <c r="V894" s="2">
        <f>Таблица1[[#This Row],[Дата перевода]]-Таблица1[[#This Row],[Дата поступления]]</f>
        <v>0</v>
      </c>
      <c r="W894" s="2">
        <f>Таблица1[[#This Row],[Дата поступления]]-Таблица1[[#This Row],[Дата рождения]]</f>
        <v>0</v>
      </c>
    </row>
    <row r="895" spans="22:23" ht="24.95" customHeight="1" x14ac:dyDescent="0.25">
      <c r="V895" s="2">
        <f>Таблица1[[#This Row],[Дата перевода]]-Таблица1[[#This Row],[Дата поступления]]</f>
        <v>0</v>
      </c>
      <c r="W895" s="2">
        <f>Таблица1[[#This Row],[Дата поступления]]-Таблица1[[#This Row],[Дата рождения]]</f>
        <v>0</v>
      </c>
    </row>
    <row r="896" spans="22:23" ht="24.95" customHeight="1" x14ac:dyDescent="0.25">
      <c r="V896" s="2">
        <f>Таблица1[[#This Row],[Дата перевода]]-Таблица1[[#This Row],[Дата поступления]]</f>
        <v>0</v>
      </c>
      <c r="W896" s="2">
        <f>Таблица1[[#This Row],[Дата поступления]]-Таблица1[[#This Row],[Дата рождения]]</f>
        <v>0</v>
      </c>
    </row>
    <row r="897" spans="22:23" ht="24.95" customHeight="1" x14ac:dyDescent="0.25">
      <c r="V897" s="2">
        <f>Таблица1[[#This Row],[Дата перевода]]-Таблица1[[#This Row],[Дата поступления]]</f>
        <v>0</v>
      </c>
      <c r="W897" s="2">
        <f>Таблица1[[#This Row],[Дата поступления]]-Таблица1[[#This Row],[Дата рождения]]</f>
        <v>0</v>
      </c>
    </row>
    <row r="898" spans="22:23" ht="24.95" customHeight="1" x14ac:dyDescent="0.25">
      <c r="V898" s="2">
        <f>Таблица1[[#This Row],[Дата перевода]]-Таблица1[[#This Row],[Дата поступления]]</f>
        <v>0</v>
      </c>
      <c r="W898" s="2">
        <f>Таблица1[[#This Row],[Дата поступления]]-Таблица1[[#This Row],[Дата рождения]]</f>
        <v>0</v>
      </c>
    </row>
    <row r="899" spans="22:23" ht="24.95" customHeight="1" x14ac:dyDescent="0.25">
      <c r="V899" s="2">
        <f>Таблица1[[#This Row],[Дата перевода]]-Таблица1[[#This Row],[Дата поступления]]</f>
        <v>0</v>
      </c>
      <c r="W899" s="2">
        <f>Таблица1[[#This Row],[Дата поступления]]-Таблица1[[#This Row],[Дата рождения]]</f>
        <v>0</v>
      </c>
    </row>
    <row r="900" spans="22:23" ht="24.95" customHeight="1" x14ac:dyDescent="0.25">
      <c r="V900" s="2">
        <f>Таблица1[[#This Row],[Дата перевода]]-Таблица1[[#This Row],[Дата поступления]]</f>
        <v>0</v>
      </c>
      <c r="W900" s="2">
        <f>Таблица1[[#This Row],[Дата поступления]]-Таблица1[[#This Row],[Дата рождения]]</f>
        <v>0</v>
      </c>
    </row>
    <row r="901" spans="22:23" ht="24.95" customHeight="1" x14ac:dyDescent="0.25">
      <c r="V901" s="2">
        <f>Таблица1[[#This Row],[Дата перевода]]-Таблица1[[#This Row],[Дата поступления]]</f>
        <v>0</v>
      </c>
      <c r="W901" s="2">
        <f>Таблица1[[#This Row],[Дата поступления]]-Таблица1[[#This Row],[Дата рождения]]</f>
        <v>0</v>
      </c>
    </row>
    <row r="902" spans="22:23" ht="24.95" customHeight="1" x14ac:dyDescent="0.25">
      <c r="V902" s="2">
        <f>Таблица1[[#This Row],[Дата перевода]]-Таблица1[[#This Row],[Дата поступления]]</f>
        <v>0</v>
      </c>
      <c r="W902" s="2">
        <f>Таблица1[[#This Row],[Дата поступления]]-Таблица1[[#This Row],[Дата рождения]]</f>
        <v>0</v>
      </c>
    </row>
    <row r="903" spans="22:23" ht="24.95" customHeight="1" x14ac:dyDescent="0.25">
      <c r="V903" s="2">
        <f>Таблица1[[#This Row],[Дата перевода]]-Таблица1[[#This Row],[Дата поступления]]</f>
        <v>0</v>
      </c>
      <c r="W903" s="2">
        <f>Таблица1[[#This Row],[Дата поступления]]-Таблица1[[#This Row],[Дата рождения]]</f>
        <v>0</v>
      </c>
    </row>
    <row r="904" spans="22:23" ht="24.95" customHeight="1" x14ac:dyDescent="0.25">
      <c r="V904" s="2">
        <f>Таблица1[[#This Row],[Дата перевода]]-Таблица1[[#This Row],[Дата поступления]]</f>
        <v>0</v>
      </c>
      <c r="W904" s="2">
        <f>Таблица1[[#This Row],[Дата поступления]]-Таблица1[[#This Row],[Дата рождения]]</f>
        <v>0</v>
      </c>
    </row>
    <row r="905" spans="22:23" ht="24.95" customHeight="1" x14ac:dyDescent="0.25">
      <c r="V905" s="2">
        <f>Таблица1[[#This Row],[Дата перевода]]-Таблица1[[#This Row],[Дата поступления]]</f>
        <v>0</v>
      </c>
      <c r="W905" s="2">
        <f>Таблица1[[#This Row],[Дата поступления]]-Таблица1[[#This Row],[Дата рождения]]</f>
        <v>0</v>
      </c>
    </row>
    <row r="906" spans="22:23" ht="24.95" customHeight="1" x14ac:dyDescent="0.25">
      <c r="V906" s="2">
        <f>Таблица1[[#This Row],[Дата перевода]]-Таблица1[[#This Row],[Дата поступления]]</f>
        <v>0</v>
      </c>
      <c r="W906" s="2">
        <f>Таблица1[[#This Row],[Дата поступления]]-Таблица1[[#This Row],[Дата рождения]]</f>
        <v>0</v>
      </c>
    </row>
    <row r="907" spans="22:23" ht="24.95" customHeight="1" x14ac:dyDescent="0.25">
      <c r="V907" s="2">
        <f>Таблица1[[#This Row],[Дата перевода]]-Таблица1[[#This Row],[Дата поступления]]</f>
        <v>0</v>
      </c>
      <c r="W907" s="2">
        <f>Таблица1[[#This Row],[Дата поступления]]-Таблица1[[#This Row],[Дата рождения]]</f>
        <v>0</v>
      </c>
    </row>
    <row r="908" spans="22:23" ht="24.95" customHeight="1" x14ac:dyDescent="0.25">
      <c r="V908" s="2">
        <f>Таблица1[[#This Row],[Дата перевода]]-Таблица1[[#This Row],[Дата поступления]]</f>
        <v>0</v>
      </c>
      <c r="W908" s="2">
        <f>Таблица1[[#This Row],[Дата поступления]]-Таблица1[[#This Row],[Дата рождения]]</f>
        <v>0</v>
      </c>
    </row>
    <row r="909" spans="22:23" ht="24.95" customHeight="1" x14ac:dyDescent="0.25">
      <c r="V909" s="2">
        <f>Таблица1[[#This Row],[Дата перевода]]-Таблица1[[#This Row],[Дата поступления]]</f>
        <v>0</v>
      </c>
      <c r="W909" s="2">
        <f>Таблица1[[#This Row],[Дата поступления]]-Таблица1[[#This Row],[Дата рождения]]</f>
        <v>0</v>
      </c>
    </row>
    <row r="910" spans="22:23" ht="24.95" customHeight="1" x14ac:dyDescent="0.25">
      <c r="V910" s="2">
        <f>Таблица1[[#This Row],[Дата перевода]]-Таблица1[[#This Row],[Дата поступления]]</f>
        <v>0</v>
      </c>
      <c r="W910" s="2">
        <f>Таблица1[[#This Row],[Дата поступления]]-Таблица1[[#This Row],[Дата рождения]]</f>
        <v>0</v>
      </c>
    </row>
    <row r="911" spans="22:23" ht="24.95" customHeight="1" x14ac:dyDescent="0.25">
      <c r="V911" s="2">
        <f>Таблица1[[#This Row],[Дата перевода]]-Таблица1[[#This Row],[Дата поступления]]</f>
        <v>0</v>
      </c>
      <c r="W911" s="2">
        <f>Таблица1[[#This Row],[Дата поступления]]-Таблица1[[#This Row],[Дата рождения]]</f>
        <v>0</v>
      </c>
    </row>
    <row r="912" spans="22:23" ht="24.95" customHeight="1" x14ac:dyDescent="0.25">
      <c r="V912" s="2">
        <f>Таблица1[[#This Row],[Дата перевода]]-Таблица1[[#This Row],[Дата поступления]]</f>
        <v>0</v>
      </c>
      <c r="W912" s="2">
        <f>Таблица1[[#This Row],[Дата поступления]]-Таблица1[[#This Row],[Дата рождения]]</f>
        <v>0</v>
      </c>
    </row>
    <row r="913" spans="22:23" ht="24.95" customHeight="1" x14ac:dyDescent="0.25">
      <c r="V913" s="2">
        <f>Таблица1[[#This Row],[Дата перевода]]-Таблица1[[#This Row],[Дата поступления]]</f>
        <v>0</v>
      </c>
      <c r="W913" s="2">
        <f>Таблица1[[#This Row],[Дата поступления]]-Таблица1[[#This Row],[Дата рождения]]</f>
        <v>0</v>
      </c>
    </row>
    <row r="914" spans="22:23" ht="24.95" customHeight="1" x14ac:dyDescent="0.25">
      <c r="V914" s="2">
        <f>Таблица1[[#This Row],[Дата перевода]]-Таблица1[[#This Row],[Дата поступления]]</f>
        <v>0</v>
      </c>
      <c r="W914" s="2">
        <f>Таблица1[[#This Row],[Дата поступления]]-Таблица1[[#This Row],[Дата рождения]]</f>
        <v>0</v>
      </c>
    </row>
    <row r="915" spans="22:23" ht="24.95" customHeight="1" x14ac:dyDescent="0.25">
      <c r="V915" s="2">
        <f>Таблица1[[#This Row],[Дата перевода]]-Таблица1[[#This Row],[Дата поступления]]</f>
        <v>0</v>
      </c>
      <c r="W915" s="2">
        <f>Таблица1[[#This Row],[Дата поступления]]-Таблица1[[#This Row],[Дата рождения]]</f>
        <v>0</v>
      </c>
    </row>
    <row r="916" spans="22:23" ht="24.95" customHeight="1" x14ac:dyDescent="0.25">
      <c r="V916" s="2">
        <f>Таблица1[[#This Row],[Дата перевода]]-Таблица1[[#This Row],[Дата поступления]]</f>
        <v>0</v>
      </c>
      <c r="W916" s="2">
        <f>Таблица1[[#This Row],[Дата поступления]]-Таблица1[[#This Row],[Дата рождения]]</f>
        <v>0</v>
      </c>
    </row>
    <row r="917" spans="22:23" ht="24.95" customHeight="1" x14ac:dyDescent="0.25">
      <c r="V917" s="2">
        <f>Таблица1[[#This Row],[Дата перевода]]-Таблица1[[#This Row],[Дата поступления]]</f>
        <v>0</v>
      </c>
      <c r="W917" s="2">
        <f>Таблица1[[#This Row],[Дата поступления]]-Таблица1[[#This Row],[Дата рождения]]</f>
        <v>0</v>
      </c>
    </row>
    <row r="918" spans="22:23" ht="24.95" customHeight="1" x14ac:dyDescent="0.25">
      <c r="V918" s="2">
        <f>Таблица1[[#This Row],[Дата перевода]]-Таблица1[[#This Row],[Дата поступления]]</f>
        <v>0</v>
      </c>
      <c r="W918" s="2">
        <f>Таблица1[[#This Row],[Дата поступления]]-Таблица1[[#This Row],[Дата рождения]]</f>
        <v>0</v>
      </c>
    </row>
    <row r="919" spans="22:23" ht="24.95" customHeight="1" x14ac:dyDescent="0.25">
      <c r="V919" s="2">
        <f>Таблица1[[#This Row],[Дата перевода]]-Таблица1[[#This Row],[Дата поступления]]</f>
        <v>0</v>
      </c>
      <c r="W919" s="2">
        <f>Таблица1[[#This Row],[Дата поступления]]-Таблица1[[#This Row],[Дата рождения]]</f>
        <v>0</v>
      </c>
    </row>
    <row r="920" spans="22:23" ht="24.95" customHeight="1" x14ac:dyDescent="0.25">
      <c r="V920" s="2">
        <f>Таблица1[[#This Row],[Дата перевода]]-Таблица1[[#This Row],[Дата поступления]]</f>
        <v>0</v>
      </c>
      <c r="W920" s="2">
        <f>Таблица1[[#This Row],[Дата поступления]]-Таблица1[[#This Row],[Дата рождения]]</f>
        <v>0</v>
      </c>
    </row>
    <row r="921" spans="22:23" ht="24.95" customHeight="1" x14ac:dyDescent="0.25">
      <c r="V921" s="2">
        <f>Таблица1[[#This Row],[Дата перевода]]-Таблица1[[#This Row],[Дата поступления]]</f>
        <v>0</v>
      </c>
      <c r="W921" s="2">
        <f>Таблица1[[#This Row],[Дата поступления]]-Таблица1[[#This Row],[Дата рождения]]</f>
        <v>0</v>
      </c>
    </row>
    <row r="922" spans="22:23" ht="24.95" customHeight="1" x14ac:dyDescent="0.25">
      <c r="V922" s="2">
        <f>Таблица1[[#This Row],[Дата перевода]]-Таблица1[[#This Row],[Дата поступления]]</f>
        <v>0</v>
      </c>
      <c r="W922" s="2">
        <f>Таблица1[[#This Row],[Дата поступления]]-Таблица1[[#This Row],[Дата рождения]]</f>
        <v>0</v>
      </c>
    </row>
    <row r="923" spans="22:23" ht="24.95" customHeight="1" x14ac:dyDescent="0.25">
      <c r="V923" s="2">
        <f>Таблица1[[#This Row],[Дата перевода]]-Таблица1[[#This Row],[Дата поступления]]</f>
        <v>0</v>
      </c>
      <c r="W923" s="2">
        <f>Таблица1[[#This Row],[Дата поступления]]-Таблица1[[#This Row],[Дата рождения]]</f>
        <v>0</v>
      </c>
    </row>
    <row r="924" spans="22:23" ht="24.95" customHeight="1" x14ac:dyDescent="0.25">
      <c r="V924" s="2">
        <f>Таблица1[[#This Row],[Дата перевода]]-Таблица1[[#This Row],[Дата поступления]]</f>
        <v>0</v>
      </c>
      <c r="W924" s="2">
        <f>Таблица1[[#This Row],[Дата поступления]]-Таблица1[[#This Row],[Дата рождения]]</f>
        <v>0</v>
      </c>
    </row>
    <row r="925" spans="22:23" ht="24.95" customHeight="1" x14ac:dyDescent="0.25">
      <c r="V925" s="2">
        <f>Таблица1[[#This Row],[Дата перевода]]-Таблица1[[#This Row],[Дата поступления]]</f>
        <v>0</v>
      </c>
      <c r="W925" s="2">
        <f>Таблица1[[#This Row],[Дата поступления]]-Таблица1[[#This Row],[Дата рождения]]</f>
        <v>0</v>
      </c>
    </row>
    <row r="926" spans="22:23" ht="24.95" customHeight="1" x14ac:dyDescent="0.25">
      <c r="V926" s="2">
        <f>Таблица1[[#This Row],[Дата перевода]]-Таблица1[[#This Row],[Дата поступления]]</f>
        <v>0</v>
      </c>
      <c r="W926" s="2">
        <f>Таблица1[[#This Row],[Дата поступления]]-Таблица1[[#This Row],[Дата рождения]]</f>
        <v>0</v>
      </c>
    </row>
    <row r="927" spans="22:23" ht="24.95" customHeight="1" x14ac:dyDescent="0.25">
      <c r="V927" s="2">
        <f>Таблица1[[#This Row],[Дата перевода]]-Таблица1[[#This Row],[Дата поступления]]</f>
        <v>0</v>
      </c>
      <c r="W927" s="2">
        <f>Таблица1[[#This Row],[Дата поступления]]-Таблица1[[#This Row],[Дата рождения]]</f>
        <v>0</v>
      </c>
    </row>
    <row r="928" spans="22:23" ht="24.95" customHeight="1" x14ac:dyDescent="0.25">
      <c r="V928" s="2">
        <f>Таблица1[[#This Row],[Дата перевода]]-Таблица1[[#This Row],[Дата поступления]]</f>
        <v>0</v>
      </c>
      <c r="W928" s="2">
        <f>Таблица1[[#This Row],[Дата поступления]]-Таблица1[[#This Row],[Дата рождения]]</f>
        <v>0</v>
      </c>
    </row>
    <row r="929" spans="22:23" ht="24.95" customHeight="1" x14ac:dyDescent="0.25">
      <c r="V929" s="2">
        <f>Таблица1[[#This Row],[Дата перевода]]-Таблица1[[#This Row],[Дата поступления]]</f>
        <v>0</v>
      </c>
      <c r="W929" s="2">
        <f>Таблица1[[#This Row],[Дата поступления]]-Таблица1[[#This Row],[Дата рождения]]</f>
        <v>0</v>
      </c>
    </row>
    <row r="930" spans="22:23" ht="24.95" customHeight="1" x14ac:dyDescent="0.25">
      <c r="V930" s="2">
        <f>Таблица1[[#This Row],[Дата перевода]]-Таблица1[[#This Row],[Дата поступления]]</f>
        <v>0</v>
      </c>
      <c r="W930" s="2">
        <f>Таблица1[[#This Row],[Дата поступления]]-Таблица1[[#This Row],[Дата рождения]]</f>
        <v>0</v>
      </c>
    </row>
    <row r="931" spans="22:23" ht="24.95" customHeight="1" x14ac:dyDescent="0.25">
      <c r="V931" s="2">
        <f>Таблица1[[#This Row],[Дата перевода]]-Таблица1[[#This Row],[Дата поступления]]</f>
        <v>0</v>
      </c>
      <c r="W931" s="2">
        <f>Таблица1[[#This Row],[Дата поступления]]-Таблица1[[#This Row],[Дата рождения]]</f>
        <v>0</v>
      </c>
    </row>
    <row r="932" spans="22:23" ht="24.95" customHeight="1" x14ac:dyDescent="0.25">
      <c r="V932" s="2">
        <f>Таблица1[[#This Row],[Дата перевода]]-Таблица1[[#This Row],[Дата поступления]]</f>
        <v>0</v>
      </c>
      <c r="W932" s="2">
        <f>Таблица1[[#This Row],[Дата поступления]]-Таблица1[[#This Row],[Дата рождения]]</f>
        <v>0</v>
      </c>
    </row>
    <row r="933" spans="22:23" ht="24.95" customHeight="1" x14ac:dyDescent="0.25">
      <c r="V933" s="2">
        <f>Таблица1[[#This Row],[Дата перевода]]-Таблица1[[#This Row],[Дата поступления]]</f>
        <v>0</v>
      </c>
      <c r="W933" s="2">
        <f>Таблица1[[#This Row],[Дата поступления]]-Таблица1[[#This Row],[Дата рождения]]</f>
        <v>0</v>
      </c>
    </row>
    <row r="934" spans="22:23" ht="24.95" customHeight="1" x14ac:dyDescent="0.25">
      <c r="V934" s="2">
        <f>Таблица1[[#This Row],[Дата перевода]]-Таблица1[[#This Row],[Дата поступления]]</f>
        <v>0</v>
      </c>
      <c r="W934" s="2">
        <f>Таблица1[[#This Row],[Дата поступления]]-Таблица1[[#This Row],[Дата рождения]]</f>
        <v>0</v>
      </c>
    </row>
    <row r="935" spans="22:23" ht="24.95" customHeight="1" x14ac:dyDescent="0.25">
      <c r="V935" s="2">
        <f>Таблица1[[#This Row],[Дата перевода]]-Таблица1[[#This Row],[Дата поступления]]</f>
        <v>0</v>
      </c>
      <c r="W935" s="2">
        <f>Таблица1[[#This Row],[Дата поступления]]-Таблица1[[#This Row],[Дата рождения]]</f>
        <v>0</v>
      </c>
    </row>
    <row r="936" spans="22:23" ht="24.95" customHeight="1" x14ac:dyDescent="0.25">
      <c r="V936" s="2">
        <f>Таблица1[[#This Row],[Дата перевода]]-Таблица1[[#This Row],[Дата поступления]]</f>
        <v>0</v>
      </c>
      <c r="W936" s="2">
        <f>Таблица1[[#This Row],[Дата поступления]]-Таблица1[[#This Row],[Дата рождения]]</f>
        <v>0</v>
      </c>
    </row>
    <row r="937" spans="22:23" ht="24.95" customHeight="1" x14ac:dyDescent="0.25">
      <c r="V937" s="2">
        <f>Таблица1[[#This Row],[Дата перевода]]-Таблица1[[#This Row],[Дата поступления]]</f>
        <v>0</v>
      </c>
      <c r="W937" s="2">
        <f>Таблица1[[#This Row],[Дата поступления]]-Таблица1[[#This Row],[Дата рождения]]</f>
        <v>0</v>
      </c>
    </row>
    <row r="938" spans="22:23" ht="24.95" customHeight="1" x14ac:dyDescent="0.25">
      <c r="V938" s="2">
        <f>Таблица1[[#This Row],[Дата перевода]]-Таблица1[[#This Row],[Дата поступления]]</f>
        <v>0</v>
      </c>
      <c r="W938" s="2">
        <f>Таблица1[[#This Row],[Дата поступления]]-Таблица1[[#This Row],[Дата рождения]]</f>
        <v>0</v>
      </c>
    </row>
    <row r="939" spans="22:23" ht="24.95" customHeight="1" x14ac:dyDescent="0.25">
      <c r="V939" s="2">
        <f>Таблица1[[#This Row],[Дата перевода]]-Таблица1[[#This Row],[Дата поступления]]</f>
        <v>0</v>
      </c>
      <c r="W939" s="2">
        <f>Таблица1[[#This Row],[Дата поступления]]-Таблица1[[#This Row],[Дата рождения]]</f>
        <v>0</v>
      </c>
    </row>
    <row r="940" spans="22:23" ht="24.95" customHeight="1" x14ac:dyDescent="0.25">
      <c r="V940" s="2">
        <f>Таблица1[[#This Row],[Дата перевода]]-Таблица1[[#This Row],[Дата поступления]]</f>
        <v>0</v>
      </c>
      <c r="W940" s="2">
        <f>Таблица1[[#This Row],[Дата поступления]]-Таблица1[[#This Row],[Дата рождения]]</f>
        <v>0</v>
      </c>
    </row>
    <row r="941" spans="22:23" ht="24.95" customHeight="1" x14ac:dyDescent="0.25">
      <c r="V941" s="2">
        <f>Таблица1[[#This Row],[Дата перевода]]-Таблица1[[#This Row],[Дата поступления]]</f>
        <v>0</v>
      </c>
      <c r="W941" s="2">
        <f>Таблица1[[#This Row],[Дата поступления]]-Таблица1[[#This Row],[Дата рождения]]</f>
        <v>0</v>
      </c>
    </row>
    <row r="942" spans="22:23" ht="24.95" customHeight="1" x14ac:dyDescent="0.25">
      <c r="V942" s="2">
        <f>Таблица1[[#This Row],[Дата перевода]]-Таблица1[[#This Row],[Дата поступления]]</f>
        <v>0</v>
      </c>
      <c r="W942" s="2">
        <f>Таблица1[[#This Row],[Дата поступления]]-Таблица1[[#This Row],[Дата рождения]]</f>
        <v>0</v>
      </c>
    </row>
    <row r="943" spans="22:23" ht="24.95" customHeight="1" x14ac:dyDescent="0.25">
      <c r="V943" s="2">
        <f>Таблица1[[#This Row],[Дата перевода]]-Таблица1[[#This Row],[Дата поступления]]</f>
        <v>0</v>
      </c>
      <c r="W943" s="2">
        <f>Таблица1[[#This Row],[Дата поступления]]-Таблица1[[#This Row],[Дата рождения]]</f>
        <v>0</v>
      </c>
    </row>
    <row r="944" spans="22:23" ht="24.95" customHeight="1" x14ac:dyDescent="0.25">
      <c r="V944" s="2">
        <f>Таблица1[[#This Row],[Дата перевода]]-Таблица1[[#This Row],[Дата поступления]]</f>
        <v>0</v>
      </c>
      <c r="W944" s="2">
        <f>Таблица1[[#This Row],[Дата поступления]]-Таблица1[[#This Row],[Дата рождения]]</f>
        <v>0</v>
      </c>
    </row>
    <row r="945" spans="22:23" ht="24.95" customHeight="1" x14ac:dyDescent="0.25">
      <c r="V945" s="2">
        <f>Таблица1[[#This Row],[Дата перевода]]-Таблица1[[#This Row],[Дата поступления]]</f>
        <v>0</v>
      </c>
      <c r="W945" s="2">
        <f>Таблица1[[#This Row],[Дата поступления]]-Таблица1[[#This Row],[Дата рождения]]</f>
        <v>0</v>
      </c>
    </row>
    <row r="946" spans="22:23" ht="24.95" customHeight="1" x14ac:dyDescent="0.25">
      <c r="V946" s="2">
        <f>Таблица1[[#This Row],[Дата перевода]]-Таблица1[[#This Row],[Дата поступления]]</f>
        <v>0</v>
      </c>
      <c r="W946" s="2">
        <f>Таблица1[[#This Row],[Дата поступления]]-Таблица1[[#This Row],[Дата рождения]]</f>
        <v>0</v>
      </c>
    </row>
    <row r="947" spans="22:23" ht="24.95" customHeight="1" x14ac:dyDescent="0.25">
      <c r="V947" s="2">
        <f>Таблица1[[#This Row],[Дата перевода]]-Таблица1[[#This Row],[Дата поступления]]</f>
        <v>0</v>
      </c>
      <c r="W947" s="2">
        <f>Таблица1[[#This Row],[Дата поступления]]-Таблица1[[#This Row],[Дата рождения]]</f>
        <v>0</v>
      </c>
    </row>
    <row r="948" spans="22:23" ht="24.95" customHeight="1" x14ac:dyDescent="0.25">
      <c r="V948" s="2">
        <f>Таблица1[[#This Row],[Дата перевода]]-Таблица1[[#This Row],[Дата поступления]]</f>
        <v>0</v>
      </c>
      <c r="W948" s="2">
        <f>Таблица1[[#This Row],[Дата поступления]]-Таблица1[[#This Row],[Дата рождения]]</f>
        <v>0</v>
      </c>
    </row>
    <row r="949" spans="22:23" ht="24.95" customHeight="1" x14ac:dyDescent="0.25">
      <c r="V949" s="2">
        <f>Таблица1[[#This Row],[Дата перевода]]-Таблица1[[#This Row],[Дата поступления]]</f>
        <v>0</v>
      </c>
      <c r="W949" s="2">
        <f>Таблица1[[#This Row],[Дата поступления]]-Таблица1[[#This Row],[Дата рождения]]</f>
        <v>0</v>
      </c>
    </row>
    <row r="950" spans="22:23" ht="24.95" customHeight="1" x14ac:dyDescent="0.25">
      <c r="V950" s="2">
        <f>Таблица1[[#This Row],[Дата перевода]]-Таблица1[[#This Row],[Дата поступления]]</f>
        <v>0</v>
      </c>
      <c r="W950" s="2">
        <f>Таблица1[[#This Row],[Дата поступления]]-Таблица1[[#This Row],[Дата рождения]]</f>
        <v>0</v>
      </c>
    </row>
    <row r="951" spans="22:23" ht="24.95" customHeight="1" x14ac:dyDescent="0.25">
      <c r="V951" s="2">
        <f>Таблица1[[#This Row],[Дата перевода]]-Таблица1[[#This Row],[Дата поступления]]</f>
        <v>0</v>
      </c>
      <c r="W951" s="2">
        <f>Таблица1[[#This Row],[Дата поступления]]-Таблица1[[#This Row],[Дата рождения]]</f>
        <v>0</v>
      </c>
    </row>
    <row r="952" spans="22:23" ht="24.95" customHeight="1" x14ac:dyDescent="0.25">
      <c r="V952" s="2">
        <f>Таблица1[[#This Row],[Дата перевода]]-Таблица1[[#This Row],[Дата поступления]]</f>
        <v>0</v>
      </c>
      <c r="W952" s="2">
        <f>Таблица1[[#This Row],[Дата поступления]]-Таблица1[[#This Row],[Дата рождения]]</f>
        <v>0</v>
      </c>
    </row>
    <row r="953" spans="22:23" ht="24.95" customHeight="1" x14ac:dyDescent="0.25">
      <c r="V953" s="2">
        <f>Таблица1[[#This Row],[Дата перевода]]-Таблица1[[#This Row],[Дата поступления]]</f>
        <v>0</v>
      </c>
      <c r="W953" s="2">
        <f>Таблица1[[#This Row],[Дата поступления]]-Таблица1[[#This Row],[Дата рождения]]</f>
        <v>0</v>
      </c>
    </row>
    <row r="954" spans="22:23" ht="24.95" customHeight="1" x14ac:dyDescent="0.25">
      <c r="V954" s="2">
        <f>Таблица1[[#This Row],[Дата перевода]]-Таблица1[[#This Row],[Дата поступления]]</f>
        <v>0</v>
      </c>
      <c r="W954" s="2">
        <f>Таблица1[[#This Row],[Дата поступления]]-Таблица1[[#This Row],[Дата рождения]]</f>
        <v>0</v>
      </c>
    </row>
    <row r="955" spans="22:23" ht="24.95" customHeight="1" x14ac:dyDescent="0.25">
      <c r="V955" s="2">
        <f>Таблица1[[#This Row],[Дата перевода]]-Таблица1[[#This Row],[Дата поступления]]</f>
        <v>0</v>
      </c>
      <c r="W955" s="2">
        <f>Таблица1[[#This Row],[Дата поступления]]-Таблица1[[#This Row],[Дата рождения]]</f>
        <v>0</v>
      </c>
    </row>
    <row r="956" spans="22:23" ht="24.95" customHeight="1" x14ac:dyDescent="0.25">
      <c r="V956" s="2">
        <f>Таблица1[[#This Row],[Дата перевода]]-Таблица1[[#This Row],[Дата поступления]]</f>
        <v>0</v>
      </c>
      <c r="W956" s="2">
        <f>Таблица1[[#This Row],[Дата поступления]]-Таблица1[[#This Row],[Дата рождения]]</f>
        <v>0</v>
      </c>
    </row>
    <row r="957" spans="22:23" ht="24.95" customHeight="1" x14ac:dyDescent="0.25">
      <c r="V957" s="2">
        <f>Таблица1[[#This Row],[Дата перевода]]-Таблица1[[#This Row],[Дата поступления]]</f>
        <v>0</v>
      </c>
      <c r="W957" s="2">
        <f>Таблица1[[#This Row],[Дата поступления]]-Таблица1[[#This Row],[Дата рождения]]</f>
        <v>0</v>
      </c>
    </row>
    <row r="958" spans="22:23" ht="24.95" customHeight="1" x14ac:dyDescent="0.25">
      <c r="V958" s="2">
        <f>Таблица1[[#This Row],[Дата перевода]]-Таблица1[[#This Row],[Дата поступления]]</f>
        <v>0</v>
      </c>
      <c r="W958" s="2">
        <f>Таблица1[[#This Row],[Дата поступления]]-Таблица1[[#This Row],[Дата рождения]]</f>
        <v>0</v>
      </c>
    </row>
    <row r="959" spans="22:23" ht="24.95" customHeight="1" x14ac:dyDescent="0.25">
      <c r="V959" s="2">
        <f>Таблица1[[#This Row],[Дата перевода]]-Таблица1[[#This Row],[Дата поступления]]</f>
        <v>0</v>
      </c>
      <c r="W959" s="2">
        <f>Таблица1[[#This Row],[Дата поступления]]-Таблица1[[#This Row],[Дата рождения]]</f>
        <v>0</v>
      </c>
    </row>
    <row r="960" spans="22:23" ht="24.95" customHeight="1" x14ac:dyDescent="0.25">
      <c r="V960" s="2">
        <f>Таблица1[[#This Row],[Дата перевода]]-Таблица1[[#This Row],[Дата поступления]]</f>
        <v>0</v>
      </c>
      <c r="W960" s="2">
        <f>Таблица1[[#This Row],[Дата поступления]]-Таблица1[[#This Row],[Дата рождения]]</f>
        <v>0</v>
      </c>
    </row>
    <row r="961" spans="22:23" ht="24.95" customHeight="1" x14ac:dyDescent="0.25">
      <c r="V961" s="2">
        <f>Таблица1[[#This Row],[Дата перевода]]-Таблица1[[#This Row],[Дата поступления]]</f>
        <v>0</v>
      </c>
      <c r="W961" s="2">
        <f>Таблица1[[#This Row],[Дата поступления]]-Таблица1[[#This Row],[Дата рождения]]</f>
        <v>0</v>
      </c>
    </row>
    <row r="962" spans="22:23" ht="24.95" customHeight="1" x14ac:dyDescent="0.25">
      <c r="V962" s="2">
        <f>Таблица1[[#This Row],[Дата перевода]]-Таблица1[[#This Row],[Дата поступления]]</f>
        <v>0</v>
      </c>
      <c r="W962" s="2">
        <f>Таблица1[[#This Row],[Дата поступления]]-Таблица1[[#This Row],[Дата рождения]]</f>
        <v>0</v>
      </c>
    </row>
    <row r="963" spans="22:23" ht="24.95" customHeight="1" x14ac:dyDescent="0.25">
      <c r="V963" s="2">
        <f>Таблица1[[#This Row],[Дата перевода]]-Таблица1[[#This Row],[Дата поступления]]</f>
        <v>0</v>
      </c>
      <c r="W963" s="2">
        <f>Таблица1[[#This Row],[Дата поступления]]-Таблица1[[#This Row],[Дата рождения]]</f>
        <v>0</v>
      </c>
    </row>
    <row r="964" spans="22:23" ht="24.95" customHeight="1" x14ac:dyDescent="0.25">
      <c r="V964" s="2">
        <f>Таблица1[[#This Row],[Дата перевода]]-Таблица1[[#This Row],[Дата поступления]]</f>
        <v>0</v>
      </c>
      <c r="W964" s="2">
        <f>Таблица1[[#This Row],[Дата поступления]]-Таблица1[[#This Row],[Дата рождения]]</f>
        <v>0</v>
      </c>
    </row>
    <row r="965" spans="22:23" ht="24.95" customHeight="1" x14ac:dyDescent="0.25">
      <c r="V965" s="2">
        <f>Таблица1[[#This Row],[Дата перевода]]-Таблица1[[#This Row],[Дата поступления]]</f>
        <v>0</v>
      </c>
      <c r="W965" s="2">
        <f>Таблица1[[#This Row],[Дата поступления]]-Таблица1[[#This Row],[Дата рождения]]</f>
        <v>0</v>
      </c>
    </row>
    <row r="966" spans="22:23" ht="24.95" customHeight="1" x14ac:dyDescent="0.25">
      <c r="V966" s="2">
        <f>Таблица1[[#This Row],[Дата перевода]]-Таблица1[[#This Row],[Дата поступления]]</f>
        <v>0</v>
      </c>
      <c r="W966" s="2">
        <f>Таблица1[[#This Row],[Дата поступления]]-Таблица1[[#This Row],[Дата рождения]]</f>
        <v>0</v>
      </c>
    </row>
    <row r="967" spans="22:23" ht="24.95" customHeight="1" x14ac:dyDescent="0.25">
      <c r="V967" s="2">
        <f>Таблица1[[#This Row],[Дата перевода]]-Таблица1[[#This Row],[Дата поступления]]</f>
        <v>0</v>
      </c>
      <c r="W967" s="2">
        <f>Таблица1[[#This Row],[Дата поступления]]-Таблица1[[#This Row],[Дата рождения]]</f>
        <v>0</v>
      </c>
    </row>
    <row r="968" spans="22:23" ht="24.95" customHeight="1" x14ac:dyDescent="0.25">
      <c r="V968" s="2">
        <f>Таблица1[[#This Row],[Дата перевода]]-Таблица1[[#This Row],[Дата поступления]]</f>
        <v>0</v>
      </c>
      <c r="W968" s="2">
        <f>Таблица1[[#This Row],[Дата поступления]]-Таблица1[[#This Row],[Дата рождения]]</f>
        <v>0</v>
      </c>
    </row>
    <row r="969" spans="22:23" ht="24.95" customHeight="1" x14ac:dyDescent="0.25">
      <c r="V969" s="2">
        <f>Таблица1[[#This Row],[Дата перевода]]-Таблица1[[#This Row],[Дата поступления]]</f>
        <v>0</v>
      </c>
      <c r="W969" s="2">
        <f>Таблица1[[#This Row],[Дата поступления]]-Таблица1[[#This Row],[Дата рождения]]</f>
        <v>0</v>
      </c>
    </row>
    <row r="970" spans="22:23" ht="24.95" customHeight="1" x14ac:dyDescent="0.25">
      <c r="V970" s="2">
        <f>Таблица1[[#This Row],[Дата перевода]]-Таблица1[[#This Row],[Дата поступления]]</f>
        <v>0</v>
      </c>
      <c r="W970" s="2">
        <f>Таблица1[[#This Row],[Дата поступления]]-Таблица1[[#This Row],[Дата рождения]]</f>
        <v>0</v>
      </c>
    </row>
    <row r="971" spans="22:23" ht="24.95" customHeight="1" x14ac:dyDescent="0.25">
      <c r="V971" s="2">
        <f>Таблица1[[#This Row],[Дата перевода]]-Таблица1[[#This Row],[Дата поступления]]</f>
        <v>0</v>
      </c>
      <c r="W971" s="2">
        <f>Таблица1[[#This Row],[Дата поступления]]-Таблица1[[#This Row],[Дата рождения]]</f>
        <v>0</v>
      </c>
    </row>
    <row r="972" spans="22:23" ht="24.95" customHeight="1" x14ac:dyDescent="0.25">
      <c r="V972" s="2">
        <f>Таблица1[[#This Row],[Дата перевода]]-Таблица1[[#This Row],[Дата поступления]]</f>
        <v>0</v>
      </c>
      <c r="W972" s="2">
        <f>Таблица1[[#This Row],[Дата поступления]]-Таблица1[[#This Row],[Дата рождения]]</f>
        <v>0</v>
      </c>
    </row>
    <row r="973" spans="22:23" ht="24.95" customHeight="1" x14ac:dyDescent="0.25">
      <c r="V973" s="2">
        <f>Таблица1[[#This Row],[Дата перевода]]-Таблица1[[#This Row],[Дата поступления]]</f>
        <v>0</v>
      </c>
      <c r="W973" s="2">
        <f>Таблица1[[#This Row],[Дата поступления]]-Таблица1[[#This Row],[Дата рождения]]</f>
        <v>0</v>
      </c>
    </row>
    <row r="974" spans="22:23" ht="24.95" customHeight="1" x14ac:dyDescent="0.25">
      <c r="V974" s="2">
        <f>Таблица1[[#This Row],[Дата перевода]]-Таблица1[[#This Row],[Дата поступления]]</f>
        <v>0</v>
      </c>
      <c r="W974" s="2">
        <f>Таблица1[[#This Row],[Дата поступления]]-Таблица1[[#This Row],[Дата рождения]]</f>
        <v>0</v>
      </c>
    </row>
    <row r="975" spans="22:23" ht="24.95" customHeight="1" x14ac:dyDescent="0.25">
      <c r="V975" s="2">
        <f>Таблица1[[#This Row],[Дата перевода]]-Таблица1[[#This Row],[Дата поступления]]</f>
        <v>0</v>
      </c>
      <c r="W975" s="2">
        <f>Таблица1[[#This Row],[Дата поступления]]-Таблица1[[#This Row],[Дата рождения]]</f>
        <v>0</v>
      </c>
    </row>
    <row r="976" spans="22:23" ht="24.95" customHeight="1" x14ac:dyDescent="0.25">
      <c r="V976" s="2">
        <f>Таблица1[[#This Row],[Дата перевода]]-Таблица1[[#This Row],[Дата поступления]]</f>
        <v>0</v>
      </c>
      <c r="W976" s="2">
        <f>Таблица1[[#This Row],[Дата поступления]]-Таблица1[[#This Row],[Дата рождения]]</f>
        <v>0</v>
      </c>
    </row>
    <row r="977" spans="22:23" ht="24.95" customHeight="1" x14ac:dyDescent="0.25">
      <c r="V977" s="2">
        <f>Таблица1[[#This Row],[Дата перевода]]-Таблица1[[#This Row],[Дата поступления]]</f>
        <v>0</v>
      </c>
      <c r="W977" s="2">
        <f>Таблица1[[#This Row],[Дата поступления]]-Таблица1[[#This Row],[Дата рождения]]</f>
        <v>0</v>
      </c>
    </row>
    <row r="978" spans="22:23" ht="24.95" customHeight="1" x14ac:dyDescent="0.25">
      <c r="V978" s="2">
        <f>Таблица1[[#This Row],[Дата перевода]]-Таблица1[[#This Row],[Дата поступления]]</f>
        <v>0</v>
      </c>
      <c r="W978" s="2">
        <f>Таблица1[[#This Row],[Дата поступления]]-Таблица1[[#This Row],[Дата рождения]]</f>
        <v>0</v>
      </c>
    </row>
    <row r="979" spans="22:23" ht="24.95" customHeight="1" x14ac:dyDescent="0.25">
      <c r="V979" s="2">
        <f>Таблица1[[#This Row],[Дата перевода]]-Таблица1[[#This Row],[Дата поступления]]</f>
        <v>0</v>
      </c>
      <c r="W979" s="2">
        <f>Таблица1[[#This Row],[Дата поступления]]-Таблица1[[#This Row],[Дата рождения]]</f>
        <v>0</v>
      </c>
    </row>
    <row r="980" spans="22:23" ht="24.95" customHeight="1" x14ac:dyDescent="0.25">
      <c r="V980" s="2">
        <f>Таблица1[[#This Row],[Дата перевода]]-Таблица1[[#This Row],[Дата поступления]]</f>
        <v>0</v>
      </c>
      <c r="W980" s="2">
        <f>Таблица1[[#This Row],[Дата поступления]]-Таблица1[[#This Row],[Дата рождения]]</f>
        <v>0</v>
      </c>
    </row>
    <row r="981" spans="22:23" ht="24.95" customHeight="1" x14ac:dyDescent="0.25">
      <c r="V981" s="2">
        <f>Таблица1[[#This Row],[Дата перевода]]-Таблица1[[#This Row],[Дата поступления]]</f>
        <v>0</v>
      </c>
      <c r="W981" s="2">
        <f>Таблица1[[#This Row],[Дата поступления]]-Таблица1[[#This Row],[Дата рождения]]</f>
        <v>0</v>
      </c>
    </row>
    <row r="982" spans="22:23" ht="24.95" customHeight="1" x14ac:dyDescent="0.25">
      <c r="V982" s="2">
        <f>Таблица1[[#This Row],[Дата перевода]]-Таблица1[[#This Row],[Дата поступления]]</f>
        <v>0</v>
      </c>
      <c r="W982" s="2">
        <f>Таблица1[[#This Row],[Дата поступления]]-Таблица1[[#This Row],[Дата рождения]]</f>
        <v>0</v>
      </c>
    </row>
    <row r="983" spans="22:23" ht="24.95" customHeight="1" x14ac:dyDescent="0.25">
      <c r="V983" s="2">
        <f>Таблица1[[#This Row],[Дата перевода]]-Таблица1[[#This Row],[Дата поступления]]</f>
        <v>0</v>
      </c>
      <c r="W983" s="2">
        <f>Таблица1[[#This Row],[Дата поступления]]-Таблица1[[#This Row],[Дата рождения]]</f>
        <v>0</v>
      </c>
    </row>
    <row r="984" spans="22:23" ht="24.95" customHeight="1" x14ac:dyDescent="0.25">
      <c r="V984" s="2">
        <f>Таблица1[[#This Row],[Дата перевода]]-Таблица1[[#This Row],[Дата поступления]]</f>
        <v>0</v>
      </c>
      <c r="W984" s="2">
        <f>Таблица1[[#This Row],[Дата поступления]]-Таблица1[[#This Row],[Дата рождения]]</f>
        <v>0</v>
      </c>
    </row>
    <row r="985" spans="22:23" ht="24.95" customHeight="1" x14ac:dyDescent="0.25">
      <c r="V985" s="2">
        <f>Таблица1[[#This Row],[Дата перевода]]-Таблица1[[#This Row],[Дата поступления]]</f>
        <v>0</v>
      </c>
      <c r="W985" s="2">
        <f>Таблица1[[#This Row],[Дата поступления]]-Таблица1[[#This Row],[Дата рождения]]</f>
        <v>0</v>
      </c>
    </row>
    <row r="986" spans="22:23" ht="24.95" customHeight="1" x14ac:dyDescent="0.25">
      <c r="V986" s="2">
        <f>Таблица1[[#This Row],[Дата перевода]]-Таблица1[[#This Row],[Дата поступления]]</f>
        <v>0</v>
      </c>
      <c r="W986" s="2">
        <f>Таблица1[[#This Row],[Дата поступления]]-Таблица1[[#This Row],[Дата рождения]]</f>
        <v>0</v>
      </c>
    </row>
    <row r="987" spans="22:23" ht="24.95" customHeight="1" x14ac:dyDescent="0.25">
      <c r="V987" s="2">
        <f>Таблица1[[#This Row],[Дата перевода]]-Таблица1[[#This Row],[Дата поступления]]</f>
        <v>0</v>
      </c>
      <c r="W987" s="2">
        <f>Таблица1[[#This Row],[Дата поступления]]-Таблица1[[#This Row],[Дата рождения]]</f>
        <v>0</v>
      </c>
    </row>
    <row r="988" spans="22:23" ht="24.95" customHeight="1" x14ac:dyDescent="0.25">
      <c r="V988" s="2">
        <f>Таблица1[[#This Row],[Дата перевода]]-Таблица1[[#This Row],[Дата поступления]]</f>
        <v>0</v>
      </c>
      <c r="W988" s="2">
        <f>Таблица1[[#This Row],[Дата поступления]]-Таблица1[[#This Row],[Дата рождения]]</f>
        <v>0</v>
      </c>
    </row>
    <row r="989" spans="22:23" ht="24.95" customHeight="1" x14ac:dyDescent="0.25">
      <c r="V989" s="2">
        <f>Таблица1[[#This Row],[Дата перевода]]-Таблица1[[#This Row],[Дата поступления]]</f>
        <v>0</v>
      </c>
      <c r="W989" s="2">
        <f>Таблица1[[#This Row],[Дата поступления]]-Таблица1[[#This Row],[Дата рождения]]</f>
        <v>0</v>
      </c>
    </row>
    <row r="990" spans="22:23" ht="24.95" customHeight="1" x14ac:dyDescent="0.25">
      <c r="V990" s="2">
        <f>Таблица1[[#This Row],[Дата перевода]]-Таблица1[[#This Row],[Дата поступления]]</f>
        <v>0</v>
      </c>
      <c r="W990" s="2">
        <f>Таблица1[[#This Row],[Дата поступления]]-Таблица1[[#This Row],[Дата рождения]]</f>
        <v>0</v>
      </c>
    </row>
    <row r="991" spans="22:23" ht="24.95" customHeight="1" x14ac:dyDescent="0.25">
      <c r="V991" s="2">
        <f>Таблица1[[#This Row],[Дата перевода]]-Таблица1[[#This Row],[Дата поступления]]</f>
        <v>0</v>
      </c>
      <c r="W991" s="2">
        <f>Таблица1[[#This Row],[Дата поступления]]-Таблица1[[#This Row],[Дата рождения]]</f>
        <v>0</v>
      </c>
    </row>
    <row r="992" spans="22:23" ht="24.95" customHeight="1" x14ac:dyDescent="0.25">
      <c r="V992" s="2">
        <f>Таблица1[[#This Row],[Дата перевода]]-Таблица1[[#This Row],[Дата поступления]]</f>
        <v>0</v>
      </c>
      <c r="W992" s="2">
        <f>Таблица1[[#This Row],[Дата поступления]]-Таблица1[[#This Row],[Дата рождения]]</f>
        <v>0</v>
      </c>
    </row>
    <row r="993" spans="22:23" ht="24.95" customHeight="1" x14ac:dyDescent="0.25">
      <c r="V993" s="2">
        <f>Таблица1[[#This Row],[Дата перевода]]-Таблица1[[#This Row],[Дата поступления]]</f>
        <v>0</v>
      </c>
      <c r="W993" s="2">
        <f>Таблица1[[#This Row],[Дата поступления]]-Таблица1[[#This Row],[Дата рождения]]</f>
        <v>0</v>
      </c>
    </row>
    <row r="994" spans="22:23" ht="24.95" customHeight="1" x14ac:dyDescent="0.25">
      <c r="V994" s="2">
        <f>Таблица1[[#This Row],[Дата перевода]]-Таблица1[[#This Row],[Дата поступления]]</f>
        <v>0</v>
      </c>
      <c r="W994" s="2">
        <f>Таблица1[[#This Row],[Дата поступления]]-Таблица1[[#This Row],[Дата рождения]]</f>
        <v>0</v>
      </c>
    </row>
    <row r="995" spans="22:23" ht="24.95" customHeight="1" x14ac:dyDescent="0.25">
      <c r="V995" s="2">
        <f>Таблица1[[#This Row],[Дата перевода]]-Таблица1[[#This Row],[Дата поступления]]</f>
        <v>0</v>
      </c>
      <c r="W995" s="2">
        <f>Таблица1[[#This Row],[Дата поступления]]-Таблица1[[#This Row],[Дата рождения]]</f>
        <v>0</v>
      </c>
    </row>
    <row r="996" spans="22:23" ht="24.95" customHeight="1" x14ac:dyDescent="0.25">
      <c r="V996" s="2">
        <f>Таблица1[[#This Row],[Дата перевода]]-Таблица1[[#This Row],[Дата поступления]]</f>
        <v>0</v>
      </c>
      <c r="W996" s="2">
        <f>Таблица1[[#This Row],[Дата поступления]]-Таблица1[[#This Row],[Дата рождения]]</f>
        <v>0</v>
      </c>
    </row>
    <row r="997" spans="22:23" ht="24.95" customHeight="1" x14ac:dyDescent="0.25">
      <c r="V997" s="2">
        <f>Таблица1[[#This Row],[Дата перевода]]-Таблица1[[#This Row],[Дата поступления]]</f>
        <v>0</v>
      </c>
      <c r="W997" s="2">
        <f>Таблица1[[#This Row],[Дата поступления]]-Таблица1[[#This Row],[Дата рождения]]</f>
        <v>0</v>
      </c>
    </row>
    <row r="998" spans="22:23" ht="24.95" customHeight="1" x14ac:dyDescent="0.25">
      <c r="V998" s="2">
        <f>Таблица1[[#This Row],[Дата перевода]]-Таблица1[[#This Row],[Дата поступления]]</f>
        <v>0</v>
      </c>
      <c r="W998" s="2">
        <f>Таблица1[[#This Row],[Дата поступления]]-Таблица1[[#This Row],[Дата рождения]]</f>
        <v>0</v>
      </c>
    </row>
    <row r="999" spans="22:23" ht="24.95" customHeight="1" x14ac:dyDescent="0.25">
      <c r="V999" s="2">
        <f>Таблица1[[#This Row],[Дата перевода]]-Таблица1[[#This Row],[Дата поступления]]</f>
        <v>0</v>
      </c>
      <c r="W999" s="2">
        <f>Таблица1[[#This Row],[Дата поступления]]-Таблица1[[#This Row],[Дата рождения]]</f>
        <v>0</v>
      </c>
    </row>
    <row r="1000" spans="22:23" ht="24.95" customHeight="1" x14ac:dyDescent="0.25">
      <c r="V1000" s="2">
        <f>Таблица1[[#This Row],[Дата перевода]]-Таблица1[[#This Row],[Дата поступления]]</f>
        <v>0</v>
      </c>
      <c r="W1000" s="2">
        <f>Таблица1[[#This Row],[Дата поступления]]-Таблица1[[#This Row],[Дата рождения]]</f>
        <v>0</v>
      </c>
    </row>
    <row r="1001" spans="22:23" ht="24.95" customHeight="1" x14ac:dyDescent="0.25">
      <c r="V1001" s="2">
        <f>Таблица1[[#This Row],[Дата перевода]]-Таблица1[[#This Row],[Дата поступления]]</f>
        <v>0</v>
      </c>
      <c r="W1001" s="2">
        <f>Таблица1[[#This Row],[Дата поступления]]-Таблица1[[#This Row],[Дата рождения]]</f>
        <v>0</v>
      </c>
    </row>
    <row r="1002" spans="22:23" ht="24.95" customHeight="1" x14ac:dyDescent="0.25">
      <c r="V1002" s="2">
        <f>Таблица1[[#This Row],[Дата перевода]]-Таблица1[[#This Row],[Дата поступления]]</f>
        <v>0</v>
      </c>
      <c r="W1002" s="2">
        <f>Таблица1[[#This Row],[Дата поступления]]-Таблица1[[#This Row],[Дата рождения]]</f>
        <v>0</v>
      </c>
    </row>
    <row r="1003" spans="22:23" ht="24.95" customHeight="1" x14ac:dyDescent="0.25">
      <c r="V1003" s="2">
        <f>Таблица1[[#This Row],[Дата перевода]]-Таблица1[[#This Row],[Дата поступления]]</f>
        <v>0</v>
      </c>
      <c r="W1003" s="2">
        <f>Таблица1[[#This Row],[Дата поступления]]-Таблица1[[#This Row],[Дата рождения]]</f>
        <v>0</v>
      </c>
    </row>
    <row r="1004" spans="22:23" ht="24.95" customHeight="1" x14ac:dyDescent="0.25">
      <c r="V1004" s="2">
        <f>Таблица1[[#This Row],[Дата перевода]]-Таблица1[[#This Row],[Дата поступления]]</f>
        <v>0</v>
      </c>
      <c r="W1004" s="2">
        <f>Таблица1[[#This Row],[Дата поступления]]-Таблица1[[#This Row],[Дата рождения]]</f>
        <v>0</v>
      </c>
    </row>
    <row r="1005" spans="22:23" ht="24.95" customHeight="1" x14ac:dyDescent="0.25">
      <c r="V1005" s="2">
        <f>Таблица1[[#This Row],[Дата перевода]]-Таблица1[[#This Row],[Дата поступления]]</f>
        <v>0</v>
      </c>
      <c r="W1005" s="2">
        <f>Таблица1[[#This Row],[Дата поступления]]-Таблица1[[#This Row],[Дата рождения]]</f>
        <v>0</v>
      </c>
    </row>
    <row r="1006" spans="22:23" ht="24.95" customHeight="1" x14ac:dyDescent="0.25">
      <c r="V1006" s="2">
        <f>Таблица1[[#This Row],[Дата перевода]]-Таблица1[[#This Row],[Дата поступления]]</f>
        <v>0</v>
      </c>
      <c r="W1006" s="2">
        <f>Таблица1[[#This Row],[Дата поступления]]-Таблица1[[#This Row],[Дата рождения]]</f>
        <v>0</v>
      </c>
    </row>
    <row r="1007" spans="22:23" ht="24.95" customHeight="1" x14ac:dyDescent="0.25">
      <c r="V1007" s="2">
        <f>Таблица1[[#This Row],[Дата перевода]]-Таблица1[[#This Row],[Дата поступления]]</f>
        <v>0</v>
      </c>
      <c r="W1007" s="2">
        <f>Таблица1[[#This Row],[Дата поступления]]-Таблица1[[#This Row],[Дата рождения]]</f>
        <v>0</v>
      </c>
    </row>
    <row r="1008" spans="22:23" ht="24.95" customHeight="1" x14ac:dyDescent="0.25">
      <c r="V1008" s="2">
        <f>Таблица1[[#This Row],[Дата перевода]]-Таблица1[[#This Row],[Дата поступления]]</f>
        <v>0</v>
      </c>
      <c r="W1008" s="2">
        <f>Таблица1[[#This Row],[Дата поступления]]-Таблица1[[#This Row],[Дата рождения]]</f>
        <v>0</v>
      </c>
    </row>
    <row r="1009" spans="22:23" ht="24.95" customHeight="1" x14ac:dyDescent="0.25">
      <c r="V1009" s="2">
        <f>Таблица1[[#This Row],[Дата перевода]]-Таблица1[[#This Row],[Дата поступления]]</f>
        <v>0</v>
      </c>
      <c r="W1009" s="2">
        <f>Таблица1[[#This Row],[Дата поступления]]-Таблица1[[#This Row],[Дата рождения]]</f>
        <v>0</v>
      </c>
    </row>
    <row r="1010" spans="22:23" ht="24.95" customHeight="1" x14ac:dyDescent="0.25">
      <c r="V1010" s="2">
        <f>Таблица1[[#This Row],[Дата перевода]]-Таблица1[[#This Row],[Дата поступления]]</f>
        <v>0</v>
      </c>
      <c r="W1010" s="2">
        <f>Таблица1[[#This Row],[Дата поступления]]-Таблица1[[#This Row],[Дата рождения]]</f>
        <v>0</v>
      </c>
    </row>
    <row r="1011" spans="22:23" ht="24.95" customHeight="1" x14ac:dyDescent="0.25">
      <c r="V1011" s="2">
        <f>Таблица1[[#This Row],[Дата перевода]]-Таблица1[[#This Row],[Дата поступления]]</f>
        <v>0</v>
      </c>
      <c r="W1011" s="2">
        <f>Таблица1[[#This Row],[Дата поступления]]-Таблица1[[#This Row],[Дата рождения]]</f>
        <v>0</v>
      </c>
    </row>
    <row r="1012" spans="22:23" ht="24.95" customHeight="1" x14ac:dyDescent="0.25">
      <c r="V1012" s="2">
        <f>Таблица1[[#This Row],[Дата перевода]]-Таблица1[[#This Row],[Дата поступления]]</f>
        <v>0</v>
      </c>
      <c r="W1012" s="2">
        <f>Таблица1[[#This Row],[Дата поступления]]-Таблица1[[#This Row],[Дата рождения]]</f>
        <v>0</v>
      </c>
    </row>
    <row r="1013" spans="22:23" ht="24.95" customHeight="1" x14ac:dyDescent="0.25">
      <c r="V1013" s="2">
        <f>Таблица1[[#This Row],[Дата перевода]]-Таблица1[[#This Row],[Дата поступления]]</f>
        <v>0</v>
      </c>
      <c r="W1013" s="2">
        <f>Таблица1[[#This Row],[Дата поступления]]-Таблица1[[#This Row],[Дата рождения]]</f>
        <v>0</v>
      </c>
    </row>
    <row r="1014" spans="22:23" ht="24.95" customHeight="1" x14ac:dyDescent="0.25">
      <c r="V1014" s="2">
        <f>Таблица1[[#This Row],[Дата перевода]]-Таблица1[[#This Row],[Дата поступления]]</f>
        <v>0</v>
      </c>
      <c r="W1014" s="2">
        <f>Таблица1[[#This Row],[Дата поступления]]-Таблица1[[#This Row],[Дата рождения]]</f>
        <v>0</v>
      </c>
    </row>
    <row r="1015" spans="22:23" ht="24.95" customHeight="1" x14ac:dyDescent="0.25">
      <c r="V1015" s="2">
        <f>Таблица1[[#This Row],[Дата перевода]]-Таблица1[[#This Row],[Дата поступления]]</f>
        <v>0</v>
      </c>
      <c r="W1015" s="2">
        <f>Таблица1[[#This Row],[Дата поступления]]-Таблица1[[#This Row],[Дата рождения]]</f>
        <v>0</v>
      </c>
    </row>
    <row r="1016" spans="22:23" ht="24.95" customHeight="1" x14ac:dyDescent="0.25">
      <c r="V1016" s="2">
        <f>Таблица1[[#This Row],[Дата перевода]]-Таблица1[[#This Row],[Дата поступления]]</f>
        <v>0</v>
      </c>
      <c r="W1016" s="2">
        <f>Таблица1[[#This Row],[Дата поступления]]-Таблица1[[#This Row],[Дата рождения]]</f>
        <v>0</v>
      </c>
    </row>
    <row r="1017" spans="22:23" ht="24.95" customHeight="1" x14ac:dyDescent="0.25">
      <c r="V1017" s="2">
        <f>Таблица1[[#This Row],[Дата перевода]]-Таблица1[[#This Row],[Дата поступления]]</f>
        <v>0</v>
      </c>
      <c r="W1017" s="2">
        <f>Таблица1[[#This Row],[Дата поступления]]-Таблица1[[#This Row],[Дата рождения]]</f>
        <v>0</v>
      </c>
    </row>
    <row r="1018" spans="22:23" ht="24.95" customHeight="1" x14ac:dyDescent="0.25">
      <c r="V1018" s="2">
        <f>Таблица1[[#This Row],[Дата перевода]]-Таблица1[[#This Row],[Дата поступления]]</f>
        <v>0</v>
      </c>
      <c r="W1018" s="2">
        <f>Таблица1[[#This Row],[Дата поступления]]-Таблица1[[#This Row],[Дата рождения]]</f>
        <v>0</v>
      </c>
    </row>
    <row r="1019" spans="22:23" ht="24.95" customHeight="1" x14ac:dyDescent="0.25">
      <c r="V1019" s="2">
        <f>Таблица1[[#This Row],[Дата перевода]]-Таблица1[[#This Row],[Дата поступления]]</f>
        <v>0</v>
      </c>
      <c r="W1019" s="2">
        <f>Таблица1[[#This Row],[Дата поступления]]-Таблица1[[#This Row],[Дата рождения]]</f>
        <v>0</v>
      </c>
    </row>
    <row r="1020" spans="22:23" ht="24.95" customHeight="1" x14ac:dyDescent="0.25">
      <c r="V1020" s="2">
        <f>Таблица1[[#This Row],[Дата перевода]]-Таблица1[[#This Row],[Дата поступления]]</f>
        <v>0</v>
      </c>
      <c r="W1020" s="2">
        <f>Таблица1[[#This Row],[Дата поступления]]-Таблица1[[#This Row],[Дата рождения]]</f>
        <v>0</v>
      </c>
    </row>
    <row r="1021" spans="22:23" ht="24.95" customHeight="1" x14ac:dyDescent="0.25">
      <c r="V1021" s="2">
        <f>Таблица1[[#This Row],[Дата перевода]]-Таблица1[[#This Row],[Дата поступления]]</f>
        <v>0</v>
      </c>
      <c r="W1021" s="2">
        <f>Таблица1[[#This Row],[Дата поступления]]-Таблица1[[#This Row],[Дата рождения]]</f>
        <v>0</v>
      </c>
    </row>
    <row r="1022" spans="22:23" ht="24.95" customHeight="1" x14ac:dyDescent="0.25">
      <c r="V1022" s="2">
        <f>Таблица1[[#This Row],[Дата перевода]]-Таблица1[[#This Row],[Дата поступления]]</f>
        <v>0</v>
      </c>
      <c r="W1022" s="2">
        <f>Таблица1[[#This Row],[Дата поступления]]-Таблица1[[#This Row],[Дата рождения]]</f>
        <v>0</v>
      </c>
    </row>
    <row r="1023" spans="22:23" ht="24.95" customHeight="1" x14ac:dyDescent="0.25">
      <c r="V1023" s="2">
        <f>Таблица1[[#This Row],[Дата перевода]]-Таблица1[[#This Row],[Дата поступления]]</f>
        <v>0</v>
      </c>
      <c r="W1023" s="2">
        <f>Таблица1[[#This Row],[Дата поступления]]-Таблица1[[#This Row],[Дата рождения]]</f>
        <v>0</v>
      </c>
    </row>
    <row r="1024" spans="22:23" ht="24.95" customHeight="1" x14ac:dyDescent="0.25">
      <c r="V1024" s="2">
        <f>Таблица1[[#This Row],[Дата перевода]]-Таблица1[[#This Row],[Дата поступления]]</f>
        <v>0</v>
      </c>
      <c r="W1024" s="2">
        <f>Таблица1[[#This Row],[Дата поступления]]-Таблица1[[#This Row],[Дата рождения]]</f>
        <v>0</v>
      </c>
    </row>
    <row r="1025" spans="22:23" ht="24.95" customHeight="1" x14ac:dyDescent="0.25">
      <c r="V1025" s="2">
        <f>Таблица1[[#This Row],[Дата перевода]]-Таблица1[[#This Row],[Дата поступления]]</f>
        <v>0</v>
      </c>
      <c r="W1025" s="2">
        <f>Таблица1[[#This Row],[Дата поступления]]-Таблица1[[#This Row],[Дата рождения]]</f>
        <v>0</v>
      </c>
    </row>
    <row r="1026" spans="22:23" ht="24.95" customHeight="1" x14ac:dyDescent="0.25">
      <c r="V1026" s="2">
        <f>Таблица1[[#This Row],[Дата перевода]]-Таблица1[[#This Row],[Дата поступления]]</f>
        <v>0</v>
      </c>
      <c r="W1026" s="2">
        <f>Таблица1[[#This Row],[Дата поступления]]-Таблица1[[#This Row],[Дата рождения]]</f>
        <v>0</v>
      </c>
    </row>
    <row r="1027" spans="22:23" ht="24.95" customHeight="1" x14ac:dyDescent="0.25">
      <c r="V1027" s="2">
        <f>Таблица1[[#This Row],[Дата перевода]]-Таблица1[[#This Row],[Дата поступления]]</f>
        <v>0</v>
      </c>
      <c r="W1027" s="2">
        <f>Таблица1[[#This Row],[Дата поступления]]-Таблица1[[#This Row],[Дата рождения]]</f>
        <v>0</v>
      </c>
    </row>
    <row r="1028" spans="22:23" ht="24.95" customHeight="1" x14ac:dyDescent="0.25">
      <c r="V1028" s="2">
        <f>Таблица1[[#This Row],[Дата перевода]]-Таблица1[[#This Row],[Дата поступления]]</f>
        <v>0</v>
      </c>
      <c r="W1028" s="2">
        <f>Таблица1[[#This Row],[Дата поступления]]-Таблица1[[#This Row],[Дата рождения]]</f>
        <v>0</v>
      </c>
    </row>
    <row r="1029" spans="22:23" ht="24.95" customHeight="1" x14ac:dyDescent="0.25">
      <c r="V1029" s="2">
        <f>Таблица1[[#This Row],[Дата перевода]]-Таблица1[[#This Row],[Дата поступления]]</f>
        <v>0</v>
      </c>
      <c r="W1029" s="2">
        <f>Таблица1[[#This Row],[Дата поступления]]-Таблица1[[#This Row],[Дата рождения]]</f>
        <v>0</v>
      </c>
    </row>
    <row r="1030" spans="22:23" ht="24.95" customHeight="1" x14ac:dyDescent="0.25">
      <c r="V1030" s="2">
        <f>Таблица1[[#This Row],[Дата перевода]]-Таблица1[[#This Row],[Дата поступления]]</f>
        <v>0</v>
      </c>
      <c r="W1030" s="2">
        <f>Таблица1[[#This Row],[Дата поступления]]-Таблица1[[#This Row],[Дата рождения]]</f>
        <v>0</v>
      </c>
    </row>
    <row r="1031" spans="22:23" ht="24.95" customHeight="1" x14ac:dyDescent="0.25">
      <c r="V1031" s="2">
        <f>Таблица1[[#This Row],[Дата перевода]]-Таблица1[[#This Row],[Дата поступления]]</f>
        <v>0</v>
      </c>
      <c r="W1031" s="2">
        <f>Таблица1[[#This Row],[Дата поступления]]-Таблица1[[#This Row],[Дата рождения]]</f>
        <v>0</v>
      </c>
    </row>
    <row r="1032" spans="22:23" ht="24.95" customHeight="1" x14ac:dyDescent="0.25">
      <c r="V1032" s="2">
        <f>Таблица1[[#This Row],[Дата перевода]]-Таблица1[[#This Row],[Дата поступления]]</f>
        <v>0</v>
      </c>
      <c r="W1032" s="2">
        <f>Таблица1[[#This Row],[Дата поступления]]-Таблица1[[#This Row],[Дата рождения]]</f>
        <v>0</v>
      </c>
    </row>
    <row r="1033" spans="22:23" ht="24.95" customHeight="1" x14ac:dyDescent="0.25">
      <c r="V1033" s="2">
        <f>Таблица1[[#This Row],[Дата перевода]]-Таблица1[[#This Row],[Дата поступления]]</f>
        <v>0</v>
      </c>
      <c r="W1033" s="2">
        <f>Таблица1[[#This Row],[Дата поступления]]-Таблица1[[#This Row],[Дата рождения]]</f>
        <v>0</v>
      </c>
    </row>
    <row r="1034" spans="22:23" ht="24.95" customHeight="1" x14ac:dyDescent="0.25">
      <c r="V1034" s="2">
        <f>Таблица1[[#This Row],[Дата перевода]]-Таблица1[[#This Row],[Дата поступления]]</f>
        <v>0</v>
      </c>
      <c r="W1034" s="2">
        <f>Таблица1[[#This Row],[Дата поступления]]-Таблица1[[#This Row],[Дата рождения]]</f>
        <v>0</v>
      </c>
    </row>
    <row r="1035" spans="22:23" ht="24.95" customHeight="1" x14ac:dyDescent="0.25">
      <c r="V1035" s="2">
        <f>Таблица1[[#This Row],[Дата перевода]]-Таблица1[[#This Row],[Дата поступления]]</f>
        <v>0</v>
      </c>
      <c r="W1035" s="2">
        <f>Таблица1[[#This Row],[Дата поступления]]-Таблица1[[#This Row],[Дата рождения]]</f>
        <v>0</v>
      </c>
    </row>
    <row r="1036" spans="22:23" ht="24.95" customHeight="1" x14ac:dyDescent="0.25">
      <c r="V1036" s="2">
        <f>Таблица1[[#This Row],[Дата перевода]]-Таблица1[[#This Row],[Дата поступления]]</f>
        <v>0</v>
      </c>
      <c r="W1036" s="2">
        <f>Таблица1[[#This Row],[Дата поступления]]-Таблица1[[#This Row],[Дата рождения]]</f>
        <v>0</v>
      </c>
    </row>
    <row r="1037" spans="22:23" ht="24.95" customHeight="1" x14ac:dyDescent="0.25">
      <c r="V1037" s="2">
        <f>Таблица1[[#This Row],[Дата перевода]]-Таблица1[[#This Row],[Дата поступления]]</f>
        <v>0</v>
      </c>
      <c r="W1037" s="2">
        <f>Таблица1[[#This Row],[Дата поступления]]-Таблица1[[#This Row],[Дата рождения]]</f>
        <v>0</v>
      </c>
    </row>
    <row r="1038" spans="22:23" ht="24.95" customHeight="1" x14ac:dyDescent="0.25">
      <c r="V1038" s="2">
        <f>Таблица1[[#This Row],[Дата перевода]]-Таблица1[[#This Row],[Дата поступления]]</f>
        <v>0</v>
      </c>
      <c r="W1038" s="2">
        <f>Таблица1[[#This Row],[Дата поступления]]-Таблица1[[#This Row],[Дата рождения]]</f>
        <v>0</v>
      </c>
    </row>
    <row r="1039" spans="22:23" ht="24.95" customHeight="1" x14ac:dyDescent="0.25">
      <c r="V1039" s="2">
        <f>Таблица1[[#This Row],[Дата перевода]]-Таблица1[[#This Row],[Дата поступления]]</f>
        <v>0</v>
      </c>
      <c r="W1039" s="2">
        <f>Таблица1[[#This Row],[Дата поступления]]-Таблица1[[#This Row],[Дата рождения]]</f>
        <v>0</v>
      </c>
    </row>
    <row r="1040" spans="22:23" ht="24.95" customHeight="1" x14ac:dyDescent="0.25">
      <c r="V1040" s="2">
        <f>Таблица1[[#This Row],[Дата перевода]]-Таблица1[[#This Row],[Дата поступления]]</f>
        <v>0</v>
      </c>
      <c r="W1040" s="2">
        <f>Таблица1[[#This Row],[Дата поступления]]-Таблица1[[#This Row],[Дата рождения]]</f>
        <v>0</v>
      </c>
    </row>
    <row r="1041" spans="22:23" ht="24.95" customHeight="1" x14ac:dyDescent="0.25">
      <c r="V1041" s="2">
        <f>Таблица1[[#This Row],[Дата перевода]]-Таблица1[[#This Row],[Дата поступления]]</f>
        <v>0</v>
      </c>
      <c r="W1041" s="2">
        <f>Таблица1[[#This Row],[Дата поступления]]-Таблица1[[#This Row],[Дата рождения]]</f>
        <v>0</v>
      </c>
    </row>
    <row r="1042" spans="22:23" ht="24.95" customHeight="1" x14ac:dyDescent="0.25">
      <c r="V1042" s="2">
        <f>Таблица1[[#This Row],[Дата перевода]]-Таблица1[[#This Row],[Дата поступления]]</f>
        <v>0</v>
      </c>
      <c r="W1042" s="2">
        <f>Таблица1[[#This Row],[Дата поступления]]-Таблица1[[#This Row],[Дата рождения]]</f>
        <v>0</v>
      </c>
    </row>
    <row r="1043" spans="22:23" ht="24.95" customHeight="1" x14ac:dyDescent="0.25">
      <c r="V1043" s="2">
        <f>Таблица1[[#This Row],[Дата перевода]]-Таблица1[[#This Row],[Дата поступления]]</f>
        <v>0</v>
      </c>
      <c r="W1043" s="2">
        <f>Таблица1[[#This Row],[Дата поступления]]-Таблица1[[#This Row],[Дата рождения]]</f>
        <v>0</v>
      </c>
    </row>
    <row r="1044" spans="22:23" ht="24.95" customHeight="1" x14ac:dyDescent="0.25">
      <c r="V1044" s="2">
        <f>Таблица1[[#This Row],[Дата перевода]]-Таблица1[[#This Row],[Дата поступления]]</f>
        <v>0</v>
      </c>
      <c r="W1044" s="2">
        <f>Таблица1[[#This Row],[Дата поступления]]-Таблица1[[#This Row],[Дата рождения]]</f>
        <v>0</v>
      </c>
    </row>
    <row r="1045" spans="22:23" ht="24.95" customHeight="1" x14ac:dyDescent="0.25">
      <c r="V1045" s="2">
        <f>Таблица1[[#This Row],[Дата перевода]]-Таблица1[[#This Row],[Дата поступления]]</f>
        <v>0</v>
      </c>
      <c r="W1045" s="2">
        <f>Таблица1[[#This Row],[Дата поступления]]-Таблица1[[#This Row],[Дата рождения]]</f>
        <v>0</v>
      </c>
    </row>
    <row r="1046" spans="22:23" ht="24.95" customHeight="1" x14ac:dyDescent="0.25">
      <c r="V1046" s="2">
        <f>Таблица1[[#This Row],[Дата перевода]]-Таблица1[[#This Row],[Дата поступления]]</f>
        <v>0</v>
      </c>
      <c r="W1046" s="2">
        <f>Таблица1[[#This Row],[Дата поступления]]-Таблица1[[#This Row],[Дата рождения]]</f>
        <v>0</v>
      </c>
    </row>
    <row r="1047" spans="22:23" ht="24.95" customHeight="1" x14ac:dyDescent="0.25">
      <c r="V1047" s="2">
        <f>Таблица1[[#This Row],[Дата перевода]]-Таблица1[[#This Row],[Дата поступления]]</f>
        <v>0</v>
      </c>
      <c r="W1047" s="2">
        <f>Таблица1[[#This Row],[Дата поступления]]-Таблица1[[#This Row],[Дата рождения]]</f>
        <v>0</v>
      </c>
    </row>
    <row r="1048" spans="22:23" ht="24.95" customHeight="1" x14ac:dyDescent="0.25">
      <c r="V1048" s="2">
        <f>Таблица1[[#This Row],[Дата перевода]]-Таблица1[[#This Row],[Дата поступления]]</f>
        <v>0</v>
      </c>
      <c r="W1048" s="2">
        <f>Таблица1[[#This Row],[Дата поступления]]-Таблица1[[#This Row],[Дата рождения]]</f>
        <v>0</v>
      </c>
    </row>
    <row r="1049" spans="22:23" ht="24.95" customHeight="1" x14ac:dyDescent="0.25">
      <c r="V1049" s="2">
        <f>Таблица1[[#This Row],[Дата перевода]]-Таблица1[[#This Row],[Дата поступления]]</f>
        <v>0</v>
      </c>
      <c r="W1049" s="2">
        <f>Таблица1[[#This Row],[Дата поступления]]-Таблица1[[#This Row],[Дата рождения]]</f>
        <v>0</v>
      </c>
    </row>
    <row r="1050" spans="22:23" ht="24.95" customHeight="1" x14ac:dyDescent="0.25">
      <c r="V1050" s="2">
        <f>Таблица1[[#This Row],[Дата перевода]]-Таблица1[[#This Row],[Дата поступления]]</f>
        <v>0</v>
      </c>
      <c r="W1050" s="2">
        <f>Таблица1[[#This Row],[Дата поступления]]-Таблица1[[#This Row],[Дата рождения]]</f>
        <v>0</v>
      </c>
    </row>
    <row r="1051" spans="22:23" ht="24.95" customHeight="1" x14ac:dyDescent="0.25">
      <c r="V1051" s="2">
        <f>Таблица1[[#This Row],[Дата перевода]]-Таблица1[[#This Row],[Дата поступления]]</f>
        <v>0</v>
      </c>
      <c r="W1051" s="2">
        <f>Таблица1[[#This Row],[Дата поступления]]-Таблица1[[#This Row],[Дата рождения]]</f>
        <v>0</v>
      </c>
    </row>
    <row r="1052" spans="22:23" ht="24.95" customHeight="1" x14ac:dyDescent="0.25">
      <c r="V1052" s="2">
        <f>Таблица1[[#This Row],[Дата перевода]]-Таблица1[[#This Row],[Дата поступления]]</f>
        <v>0</v>
      </c>
      <c r="W1052" s="2">
        <f>Таблица1[[#This Row],[Дата поступления]]-Таблица1[[#This Row],[Дата рождения]]</f>
        <v>0</v>
      </c>
    </row>
    <row r="1053" spans="22:23" ht="24.95" customHeight="1" x14ac:dyDescent="0.25">
      <c r="V1053" s="2">
        <f>Таблица1[[#This Row],[Дата перевода]]-Таблица1[[#This Row],[Дата поступления]]</f>
        <v>0</v>
      </c>
      <c r="W1053" s="2">
        <f>Таблица1[[#This Row],[Дата поступления]]-Таблица1[[#This Row],[Дата рождения]]</f>
        <v>0</v>
      </c>
    </row>
    <row r="1054" spans="22:23" ht="24.95" customHeight="1" x14ac:dyDescent="0.25">
      <c r="V1054" s="2">
        <f>Таблица1[[#This Row],[Дата перевода]]-Таблица1[[#This Row],[Дата поступления]]</f>
        <v>0</v>
      </c>
      <c r="W1054" s="2">
        <f>Таблица1[[#This Row],[Дата поступления]]-Таблица1[[#This Row],[Дата рождения]]</f>
        <v>0</v>
      </c>
    </row>
    <row r="1055" spans="22:23" ht="24.95" customHeight="1" x14ac:dyDescent="0.25">
      <c r="V1055" s="2">
        <f>Таблица1[[#This Row],[Дата перевода]]-Таблица1[[#This Row],[Дата поступления]]</f>
        <v>0</v>
      </c>
      <c r="W1055" s="2">
        <f>Таблица1[[#This Row],[Дата поступления]]-Таблица1[[#This Row],[Дата рождения]]</f>
        <v>0</v>
      </c>
    </row>
    <row r="1056" spans="22:23" ht="24.95" customHeight="1" x14ac:dyDescent="0.25">
      <c r="V1056" s="2">
        <f>Таблица1[[#This Row],[Дата перевода]]-Таблица1[[#This Row],[Дата поступления]]</f>
        <v>0</v>
      </c>
      <c r="W1056" s="2">
        <f>Таблица1[[#This Row],[Дата поступления]]-Таблица1[[#This Row],[Дата рождения]]</f>
        <v>0</v>
      </c>
    </row>
    <row r="1057" spans="22:23" ht="24.95" customHeight="1" x14ac:dyDescent="0.25">
      <c r="V1057" s="2">
        <f>Таблица1[[#This Row],[Дата перевода]]-Таблица1[[#This Row],[Дата поступления]]</f>
        <v>0</v>
      </c>
      <c r="W1057" s="2">
        <f>Таблица1[[#This Row],[Дата поступления]]-Таблица1[[#This Row],[Дата рождения]]</f>
        <v>0</v>
      </c>
    </row>
    <row r="1058" spans="22:23" ht="24.95" customHeight="1" x14ac:dyDescent="0.25">
      <c r="V1058" s="2">
        <f>Таблица1[[#This Row],[Дата перевода]]-Таблица1[[#This Row],[Дата поступления]]</f>
        <v>0</v>
      </c>
      <c r="W1058" s="2">
        <f>Таблица1[[#This Row],[Дата поступления]]-Таблица1[[#This Row],[Дата рождения]]</f>
        <v>0</v>
      </c>
    </row>
    <row r="1059" spans="22:23" ht="24.95" customHeight="1" x14ac:dyDescent="0.25">
      <c r="V1059" s="2">
        <f>Таблица1[[#This Row],[Дата перевода]]-Таблица1[[#This Row],[Дата поступления]]</f>
        <v>0</v>
      </c>
      <c r="W1059" s="2">
        <f>Таблица1[[#This Row],[Дата поступления]]-Таблица1[[#This Row],[Дата рождения]]</f>
        <v>0</v>
      </c>
    </row>
    <row r="1060" spans="22:23" ht="24.95" customHeight="1" x14ac:dyDescent="0.25">
      <c r="V1060" s="2">
        <f>Таблица1[[#This Row],[Дата перевода]]-Таблица1[[#This Row],[Дата поступления]]</f>
        <v>0</v>
      </c>
      <c r="W1060" s="2">
        <f>Таблица1[[#This Row],[Дата поступления]]-Таблица1[[#This Row],[Дата рождения]]</f>
        <v>0</v>
      </c>
    </row>
    <row r="1061" spans="22:23" ht="24.95" customHeight="1" x14ac:dyDescent="0.25">
      <c r="V1061" s="2">
        <f>Таблица1[[#This Row],[Дата перевода]]-Таблица1[[#This Row],[Дата поступления]]</f>
        <v>0</v>
      </c>
      <c r="W1061" s="2">
        <f>Таблица1[[#This Row],[Дата поступления]]-Таблица1[[#This Row],[Дата рождения]]</f>
        <v>0</v>
      </c>
    </row>
    <row r="1062" spans="22:23" ht="24.95" customHeight="1" x14ac:dyDescent="0.25">
      <c r="V1062" s="2">
        <f>Таблица1[[#This Row],[Дата перевода]]-Таблица1[[#This Row],[Дата поступления]]</f>
        <v>0</v>
      </c>
      <c r="W1062" s="2">
        <f>Таблица1[[#This Row],[Дата поступления]]-Таблица1[[#This Row],[Дата рождения]]</f>
        <v>0</v>
      </c>
    </row>
    <row r="1063" spans="22:23" ht="24.95" customHeight="1" x14ac:dyDescent="0.25">
      <c r="V1063" s="2">
        <f>Таблица1[[#This Row],[Дата перевода]]-Таблица1[[#This Row],[Дата поступления]]</f>
        <v>0</v>
      </c>
      <c r="W1063" s="2">
        <f>Таблица1[[#This Row],[Дата поступления]]-Таблица1[[#This Row],[Дата рождения]]</f>
        <v>0</v>
      </c>
    </row>
    <row r="1064" spans="22:23" ht="24.95" customHeight="1" x14ac:dyDescent="0.25">
      <c r="V1064" s="2">
        <f>Таблица1[[#This Row],[Дата перевода]]-Таблица1[[#This Row],[Дата поступления]]</f>
        <v>0</v>
      </c>
      <c r="W1064" s="2">
        <f>Таблица1[[#This Row],[Дата поступления]]-Таблица1[[#This Row],[Дата рождения]]</f>
        <v>0</v>
      </c>
    </row>
    <row r="1065" spans="22:23" ht="24.95" customHeight="1" x14ac:dyDescent="0.25">
      <c r="V1065" s="2">
        <f>Таблица1[[#This Row],[Дата перевода]]-Таблица1[[#This Row],[Дата поступления]]</f>
        <v>0</v>
      </c>
      <c r="W1065" s="2">
        <f>Таблица1[[#This Row],[Дата поступления]]-Таблица1[[#This Row],[Дата рождения]]</f>
        <v>0</v>
      </c>
    </row>
    <row r="1066" spans="22:23" ht="24.95" customHeight="1" x14ac:dyDescent="0.25">
      <c r="V1066" s="2">
        <f>Таблица1[[#This Row],[Дата перевода]]-Таблица1[[#This Row],[Дата поступления]]</f>
        <v>0</v>
      </c>
      <c r="W1066" s="2">
        <f>Таблица1[[#This Row],[Дата поступления]]-Таблица1[[#This Row],[Дата рождения]]</f>
        <v>0</v>
      </c>
    </row>
    <row r="1067" spans="22:23" ht="24.95" customHeight="1" x14ac:dyDescent="0.25">
      <c r="V1067" s="2">
        <f>Таблица1[[#This Row],[Дата перевода]]-Таблица1[[#This Row],[Дата поступления]]</f>
        <v>0</v>
      </c>
      <c r="W1067" s="2">
        <f>Таблица1[[#This Row],[Дата поступления]]-Таблица1[[#This Row],[Дата рождения]]</f>
        <v>0</v>
      </c>
    </row>
    <row r="1068" spans="22:23" ht="24.95" customHeight="1" x14ac:dyDescent="0.25">
      <c r="V1068" s="2">
        <f>Таблица1[[#This Row],[Дата перевода]]-Таблица1[[#This Row],[Дата поступления]]</f>
        <v>0</v>
      </c>
      <c r="W1068" s="2">
        <f>Таблица1[[#This Row],[Дата поступления]]-Таблица1[[#This Row],[Дата рождения]]</f>
        <v>0</v>
      </c>
    </row>
    <row r="1069" spans="22:23" ht="24.95" customHeight="1" x14ac:dyDescent="0.25">
      <c r="V1069" s="2">
        <f>Таблица1[[#This Row],[Дата перевода]]-Таблица1[[#This Row],[Дата поступления]]</f>
        <v>0</v>
      </c>
      <c r="W1069" s="2">
        <f>Таблица1[[#This Row],[Дата поступления]]-Таблица1[[#This Row],[Дата рождения]]</f>
        <v>0</v>
      </c>
    </row>
    <row r="1070" spans="22:23" ht="24.95" customHeight="1" x14ac:dyDescent="0.25">
      <c r="V1070" s="2">
        <f>Таблица1[[#This Row],[Дата перевода]]-Таблица1[[#This Row],[Дата поступления]]</f>
        <v>0</v>
      </c>
      <c r="W1070" s="2">
        <f>Таблица1[[#This Row],[Дата поступления]]-Таблица1[[#This Row],[Дата рождения]]</f>
        <v>0</v>
      </c>
    </row>
    <row r="1071" spans="22:23" ht="24.95" customHeight="1" x14ac:dyDescent="0.25">
      <c r="V1071" s="2">
        <f>Таблица1[[#This Row],[Дата перевода]]-Таблица1[[#This Row],[Дата поступления]]</f>
        <v>0</v>
      </c>
      <c r="W1071" s="2">
        <f>Таблица1[[#This Row],[Дата поступления]]-Таблица1[[#This Row],[Дата рождения]]</f>
        <v>0</v>
      </c>
    </row>
    <row r="1072" spans="22:23" ht="24.95" customHeight="1" x14ac:dyDescent="0.25">
      <c r="V1072" s="2">
        <f>Таблица1[[#This Row],[Дата перевода]]-Таблица1[[#This Row],[Дата поступления]]</f>
        <v>0</v>
      </c>
      <c r="W1072" s="2">
        <f>Таблица1[[#This Row],[Дата поступления]]-Таблица1[[#This Row],[Дата рождения]]</f>
        <v>0</v>
      </c>
    </row>
    <row r="1073" spans="22:23" ht="24.95" customHeight="1" x14ac:dyDescent="0.25">
      <c r="V1073" s="2">
        <f>Таблица1[[#This Row],[Дата перевода]]-Таблица1[[#This Row],[Дата поступления]]</f>
        <v>0</v>
      </c>
      <c r="W1073" s="2">
        <f>Таблица1[[#This Row],[Дата поступления]]-Таблица1[[#This Row],[Дата рождения]]</f>
        <v>0</v>
      </c>
    </row>
    <row r="1074" spans="22:23" ht="24.95" customHeight="1" x14ac:dyDescent="0.25">
      <c r="V1074" s="2">
        <f>Таблица1[[#This Row],[Дата перевода]]-Таблица1[[#This Row],[Дата поступления]]</f>
        <v>0</v>
      </c>
      <c r="W1074" s="2">
        <f>Таблица1[[#This Row],[Дата поступления]]-Таблица1[[#This Row],[Дата рождения]]</f>
        <v>0</v>
      </c>
    </row>
    <row r="1075" spans="22:23" ht="24.95" customHeight="1" x14ac:dyDescent="0.25">
      <c r="V1075" s="2">
        <f>Таблица1[[#This Row],[Дата перевода]]-Таблица1[[#This Row],[Дата поступления]]</f>
        <v>0</v>
      </c>
      <c r="W1075" s="2">
        <f>Таблица1[[#This Row],[Дата поступления]]-Таблица1[[#This Row],[Дата рождения]]</f>
        <v>0</v>
      </c>
    </row>
    <row r="1076" spans="22:23" ht="24.95" customHeight="1" x14ac:dyDescent="0.25">
      <c r="V1076" s="2">
        <f>Таблица1[[#This Row],[Дата перевода]]-Таблица1[[#This Row],[Дата поступления]]</f>
        <v>0</v>
      </c>
      <c r="W1076" s="2">
        <f>Таблица1[[#This Row],[Дата поступления]]-Таблица1[[#This Row],[Дата рождения]]</f>
        <v>0</v>
      </c>
    </row>
    <row r="1077" spans="22:23" ht="24.95" customHeight="1" x14ac:dyDescent="0.25">
      <c r="V1077" s="2">
        <f>Таблица1[[#This Row],[Дата перевода]]-Таблица1[[#This Row],[Дата поступления]]</f>
        <v>0</v>
      </c>
      <c r="W1077" s="2">
        <f>Таблица1[[#This Row],[Дата поступления]]-Таблица1[[#This Row],[Дата рождения]]</f>
        <v>0</v>
      </c>
    </row>
    <row r="1078" spans="22:23" ht="24.95" customHeight="1" x14ac:dyDescent="0.25">
      <c r="V1078" s="2">
        <f>Таблица1[[#This Row],[Дата перевода]]-Таблица1[[#This Row],[Дата поступления]]</f>
        <v>0</v>
      </c>
      <c r="W1078" s="2">
        <f>Таблица1[[#This Row],[Дата поступления]]-Таблица1[[#This Row],[Дата рождения]]</f>
        <v>0</v>
      </c>
    </row>
    <row r="1079" spans="22:23" ht="24.95" customHeight="1" x14ac:dyDescent="0.25">
      <c r="V1079" s="2">
        <f>Таблица1[[#This Row],[Дата перевода]]-Таблица1[[#This Row],[Дата поступления]]</f>
        <v>0</v>
      </c>
      <c r="W1079" s="2">
        <f>Таблица1[[#This Row],[Дата поступления]]-Таблица1[[#This Row],[Дата рождения]]</f>
        <v>0</v>
      </c>
    </row>
    <row r="1080" spans="22:23" ht="24.95" customHeight="1" x14ac:dyDescent="0.25">
      <c r="V1080" s="2">
        <f>Таблица1[[#This Row],[Дата перевода]]-Таблица1[[#This Row],[Дата поступления]]</f>
        <v>0</v>
      </c>
      <c r="W1080" s="2">
        <f>Таблица1[[#This Row],[Дата поступления]]-Таблица1[[#This Row],[Дата рождения]]</f>
        <v>0</v>
      </c>
    </row>
    <row r="1081" spans="22:23" ht="24.95" customHeight="1" x14ac:dyDescent="0.25">
      <c r="V1081" s="2">
        <f>Таблица1[[#This Row],[Дата перевода]]-Таблица1[[#This Row],[Дата поступления]]</f>
        <v>0</v>
      </c>
      <c r="W1081" s="2">
        <f>Таблица1[[#This Row],[Дата поступления]]-Таблица1[[#This Row],[Дата рождения]]</f>
        <v>0</v>
      </c>
    </row>
    <row r="1082" spans="22:23" ht="24.95" customHeight="1" x14ac:dyDescent="0.25">
      <c r="V1082" s="2">
        <f>Таблица1[[#This Row],[Дата перевода]]-Таблица1[[#This Row],[Дата поступления]]</f>
        <v>0</v>
      </c>
      <c r="W1082" s="2">
        <f>Таблица1[[#This Row],[Дата поступления]]-Таблица1[[#This Row],[Дата рождения]]</f>
        <v>0</v>
      </c>
    </row>
    <row r="1083" spans="22:23" ht="24.95" customHeight="1" x14ac:dyDescent="0.25">
      <c r="V1083" s="2">
        <f>Таблица1[[#This Row],[Дата перевода]]-Таблица1[[#This Row],[Дата поступления]]</f>
        <v>0</v>
      </c>
      <c r="W1083" s="2">
        <f>Таблица1[[#This Row],[Дата поступления]]-Таблица1[[#This Row],[Дата рождения]]</f>
        <v>0</v>
      </c>
    </row>
    <row r="1084" spans="22:23" ht="24.95" customHeight="1" x14ac:dyDescent="0.25">
      <c r="V1084" s="2">
        <f>Таблица1[[#This Row],[Дата перевода]]-Таблица1[[#This Row],[Дата поступления]]</f>
        <v>0</v>
      </c>
      <c r="W1084" s="2">
        <f>Таблица1[[#This Row],[Дата поступления]]-Таблица1[[#This Row],[Дата рождения]]</f>
        <v>0</v>
      </c>
    </row>
    <row r="1085" spans="22:23" ht="24.95" customHeight="1" x14ac:dyDescent="0.25">
      <c r="V1085" s="2">
        <f>Таблица1[[#This Row],[Дата перевода]]-Таблица1[[#This Row],[Дата поступления]]</f>
        <v>0</v>
      </c>
      <c r="W1085" s="2">
        <f>Таблица1[[#This Row],[Дата поступления]]-Таблица1[[#This Row],[Дата рождения]]</f>
        <v>0</v>
      </c>
    </row>
    <row r="1086" spans="22:23" ht="24.95" customHeight="1" x14ac:dyDescent="0.25">
      <c r="V1086" s="2">
        <f>Таблица1[[#This Row],[Дата перевода]]-Таблица1[[#This Row],[Дата поступления]]</f>
        <v>0</v>
      </c>
      <c r="W1086" s="2">
        <f>Таблица1[[#This Row],[Дата поступления]]-Таблица1[[#This Row],[Дата рождения]]</f>
        <v>0</v>
      </c>
    </row>
    <row r="1087" spans="22:23" ht="24.95" customHeight="1" x14ac:dyDescent="0.25">
      <c r="V1087" s="2">
        <f>Таблица1[[#This Row],[Дата перевода]]-Таблица1[[#This Row],[Дата поступления]]</f>
        <v>0</v>
      </c>
      <c r="W1087" s="2">
        <f>Таблица1[[#This Row],[Дата поступления]]-Таблица1[[#This Row],[Дата рождения]]</f>
        <v>0</v>
      </c>
    </row>
    <row r="1088" spans="22:23" ht="24.95" customHeight="1" x14ac:dyDescent="0.25">
      <c r="V1088" s="2">
        <f>Таблица1[[#This Row],[Дата перевода]]-Таблица1[[#This Row],[Дата поступления]]</f>
        <v>0</v>
      </c>
      <c r="W1088" s="2">
        <f>Таблица1[[#This Row],[Дата поступления]]-Таблица1[[#This Row],[Дата рождения]]</f>
        <v>0</v>
      </c>
    </row>
    <row r="1089" spans="22:23" ht="24.95" customHeight="1" x14ac:dyDescent="0.25">
      <c r="V1089" s="2">
        <f>Таблица1[[#This Row],[Дата перевода]]-Таблица1[[#This Row],[Дата поступления]]</f>
        <v>0</v>
      </c>
      <c r="W1089" s="2">
        <f>Таблица1[[#This Row],[Дата поступления]]-Таблица1[[#This Row],[Дата рождения]]</f>
        <v>0</v>
      </c>
    </row>
    <row r="1090" spans="22:23" ht="24.95" customHeight="1" x14ac:dyDescent="0.25">
      <c r="V1090" s="2">
        <f>Таблица1[[#This Row],[Дата перевода]]-Таблица1[[#This Row],[Дата поступления]]</f>
        <v>0</v>
      </c>
      <c r="W1090" s="2">
        <f>Таблица1[[#This Row],[Дата поступления]]-Таблица1[[#This Row],[Дата рождения]]</f>
        <v>0</v>
      </c>
    </row>
    <row r="1091" spans="22:23" ht="24.95" customHeight="1" x14ac:dyDescent="0.25">
      <c r="V1091" s="2">
        <f>Таблица1[[#This Row],[Дата перевода]]-Таблица1[[#This Row],[Дата поступления]]</f>
        <v>0</v>
      </c>
      <c r="W1091" s="2">
        <f>Таблица1[[#This Row],[Дата поступления]]-Таблица1[[#This Row],[Дата рождения]]</f>
        <v>0</v>
      </c>
    </row>
    <row r="1092" spans="22:23" ht="24.95" customHeight="1" x14ac:dyDescent="0.25">
      <c r="V1092" s="2">
        <f>Таблица1[[#This Row],[Дата перевода]]-Таблица1[[#This Row],[Дата поступления]]</f>
        <v>0</v>
      </c>
      <c r="W1092" s="2">
        <f>Таблица1[[#This Row],[Дата поступления]]-Таблица1[[#This Row],[Дата рождения]]</f>
        <v>0</v>
      </c>
    </row>
    <row r="1093" spans="22:23" ht="24.95" customHeight="1" x14ac:dyDescent="0.25">
      <c r="V1093" s="2">
        <f>Таблица1[[#This Row],[Дата перевода]]-Таблица1[[#This Row],[Дата поступления]]</f>
        <v>0</v>
      </c>
      <c r="W1093" s="2">
        <f>Таблица1[[#This Row],[Дата поступления]]-Таблица1[[#This Row],[Дата рождения]]</f>
        <v>0</v>
      </c>
    </row>
    <row r="1094" spans="22:23" ht="24.95" customHeight="1" x14ac:dyDescent="0.25">
      <c r="V1094" s="2">
        <f>Таблица1[[#This Row],[Дата перевода]]-Таблица1[[#This Row],[Дата поступления]]</f>
        <v>0</v>
      </c>
      <c r="W1094" s="2">
        <f>Таблица1[[#This Row],[Дата поступления]]-Таблица1[[#This Row],[Дата рождения]]</f>
        <v>0</v>
      </c>
    </row>
    <row r="1095" spans="22:23" ht="24.95" customHeight="1" x14ac:dyDescent="0.25">
      <c r="V1095" s="2">
        <f>Таблица1[[#This Row],[Дата перевода]]-Таблица1[[#This Row],[Дата поступления]]</f>
        <v>0</v>
      </c>
      <c r="W1095" s="2">
        <f>Таблица1[[#This Row],[Дата поступления]]-Таблица1[[#This Row],[Дата рождения]]</f>
        <v>0</v>
      </c>
    </row>
    <row r="1096" spans="22:23" ht="24.95" customHeight="1" x14ac:dyDescent="0.25">
      <c r="V1096" s="2">
        <f>Таблица1[[#This Row],[Дата перевода]]-Таблица1[[#This Row],[Дата поступления]]</f>
        <v>0</v>
      </c>
      <c r="W1096" s="2">
        <f>Таблица1[[#This Row],[Дата поступления]]-Таблица1[[#This Row],[Дата рождения]]</f>
        <v>0</v>
      </c>
    </row>
    <row r="1097" spans="22:23" ht="24.95" customHeight="1" x14ac:dyDescent="0.25">
      <c r="V1097" s="2">
        <f>Таблица1[[#This Row],[Дата перевода]]-Таблица1[[#This Row],[Дата поступления]]</f>
        <v>0</v>
      </c>
      <c r="W1097" s="2">
        <f>Таблица1[[#This Row],[Дата поступления]]-Таблица1[[#This Row],[Дата рождения]]</f>
        <v>0</v>
      </c>
    </row>
    <row r="1098" spans="22:23" ht="24.95" customHeight="1" x14ac:dyDescent="0.25">
      <c r="V1098" s="2">
        <f>Таблица1[[#This Row],[Дата перевода]]-Таблица1[[#This Row],[Дата поступления]]</f>
        <v>0</v>
      </c>
      <c r="W1098" s="2">
        <f>Таблица1[[#This Row],[Дата поступления]]-Таблица1[[#This Row],[Дата рождения]]</f>
        <v>0</v>
      </c>
    </row>
    <row r="1099" spans="22:23" ht="24.95" customHeight="1" x14ac:dyDescent="0.25">
      <c r="V1099" s="2">
        <f>Таблица1[[#This Row],[Дата перевода]]-Таблица1[[#This Row],[Дата поступления]]</f>
        <v>0</v>
      </c>
      <c r="W1099" s="2">
        <f>Таблица1[[#This Row],[Дата поступления]]-Таблица1[[#This Row],[Дата рождения]]</f>
        <v>0</v>
      </c>
    </row>
    <row r="1100" spans="22:23" ht="24.95" customHeight="1" x14ac:dyDescent="0.25">
      <c r="V1100" s="2">
        <f>Таблица1[[#This Row],[Дата перевода]]-Таблица1[[#This Row],[Дата поступления]]</f>
        <v>0</v>
      </c>
      <c r="W1100" s="2">
        <f>Таблица1[[#This Row],[Дата поступления]]-Таблица1[[#This Row],[Дата рождения]]</f>
        <v>0</v>
      </c>
    </row>
    <row r="1101" spans="22:23" ht="24.95" customHeight="1" x14ac:dyDescent="0.25">
      <c r="V1101" s="2">
        <f>Таблица1[[#This Row],[Дата перевода]]-Таблица1[[#This Row],[Дата поступления]]</f>
        <v>0</v>
      </c>
      <c r="W1101" s="2">
        <f>Таблица1[[#This Row],[Дата поступления]]-Таблица1[[#This Row],[Дата рождения]]</f>
        <v>0</v>
      </c>
    </row>
    <row r="1102" spans="22:23" ht="24.95" customHeight="1" x14ac:dyDescent="0.25">
      <c r="V1102" s="2">
        <f>Таблица1[[#This Row],[Дата перевода]]-Таблица1[[#This Row],[Дата поступления]]</f>
        <v>0</v>
      </c>
      <c r="W1102" s="2">
        <f>Таблица1[[#This Row],[Дата поступления]]-Таблица1[[#This Row],[Дата рождения]]</f>
        <v>0</v>
      </c>
    </row>
    <row r="1103" spans="22:23" ht="24.95" customHeight="1" x14ac:dyDescent="0.25">
      <c r="V1103" s="2">
        <f>Таблица1[[#This Row],[Дата перевода]]-Таблица1[[#This Row],[Дата поступления]]</f>
        <v>0</v>
      </c>
      <c r="W1103" s="2">
        <f>Таблица1[[#This Row],[Дата поступления]]-Таблица1[[#This Row],[Дата рождения]]</f>
        <v>0</v>
      </c>
    </row>
    <row r="1104" spans="22:23" ht="24.95" customHeight="1" x14ac:dyDescent="0.25">
      <c r="V1104" s="2">
        <f>Таблица1[[#This Row],[Дата перевода]]-Таблица1[[#This Row],[Дата поступления]]</f>
        <v>0</v>
      </c>
      <c r="W1104" s="2">
        <f>Таблица1[[#This Row],[Дата поступления]]-Таблица1[[#This Row],[Дата рождения]]</f>
        <v>0</v>
      </c>
    </row>
    <row r="1105" spans="22:23" ht="24.95" customHeight="1" x14ac:dyDescent="0.25">
      <c r="V1105" s="2">
        <f>Таблица1[[#This Row],[Дата перевода]]-Таблица1[[#This Row],[Дата поступления]]</f>
        <v>0</v>
      </c>
      <c r="W1105" s="2">
        <f>Таблица1[[#This Row],[Дата поступления]]-Таблица1[[#This Row],[Дата рождения]]</f>
        <v>0</v>
      </c>
    </row>
    <row r="1106" spans="22:23" ht="24.95" customHeight="1" x14ac:dyDescent="0.25">
      <c r="V1106" s="2">
        <f>Таблица1[[#This Row],[Дата перевода]]-Таблица1[[#This Row],[Дата поступления]]</f>
        <v>0</v>
      </c>
      <c r="W1106" s="2">
        <f>Таблица1[[#This Row],[Дата поступления]]-Таблица1[[#This Row],[Дата рождения]]</f>
        <v>0</v>
      </c>
    </row>
    <row r="1107" spans="22:23" ht="24.95" customHeight="1" x14ac:dyDescent="0.25">
      <c r="V1107" s="2">
        <f>Таблица1[[#This Row],[Дата перевода]]-Таблица1[[#This Row],[Дата поступления]]</f>
        <v>0</v>
      </c>
      <c r="W1107" s="2">
        <f>Таблица1[[#This Row],[Дата поступления]]-Таблица1[[#This Row],[Дата рождения]]</f>
        <v>0</v>
      </c>
    </row>
    <row r="1108" spans="22:23" ht="24.95" customHeight="1" x14ac:dyDescent="0.25">
      <c r="V1108" s="2">
        <f>Таблица1[[#This Row],[Дата перевода]]-Таблица1[[#This Row],[Дата поступления]]</f>
        <v>0</v>
      </c>
      <c r="W1108" s="2">
        <f>Таблица1[[#This Row],[Дата поступления]]-Таблица1[[#This Row],[Дата рождения]]</f>
        <v>0</v>
      </c>
    </row>
    <row r="1109" spans="22:23" ht="24.95" customHeight="1" x14ac:dyDescent="0.25">
      <c r="V1109" s="2">
        <f>Таблица1[[#This Row],[Дата перевода]]-Таблица1[[#This Row],[Дата поступления]]</f>
        <v>0</v>
      </c>
      <c r="W1109" s="2">
        <f>Таблица1[[#This Row],[Дата поступления]]-Таблица1[[#This Row],[Дата рождения]]</f>
        <v>0</v>
      </c>
    </row>
    <row r="1110" spans="22:23" ht="24.95" customHeight="1" x14ac:dyDescent="0.25">
      <c r="V1110" s="2">
        <f>Таблица1[[#This Row],[Дата перевода]]-Таблица1[[#This Row],[Дата поступления]]</f>
        <v>0</v>
      </c>
      <c r="W1110" s="2">
        <f>Таблица1[[#This Row],[Дата поступления]]-Таблица1[[#This Row],[Дата рождения]]</f>
        <v>0</v>
      </c>
    </row>
    <row r="1111" spans="22:23" ht="24.95" customHeight="1" x14ac:dyDescent="0.25">
      <c r="V1111" s="2">
        <f>Таблица1[[#This Row],[Дата перевода]]-Таблица1[[#This Row],[Дата поступления]]</f>
        <v>0</v>
      </c>
      <c r="W1111" s="2">
        <f>Таблица1[[#This Row],[Дата поступления]]-Таблица1[[#This Row],[Дата рождения]]</f>
        <v>0</v>
      </c>
    </row>
    <row r="1112" spans="22:23" ht="24.95" customHeight="1" x14ac:dyDescent="0.25">
      <c r="V1112" s="2">
        <f>Таблица1[[#This Row],[Дата перевода]]-Таблица1[[#This Row],[Дата поступления]]</f>
        <v>0</v>
      </c>
      <c r="W1112" s="2">
        <f>Таблица1[[#This Row],[Дата поступления]]-Таблица1[[#This Row],[Дата рождения]]</f>
        <v>0</v>
      </c>
    </row>
    <row r="1113" spans="22:23" ht="24.95" customHeight="1" x14ac:dyDescent="0.25">
      <c r="V1113" s="2">
        <f>Таблица1[[#This Row],[Дата перевода]]-Таблица1[[#This Row],[Дата поступления]]</f>
        <v>0</v>
      </c>
      <c r="W1113" s="2">
        <f>Таблица1[[#This Row],[Дата поступления]]-Таблица1[[#This Row],[Дата рождения]]</f>
        <v>0</v>
      </c>
    </row>
    <row r="1114" spans="22:23" ht="24.95" customHeight="1" x14ac:dyDescent="0.25">
      <c r="V1114" s="2">
        <f>Таблица1[[#This Row],[Дата перевода]]-Таблица1[[#This Row],[Дата поступления]]</f>
        <v>0</v>
      </c>
      <c r="W1114" s="2">
        <f>Таблица1[[#This Row],[Дата поступления]]-Таблица1[[#This Row],[Дата рождения]]</f>
        <v>0</v>
      </c>
    </row>
    <row r="1115" spans="22:23" ht="24.95" customHeight="1" x14ac:dyDescent="0.25">
      <c r="V1115" s="2">
        <f>Таблица1[[#This Row],[Дата перевода]]-Таблица1[[#This Row],[Дата поступления]]</f>
        <v>0</v>
      </c>
      <c r="W1115" s="2">
        <f>Таблица1[[#This Row],[Дата поступления]]-Таблица1[[#This Row],[Дата рождения]]</f>
        <v>0</v>
      </c>
    </row>
    <row r="1116" spans="22:23" ht="24.95" customHeight="1" x14ac:dyDescent="0.25">
      <c r="V1116" s="2">
        <f>Таблица1[[#This Row],[Дата перевода]]-Таблица1[[#This Row],[Дата поступления]]</f>
        <v>0</v>
      </c>
      <c r="W1116" s="2">
        <f>Таблица1[[#This Row],[Дата поступления]]-Таблица1[[#This Row],[Дата рождения]]</f>
        <v>0</v>
      </c>
    </row>
    <row r="1117" spans="22:23" ht="24.95" customHeight="1" x14ac:dyDescent="0.25">
      <c r="V1117" s="2">
        <f>Таблица1[[#This Row],[Дата перевода]]-Таблица1[[#This Row],[Дата поступления]]</f>
        <v>0</v>
      </c>
      <c r="W1117" s="2">
        <f>Таблица1[[#This Row],[Дата поступления]]-Таблица1[[#This Row],[Дата рождения]]</f>
        <v>0</v>
      </c>
    </row>
    <row r="1118" spans="22:23" ht="24.95" customHeight="1" x14ac:dyDescent="0.25">
      <c r="V1118" s="2">
        <f>Таблица1[[#This Row],[Дата перевода]]-Таблица1[[#This Row],[Дата поступления]]</f>
        <v>0</v>
      </c>
      <c r="W1118" s="2">
        <f>Таблица1[[#This Row],[Дата поступления]]-Таблица1[[#This Row],[Дата рождения]]</f>
        <v>0</v>
      </c>
    </row>
    <row r="1119" spans="22:23" ht="24.95" customHeight="1" x14ac:dyDescent="0.25">
      <c r="V1119" s="2">
        <f>Таблица1[[#This Row],[Дата перевода]]-Таблица1[[#This Row],[Дата поступления]]</f>
        <v>0</v>
      </c>
      <c r="W1119" s="2">
        <f>Таблица1[[#This Row],[Дата поступления]]-Таблица1[[#This Row],[Дата рождения]]</f>
        <v>0</v>
      </c>
    </row>
    <row r="1120" spans="22:23" ht="24.95" customHeight="1" x14ac:dyDescent="0.25">
      <c r="V1120" s="2">
        <f>Таблица1[[#This Row],[Дата перевода]]-Таблица1[[#This Row],[Дата поступления]]</f>
        <v>0</v>
      </c>
      <c r="W1120" s="2">
        <f>Таблица1[[#This Row],[Дата поступления]]-Таблица1[[#This Row],[Дата рождения]]</f>
        <v>0</v>
      </c>
    </row>
    <row r="1121" spans="22:23" ht="24.95" customHeight="1" x14ac:dyDescent="0.25">
      <c r="V1121" s="2">
        <f>Таблица1[[#This Row],[Дата перевода]]-Таблица1[[#This Row],[Дата поступления]]</f>
        <v>0</v>
      </c>
      <c r="W1121" s="2">
        <f>Таблица1[[#This Row],[Дата поступления]]-Таблица1[[#This Row],[Дата рождения]]</f>
        <v>0</v>
      </c>
    </row>
    <row r="1122" spans="22:23" ht="24.95" customHeight="1" x14ac:dyDescent="0.25">
      <c r="V1122" s="2">
        <f>Таблица1[[#This Row],[Дата перевода]]-Таблица1[[#This Row],[Дата поступления]]</f>
        <v>0</v>
      </c>
      <c r="W1122" s="2">
        <f>Таблица1[[#This Row],[Дата поступления]]-Таблица1[[#This Row],[Дата рождения]]</f>
        <v>0</v>
      </c>
    </row>
    <row r="1123" spans="22:23" ht="24.95" customHeight="1" x14ac:dyDescent="0.25">
      <c r="V1123" s="2">
        <f>Таблица1[[#This Row],[Дата перевода]]-Таблица1[[#This Row],[Дата поступления]]</f>
        <v>0</v>
      </c>
      <c r="W1123" s="2">
        <f>Таблица1[[#This Row],[Дата поступления]]-Таблица1[[#This Row],[Дата рождения]]</f>
        <v>0</v>
      </c>
    </row>
    <row r="1124" spans="22:23" ht="24.95" customHeight="1" x14ac:dyDescent="0.25">
      <c r="V1124" s="2">
        <f>Таблица1[[#This Row],[Дата перевода]]-Таблица1[[#This Row],[Дата поступления]]</f>
        <v>0</v>
      </c>
      <c r="W1124" s="2">
        <f>Таблица1[[#This Row],[Дата поступления]]-Таблица1[[#This Row],[Дата рождения]]</f>
        <v>0</v>
      </c>
    </row>
    <row r="1125" spans="22:23" ht="24.95" customHeight="1" x14ac:dyDescent="0.25">
      <c r="V1125" s="2">
        <f>Таблица1[[#This Row],[Дата перевода]]-Таблица1[[#This Row],[Дата поступления]]</f>
        <v>0</v>
      </c>
      <c r="W1125" s="2">
        <f>Таблица1[[#This Row],[Дата поступления]]-Таблица1[[#This Row],[Дата рождения]]</f>
        <v>0</v>
      </c>
    </row>
    <row r="1126" spans="22:23" ht="24.95" customHeight="1" x14ac:dyDescent="0.25">
      <c r="V1126" s="2">
        <f>Таблица1[[#This Row],[Дата перевода]]-Таблица1[[#This Row],[Дата поступления]]</f>
        <v>0</v>
      </c>
      <c r="W1126" s="2">
        <f>Таблица1[[#This Row],[Дата поступления]]-Таблица1[[#This Row],[Дата рождения]]</f>
        <v>0</v>
      </c>
    </row>
    <row r="1127" spans="22:23" ht="24.95" customHeight="1" x14ac:dyDescent="0.25">
      <c r="V1127" s="2">
        <f>Таблица1[[#This Row],[Дата перевода]]-Таблица1[[#This Row],[Дата поступления]]</f>
        <v>0</v>
      </c>
      <c r="W1127" s="2">
        <f>Таблица1[[#This Row],[Дата поступления]]-Таблица1[[#This Row],[Дата рождения]]</f>
        <v>0</v>
      </c>
    </row>
    <row r="1128" spans="22:23" ht="24.95" customHeight="1" x14ac:dyDescent="0.25">
      <c r="V1128" s="2">
        <f>Таблица1[[#This Row],[Дата перевода]]-Таблица1[[#This Row],[Дата поступления]]</f>
        <v>0</v>
      </c>
      <c r="W1128" s="2">
        <f>Таблица1[[#This Row],[Дата поступления]]-Таблица1[[#This Row],[Дата рождения]]</f>
        <v>0</v>
      </c>
    </row>
    <row r="1129" spans="22:23" ht="24.95" customHeight="1" x14ac:dyDescent="0.25">
      <c r="V1129" s="2">
        <f>Таблица1[[#This Row],[Дата перевода]]-Таблица1[[#This Row],[Дата поступления]]</f>
        <v>0</v>
      </c>
      <c r="W1129" s="2">
        <f>Таблица1[[#This Row],[Дата поступления]]-Таблица1[[#This Row],[Дата рождения]]</f>
        <v>0</v>
      </c>
    </row>
    <row r="1130" spans="22:23" ht="24.95" customHeight="1" x14ac:dyDescent="0.25">
      <c r="V1130" s="2">
        <f>Таблица1[[#This Row],[Дата перевода]]-Таблица1[[#This Row],[Дата поступления]]</f>
        <v>0</v>
      </c>
      <c r="W1130" s="2">
        <f>Таблица1[[#This Row],[Дата поступления]]-Таблица1[[#This Row],[Дата рождения]]</f>
        <v>0</v>
      </c>
    </row>
    <row r="1131" spans="22:23" ht="24.95" customHeight="1" x14ac:dyDescent="0.25">
      <c r="V1131" s="2">
        <f>Таблица1[[#This Row],[Дата перевода]]-Таблица1[[#This Row],[Дата поступления]]</f>
        <v>0</v>
      </c>
      <c r="W1131" s="2">
        <f>Таблица1[[#This Row],[Дата поступления]]-Таблица1[[#This Row],[Дата рождения]]</f>
        <v>0</v>
      </c>
    </row>
    <row r="1132" spans="22:23" ht="24.95" customHeight="1" x14ac:dyDescent="0.25">
      <c r="V1132" s="2">
        <f>Таблица1[[#This Row],[Дата перевода]]-Таблица1[[#This Row],[Дата поступления]]</f>
        <v>0</v>
      </c>
      <c r="W1132" s="2">
        <f>Таблица1[[#This Row],[Дата поступления]]-Таблица1[[#This Row],[Дата рождения]]</f>
        <v>0</v>
      </c>
    </row>
    <row r="1133" spans="22:23" ht="24.95" customHeight="1" x14ac:dyDescent="0.25">
      <c r="V1133" s="2">
        <f>Таблица1[[#This Row],[Дата перевода]]-Таблица1[[#This Row],[Дата поступления]]</f>
        <v>0</v>
      </c>
      <c r="W1133" s="2">
        <f>Таблица1[[#This Row],[Дата поступления]]-Таблица1[[#This Row],[Дата рождения]]</f>
        <v>0</v>
      </c>
    </row>
    <row r="1134" spans="22:23" ht="24.95" customHeight="1" x14ac:dyDescent="0.25">
      <c r="V1134" s="2">
        <f>Таблица1[[#This Row],[Дата перевода]]-Таблица1[[#This Row],[Дата поступления]]</f>
        <v>0</v>
      </c>
      <c r="W1134" s="2">
        <f>Таблица1[[#This Row],[Дата поступления]]-Таблица1[[#This Row],[Дата рождения]]</f>
        <v>0</v>
      </c>
    </row>
    <row r="1135" spans="22:23" ht="24.95" customHeight="1" x14ac:dyDescent="0.25">
      <c r="V1135" s="2">
        <f>Таблица1[[#This Row],[Дата перевода]]-Таблица1[[#This Row],[Дата поступления]]</f>
        <v>0</v>
      </c>
      <c r="W1135" s="2">
        <f>Таблица1[[#This Row],[Дата поступления]]-Таблица1[[#This Row],[Дата рождения]]</f>
        <v>0</v>
      </c>
    </row>
    <row r="1136" spans="22:23" ht="24.95" customHeight="1" x14ac:dyDescent="0.25">
      <c r="V1136" s="2">
        <f>Таблица1[[#This Row],[Дата перевода]]-Таблица1[[#This Row],[Дата поступления]]</f>
        <v>0</v>
      </c>
      <c r="W1136" s="2">
        <f>Таблица1[[#This Row],[Дата поступления]]-Таблица1[[#This Row],[Дата рождения]]</f>
        <v>0</v>
      </c>
    </row>
    <row r="1137" spans="22:23" ht="24.95" customHeight="1" x14ac:dyDescent="0.25">
      <c r="V1137" s="2">
        <f>Таблица1[[#This Row],[Дата перевода]]-Таблица1[[#This Row],[Дата поступления]]</f>
        <v>0</v>
      </c>
      <c r="W1137" s="2">
        <f>Таблица1[[#This Row],[Дата поступления]]-Таблица1[[#This Row],[Дата рождения]]</f>
        <v>0</v>
      </c>
    </row>
    <row r="1138" spans="22:23" ht="24.95" customHeight="1" x14ac:dyDescent="0.25">
      <c r="V1138" s="2">
        <f>Таблица1[[#This Row],[Дата перевода]]-Таблица1[[#This Row],[Дата поступления]]</f>
        <v>0</v>
      </c>
      <c r="W1138" s="2">
        <f>Таблица1[[#This Row],[Дата поступления]]-Таблица1[[#This Row],[Дата рождения]]</f>
        <v>0</v>
      </c>
    </row>
    <row r="1139" spans="22:23" ht="24.95" customHeight="1" x14ac:dyDescent="0.25">
      <c r="V1139" s="2">
        <f>Таблица1[[#This Row],[Дата перевода]]-Таблица1[[#This Row],[Дата поступления]]</f>
        <v>0</v>
      </c>
      <c r="W1139" s="2">
        <f>Таблица1[[#This Row],[Дата поступления]]-Таблица1[[#This Row],[Дата рождения]]</f>
        <v>0</v>
      </c>
    </row>
    <row r="1140" spans="22:23" ht="24.95" customHeight="1" x14ac:dyDescent="0.25">
      <c r="V1140" s="2">
        <f>Таблица1[[#This Row],[Дата перевода]]-Таблица1[[#This Row],[Дата поступления]]</f>
        <v>0</v>
      </c>
      <c r="W1140" s="2">
        <f>Таблица1[[#This Row],[Дата поступления]]-Таблица1[[#This Row],[Дата рождения]]</f>
        <v>0</v>
      </c>
    </row>
    <row r="1141" spans="22:23" ht="24.95" customHeight="1" x14ac:dyDescent="0.25">
      <c r="V1141" s="2">
        <f>Таблица1[[#This Row],[Дата перевода]]-Таблица1[[#This Row],[Дата поступления]]</f>
        <v>0</v>
      </c>
      <c r="W1141" s="2">
        <f>Таблица1[[#This Row],[Дата поступления]]-Таблица1[[#This Row],[Дата рождения]]</f>
        <v>0</v>
      </c>
    </row>
    <row r="1142" spans="22:23" ht="24.95" customHeight="1" x14ac:dyDescent="0.25">
      <c r="V1142" s="2">
        <f>Таблица1[[#This Row],[Дата перевода]]-Таблица1[[#This Row],[Дата поступления]]</f>
        <v>0</v>
      </c>
      <c r="W1142" s="2">
        <f>Таблица1[[#This Row],[Дата поступления]]-Таблица1[[#This Row],[Дата рождения]]</f>
        <v>0</v>
      </c>
    </row>
    <row r="1143" spans="22:23" ht="24.95" customHeight="1" x14ac:dyDescent="0.25">
      <c r="V1143" s="2">
        <f>Таблица1[[#This Row],[Дата перевода]]-Таблица1[[#This Row],[Дата поступления]]</f>
        <v>0</v>
      </c>
      <c r="W1143" s="2">
        <f>Таблица1[[#This Row],[Дата поступления]]-Таблица1[[#This Row],[Дата рождения]]</f>
        <v>0</v>
      </c>
    </row>
    <row r="1144" spans="22:23" ht="24.95" customHeight="1" x14ac:dyDescent="0.25">
      <c r="V1144" s="2">
        <f>Таблица1[[#This Row],[Дата перевода]]-Таблица1[[#This Row],[Дата поступления]]</f>
        <v>0</v>
      </c>
      <c r="W1144" s="2">
        <f>Таблица1[[#This Row],[Дата поступления]]-Таблица1[[#This Row],[Дата рождения]]</f>
        <v>0</v>
      </c>
    </row>
    <row r="1145" spans="22:23" ht="24.95" customHeight="1" x14ac:dyDescent="0.25">
      <c r="V1145" s="2">
        <f>Таблица1[[#This Row],[Дата перевода]]-Таблица1[[#This Row],[Дата поступления]]</f>
        <v>0</v>
      </c>
      <c r="W1145" s="2">
        <f>Таблица1[[#This Row],[Дата поступления]]-Таблица1[[#This Row],[Дата рождения]]</f>
        <v>0</v>
      </c>
    </row>
    <row r="1146" spans="22:23" ht="24.95" customHeight="1" x14ac:dyDescent="0.25">
      <c r="V1146" s="2">
        <f>Таблица1[[#This Row],[Дата перевода]]-Таблица1[[#This Row],[Дата поступления]]</f>
        <v>0</v>
      </c>
      <c r="W1146" s="2">
        <f>Таблица1[[#This Row],[Дата поступления]]-Таблица1[[#This Row],[Дата рождения]]</f>
        <v>0</v>
      </c>
    </row>
    <row r="1147" spans="22:23" ht="24.95" customHeight="1" x14ac:dyDescent="0.25">
      <c r="V1147" s="2">
        <f>Таблица1[[#This Row],[Дата перевода]]-Таблица1[[#This Row],[Дата поступления]]</f>
        <v>0</v>
      </c>
      <c r="W1147" s="2">
        <f>Таблица1[[#This Row],[Дата поступления]]-Таблица1[[#This Row],[Дата рождения]]</f>
        <v>0</v>
      </c>
    </row>
    <row r="1148" spans="22:23" ht="24.95" customHeight="1" x14ac:dyDescent="0.25">
      <c r="V1148" s="2">
        <f>Таблица1[[#This Row],[Дата перевода]]-Таблица1[[#This Row],[Дата поступления]]</f>
        <v>0</v>
      </c>
      <c r="W1148" s="2">
        <f>Таблица1[[#This Row],[Дата поступления]]-Таблица1[[#This Row],[Дата рождения]]</f>
        <v>0</v>
      </c>
    </row>
    <row r="1149" spans="22:23" ht="24.95" customHeight="1" x14ac:dyDescent="0.25">
      <c r="V1149" s="2">
        <f>Таблица1[[#This Row],[Дата перевода]]-Таблица1[[#This Row],[Дата поступления]]</f>
        <v>0</v>
      </c>
      <c r="W1149" s="2">
        <f>Таблица1[[#This Row],[Дата поступления]]-Таблица1[[#This Row],[Дата рождения]]</f>
        <v>0</v>
      </c>
    </row>
    <row r="1150" spans="22:23" ht="24.95" customHeight="1" x14ac:dyDescent="0.25">
      <c r="V1150" s="2">
        <f>Таблица1[[#This Row],[Дата перевода]]-Таблица1[[#This Row],[Дата поступления]]</f>
        <v>0</v>
      </c>
      <c r="W1150" s="2">
        <f>Таблица1[[#This Row],[Дата поступления]]-Таблица1[[#This Row],[Дата рождения]]</f>
        <v>0</v>
      </c>
    </row>
    <row r="1151" spans="22:23" ht="24.95" customHeight="1" x14ac:dyDescent="0.25">
      <c r="V1151" s="2">
        <f>Таблица1[[#This Row],[Дата перевода]]-Таблица1[[#This Row],[Дата поступления]]</f>
        <v>0</v>
      </c>
      <c r="W1151" s="2">
        <f>Таблица1[[#This Row],[Дата поступления]]-Таблица1[[#This Row],[Дата рождения]]</f>
        <v>0</v>
      </c>
    </row>
    <row r="1152" spans="22:23" ht="24.95" customHeight="1" x14ac:dyDescent="0.25">
      <c r="V1152" s="2">
        <f>Таблица1[[#This Row],[Дата перевода]]-Таблица1[[#This Row],[Дата поступления]]</f>
        <v>0</v>
      </c>
      <c r="W1152" s="2">
        <f>Таблица1[[#This Row],[Дата поступления]]-Таблица1[[#This Row],[Дата рождения]]</f>
        <v>0</v>
      </c>
    </row>
    <row r="1153" spans="22:23" ht="24.95" customHeight="1" x14ac:dyDescent="0.25">
      <c r="V1153" s="2">
        <f>Таблица1[[#This Row],[Дата перевода]]-Таблица1[[#This Row],[Дата поступления]]</f>
        <v>0</v>
      </c>
      <c r="W1153" s="2">
        <f>Таблица1[[#This Row],[Дата поступления]]-Таблица1[[#This Row],[Дата рождения]]</f>
        <v>0</v>
      </c>
    </row>
    <row r="1154" spans="22:23" ht="24.95" customHeight="1" x14ac:dyDescent="0.25">
      <c r="V1154" s="2">
        <f>Таблица1[[#This Row],[Дата перевода]]-Таблица1[[#This Row],[Дата поступления]]</f>
        <v>0</v>
      </c>
      <c r="W1154" s="2">
        <f>Таблица1[[#This Row],[Дата поступления]]-Таблица1[[#This Row],[Дата рождения]]</f>
        <v>0</v>
      </c>
    </row>
    <row r="1155" spans="22:23" ht="24.95" customHeight="1" x14ac:dyDescent="0.25">
      <c r="V1155" s="2">
        <f>Таблица1[[#This Row],[Дата перевода]]-Таблица1[[#This Row],[Дата поступления]]</f>
        <v>0</v>
      </c>
      <c r="W1155" s="2">
        <f>Таблица1[[#This Row],[Дата поступления]]-Таблица1[[#This Row],[Дата рождения]]</f>
        <v>0</v>
      </c>
    </row>
    <row r="1156" spans="22:23" ht="24.95" customHeight="1" x14ac:dyDescent="0.25">
      <c r="V1156" s="2">
        <f>Таблица1[[#This Row],[Дата перевода]]-Таблица1[[#This Row],[Дата поступления]]</f>
        <v>0</v>
      </c>
      <c r="W1156" s="2">
        <f>Таблица1[[#This Row],[Дата поступления]]-Таблица1[[#This Row],[Дата рождения]]</f>
        <v>0</v>
      </c>
    </row>
    <row r="1157" spans="22:23" ht="24.95" customHeight="1" x14ac:dyDescent="0.25">
      <c r="V1157" s="2">
        <f>Таблица1[[#This Row],[Дата перевода]]-Таблица1[[#This Row],[Дата поступления]]</f>
        <v>0</v>
      </c>
      <c r="W1157" s="2">
        <f>Таблица1[[#This Row],[Дата поступления]]-Таблица1[[#This Row],[Дата рождения]]</f>
        <v>0</v>
      </c>
    </row>
    <row r="1158" spans="22:23" ht="24.95" customHeight="1" x14ac:dyDescent="0.25">
      <c r="V1158" s="2">
        <f>Таблица1[[#This Row],[Дата перевода]]-Таблица1[[#This Row],[Дата поступления]]</f>
        <v>0</v>
      </c>
      <c r="W1158" s="2">
        <f>Таблица1[[#This Row],[Дата поступления]]-Таблица1[[#This Row],[Дата рождения]]</f>
        <v>0</v>
      </c>
    </row>
    <row r="1159" spans="22:23" ht="24.95" customHeight="1" x14ac:dyDescent="0.25">
      <c r="V1159" s="2">
        <f>Таблица1[[#This Row],[Дата перевода]]-Таблица1[[#This Row],[Дата поступления]]</f>
        <v>0</v>
      </c>
      <c r="W1159" s="2">
        <f>Таблица1[[#This Row],[Дата поступления]]-Таблица1[[#This Row],[Дата рождения]]</f>
        <v>0</v>
      </c>
    </row>
    <row r="1160" spans="22:23" ht="24.95" customHeight="1" x14ac:dyDescent="0.25">
      <c r="V1160" s="2">
        <f>Таблица1[[#This Row],[Дата перевода]]-Таблица1[[#This Row],[Дата поступления]]</f>
        <v>0</v>
      </c>
      <c r="W1160" s="2">
        <f>Таблица1[[#This Row],[Дата поступления]]-Таблица1[[#This Row],[Дата рождения]]</f>
        <v>0</v>
      </c>
    </row>
    <row r="1161" spans="22:23" ht="24.95" customHeight="1" x14ac:dyDescent="0.25">
      <c r="V1161" s="2">
        <f>Таблица1[[#This Row],[Дата перевода]]-Таблица1[[#This Row],[Дата поступления]]</f>
        <v>0</v>
      </c>
      <c r="W1161" s="2">
        <f>Таблица1[[#This Row],[Дата поступления]]-Таблица1[[#This Row],[Дата рождения]]</f>
        <v>0</v>
      </c>
    </row>
    <row r="1162" spans="22:23" ht="24.95" customHeight="1" x14ac:dyDescent="0.25">
      <c r="V1162" s="2">
        <f>Таблица1[[#This Row],[Дата перевода]]-Таблица1[[#This Row],[Дата поступления]]</f>
        <v>0</v>
      </c>
      <c r="W1162" s="2">
        <f>Таблица1[[#This Row],[Дата поступления]]-Таблица1[[#This Row],[Дата рождения]]</f>
        <v>0</v>
      </c>
    </row>
    <row r="1163" spans="22:23" ht="24.95" customHeight="1" x14ac:dyDescent="0.25">
      <c r="V1163" s="2">
        <f>Таблица1[[#This Row],[Дата перевода]]-Таблица1[[#This Row],[Дата поступления]]</f>
        <v>0</v>
      </c>
      <c r="W1163" s="2">
        <f>Таблица1[[#This Row],[Дата поступления]]-Таблица1[[#This Row],[Дата рождения]]</f>
        <v>0</v>
      </c>
    </row>
    <row r="1164" spans="22:23" ht="24.95" customHeight="1" x14ac:dyDescent="0.25">
      <c r="V1164" s="2">
        <f>Таблица1[[#This Row],[Дата перевода]]-Таблица1[[#This Row],[Дата поступления]]</f>
        <v>0</v>
      </c>
      <c r="W1164" s="2">
        <f>Таблица1[[#This Row],[Дата поступления]]-Таблица1[[#This Row],[Дата рождения]]</f>
        <v>0</v>
      </c>
    </row>
    <row r="1165" spans="22:23" ht="24.95" customHeight="1" x14ac:dyDescent="0.25">
      <c r="V1165" s="2">
        <f>Таблица1[[#This Row],[Дата перевода]]-Таблица1[[#This Row],[Дата поступления]]</f>
        <v>0</v>
      </c>
      <c r="W1165" s="2">
        <f>Таблица1[[#This Row],[Дата поступления]]-Таблица1[[#This Row],[Дата рождения]]</f>
        <v>0</v>
      </c>
    </row>
    <row r="1166" spans="22:23" ht="24.95" customHeight="1" x14ac:dyDescent="0.25">
      <c r="V1166" s="2">
        <f>Таблица1[[#This Row],[Дата перевода]]-Таблица1[[#This Row],[Дата поступления]]</f>
        <v>0</v>
      </c>
      <c r="W1166" s="2">
        <f>Таблица1[[#This Row],[Дата поступления]]-Таблица1[[#This Row],[Дата рождения]]</f>
        <v>0</v>
      </c>
    </row>
    <row r="1167" spans="22:23" ht="24.95" customHeight="1" x14ac:dyDescent="0.25">
      <c r="V1167" s="2">
        <f>Таблица1[[#This Row],[Дата перевода]]-Таблица1[[#This Row],[Дата поступления]]</f>
        <v>0</v>
      </c>
      <c r="W1167" s="2">
        <f>Таблица1[[#This Row],[Дата поступления]]-Таблица1[[#This Row],[Дата рождения]]</f>
        <v>0</v>
      </c>
    </row>
    <row r="1168" spans="22:23" ht="24.95" customHeight="1" x14ac:dyDescent="0.25">
      <c r="V1168" s="2">
        <f>Таблица1[[#This Row],[Дата перевода]]-Таблица1[[#This Row],[Дата поступления]]</f>
        <v>0</v>
      </c>
      <c r="W1168" s="2">
        <f>Таблица1[[#This Row],[Дата поступления]]-Таблица1[[#This Row],[Дата рождения]]</f>
        <v>0</v>
      </c>
    </row>
    <row r="1169" spans="22:23" ht="24.95" customHeight="1" x14ac:dyDescent="0.25">
      <c r="V1169" s="2">
        <f>Таблица1[[#This Row],[Дата перевода]]-Таблица1[[#This Row],[Дата поступления]]</f>
        <v>0</v>
      </c>
      <c r="W1169" s="2">
        <f>Таблица1[[#This Row],[Дата поступления]]-Таблица1[[#This Row],[Дата рождения]]</f>
        <v>0</v>
      </c>
    </row>
    <row r="1170" spans="22:23" ht="24.95" customHeight="1" x14ac:dyDescent="0.25">
      <c r="V1170" s="2">
        <f>Таблица1[[#This Row],[Дата перевода]]-Таблица1[[#This Row],[Дата поступления]]</f>
        <v>0</v>
      </c>
      <c r="W1170" s="2">
        <f>Таблица1[[#This Row],[Дата поступления]]-Таблица1[[#This Row],[Дата рождения]]</f>
        <v>0</v>
      </c>
    </row>
    <row r="1171" spans="22:23" ht="24.95" customHeight="1" x14ac:dyDescent="0.25">
      <c r="V1171" s="2">
        <f>Таблица1[[#This Row],[Дата перевода]]-Таблица1[[#This Row],[Дата поступления]]</f>
        <v>0</v>
      </c>
      <c r="W1171" s="2">
        <f>Таблица1[[#This Row],[Дата поступления]]-Таблица1[[#This Row],[Дата рождения]]</f>
        <v>0</v>
      </c>
    </row>
    <row r="1172" spans="22:23" ht="24.95" customHeight="1" x14ac:dyDescent="0.25">
      <c r="V1172" s="2">
        <f>Таблица1[[#This Row],[Дата перевода]]-Таблица1[[#This Row],[Дата поступления]]</f>
        <v>0</v>
      </c>
      <c r="W1172" s="2">
        <f>Таблица1[[#This Row],[Дата поступления]]-Таблица1[[#This Row],[Дата рождения]]</f>
        <v>0</v>
      </c>
    </row>
    <row r="1173" spans="22:23" ht="24.95" customHeight="1" x14ac:dyDescent="0.25">
      <c r="V1173" s="2">
        <f>Таблица1[[#This Row],[Дата перевода]]-Таблица1[[#This Row],[Дата поступления]]</f>
        <v>0</v>
      </c>
      <c r="W1173" s="2">
        <f>Таблица1[[#This Row],[Дата поступления]]-Таблица1[[#This Row],[Дата рождения]]</f>
        <v>0</v>
      </c>
    </row>
    <row r="1174" spans="22:23" ht="24.95" customHeight="1" x14ac:dyDescent="0.25">
      <c r="V1174" s="2">
        <f>Таблица1[[#This Row],[Дата перевода]]-Таблица1[[#This Row],[Дата поступления]]</f>
        <v>0</v>
      </c>
      <c r="W1174" s="2">
        <f>Таблица1[[#This Row],[Дата поступления]]-Таблица1[[#This Row],[Дата рождения]]</f>
        <v>0</v>
      </c>
    </row>
    <row r="1175" spans="22:23" ht="24.95" customHeight="1" x14ac:dyDescent="0.25">
      <c r="V1175" s="2">
        <f>Таблица1[[#This Row],[Дата перевода]]-Таблица1[[#This Row],[Дата поступления]]</f>
        <v>0</v>
      </c>
      <c r="W1175" s="2">
        <f>Таблица1[[#This Row],[Дата поступления]]-Таблица1[[#This Row],[Дата рождения]]</f>
        <v>0</v>
      </c>
    </row>
    <row r="1176" spans="22:23" ht="24.95" customHeight="1" x14ac:dyDescent="0.25">
      <c r="V1176" s="2">
        <f>Таблица1[[#This Row],[Дата перевода]]-Таблица1[[#This Row],[Дата поступления]]</f>
        <v>0</v>
      </c>
      <c r="W1176" s="2">
        <f>Таблица1[[#This Row],[Дата поступления]]-Таблица1[[#This Row],[Дата рождения]]</f>
        <v>0</v>
      </c>
    </row>
    <row r="1177" spans="22:23" ht="24.95" customHeight="1" x14ac:dyDescent="0.25">
      <c r="V1177" s="2">
        <f>Таблица1[[#This Row],[Дата перевода]]-Таблица1[[#This Row],[Дата поступления]]</f>
        <v>0</v>
      </c>
      <c r="W1177" s="2">
        <f>Таблица1[[#This Row],[Дата поступления]]-Таблица1[[#This Row],[Дата рождения]]</f>
        <v>0</v>
      </c>
    </row>
    <row r="1178" spans="22:23" ht="24.95" customHeight="1" x14ac:dyDescent="0.25">
      <c r="V1178" s="2">
        <f>Таблица1[[#This Row],[Дата перевода]]-Таблица1[[#This Row],[Дата поступления]]</f>
        <v>0</v>
      </c>
      <c r="W1178" s="2">
        <f>Таблица1[[#This Row],[Дата поступления]]-Таблица1[[#This Row],[Дата рождения]]</f>
        <v>0</v>
      </c>
    </row>
    <row r="1179" spans="22:23" ht="24.95" customHeight="1" x14ac:dyDescent="0.25">
      <c r="V1179" s="2">
        <f>Таблица1[[#This Row],[Дата перевода]]-Таблица1[[#This Row],[Дата поступления]]</f>
        <v>0</v>
      </c>
      <c r="W1179" s="2">
        <f>Таблица1[[#This Row],[Дата поступления]]-Таблица1[[#This Row],[Дата рождения]]</f>
        <v>0</v>
      </c>
    </row>
    <row r="1180" spans="22:23" ht="24.95" customHeight="1" x14ac:dyDescent="0.25">
      <c r="V1180" s="2">
        <f>Таблица1[[#This Row],[Дата перевода]]-Таблица1[[#This Row],[Дата поступления]]</f>
        <v>0</v>
      </c>
      <c r="W1180" s="2">
        <f>Таблица1[[#This Row],[Дата поступления]]-Таблица1[[#This Row],[Дата рождения]]</f>
        <v>0</v>
      </c>
    </row>
    <row r="1181" spans="22:23" ht="24.95" customHeight="1" x14ac:dyDescent="0.25">
      <c r="V1181" s="2">
        <f>Таблица1[[#This Row],[Дата перевода]]-Таблица1[[#This Row],[Дата поступления]]</f>
        <v>0</v>
      </c>
      <c r="W1181" s="2">
        <f>Таблица1[[#This Row],[Дата поступления]]-Таблица1[[#This Row],[Дата рождения]]</f>
        <v>0</v>
      </c>
    </row>
    <row r="1182" spans="22:23" ht="24.95" customHeight="1" x14ac:dyDescent="0.25">
      <c r="V1182" s="2">
        <f>Таблица1[[#This Row],[Дата перевода]]-Таблица1[[#This Row],[Дата поступления]]</f>
        <v>0</v>
      </c>
      <c r="W1182" s="2">
        <f>Таблица1[[#This Row],[Дата поступления]]-Таблица1[[#This Row],[Дата рождения]]</f>
        <v>0</v>
      </c>
    </row>
    <row r="1183" spans="22:23" ht="24.95" customHeight="1" x14ac:dyDescent="0.25">
      <c r="V1183" s="2">
        <f>Таблица1[[#This Row],[Дата перевода]]-Таблица1[[#This Row],[Дата поступления]]</f>
        <v>0</v>
      </c>
      <c r="W1183" s="2">
        <f>Таблица1[[#This Row],[Дата поступления]]-Таблица1[[#This Row],[Дата рождения]]</f>
        <v>0</v>
      </c>
    </row>
    <row r="1184" spans="22:23" ht="24.95" customHeight="1" x14ac:dyDescent="0.25">
      <c r="V1184" s="2">
        <f>Таблица1[[#This Row],[Дата перевода]]-Таблица1[[#This Row],[Дата поступления]]</f>
        <v>0</v>
      </c>
      <c r="W1184" s="2">
        <f>Таблица1[[#This Row],[Дата поступления]]-Таблица1[[#This Row],[Дата рождения]]</f>
        <v>0</v>
      </c>
    </row>
    <row r="1185" spans="22:23" ht="24.95" customHeight="1" x14ac:dyDescent="0.25">
      <c r="V1185" s="2">
        <f>Таблица1[[#This Row],[Дата перевода]]-Таблица1[[#This Row],[Дата поступления]]</f>
        <v>0</v>
      </c>
      <c r="W1185" s="2">
        <f>Таблица1[[#This Row],[Дата поступления]]-Таблица1[[#This Row],[Дата рождения]]</f>
        <v>0</v>
      </c>
    </row>
    <row r="1186" spans="22:23" ht="24.95" customHeight="1" x14ac:dyDescent="0.25">
      <c r="V1186" s="2">
        <f>Таблица1[[#This Row],[Дата перевода]]-Таблица1[[#This Row],[Дата поступления]]</f>
        <v>0</v>
      </c>
      <c r="W1186" s="2">
        <f>Таблица1[[#This Row],[Дата поступления]]-Таблица1[[#This Row],[Дата рождения]]</f>
        <v>0</v>
      </c>
    </row>
    <row r="1187" spans="22:23" ht="24.95" customHeight="1" x14ac:dyDescent="0.25">
      <c r="V1187" s="2">
        <f>Таблица1[[#This Row],[Дата перевода]]-Таблица1[[#This Row],[Дата поступления]]</f>
        <v>0</v>
      </c>
      <c r="W1187" s="2">
        <f>Таблица1[[#This Row],[Дата поступления]]-Таблица1[[#This Row],[Дата рождения]]</f>
        <v>0</v>
      </c>
    </row>
    <row r="1188" spans="22:23" ht="24.95" customHeight="1" x14ac:dyDescent="0.25">
      <c r="V1188" s="2">
        <f>Таблица1[[#This Row],[Дата перевода]]-Таблица1[[#This Row],[Дата поступления]]</f>
        <v>0</v>
      </c>
      <c r="W1188" s="2">
        <f>Таблица1[[#This Row],[Дата поступления]]-Таблица1[[#This Row],[Дата рождения]]</f>
        <v>0</v>
      </c>
    </row>
    <row r="1189" spans="22:23" ht="24.95" customHeight="1" x14ac:dyDescent="0.25">
      <c r="V1189" s="2">
        <f>Таблица1[[#This Row],[Дата перевода]]-Таблица1[[#This Row],[Дата поступления]]</f>
        <v>0</v>
      </c>
      <c r="W1189" s="2">
        <f>Таблица1[[#This Row],[Дата поступления]]-Таблица1[[#This Row],[Дата рождения]]</f>
        <v>0</v>
      </c>
    </row>
    <row r="1190" spans="22:23" ht="24.95" customHeight="1" x14ac:dyDescent="0.25">
      <c r="V1190" s="2">
        <f>Таблица1[[#This Row],[Дата перевода]]-Таблица1[[#This Row],[Дата поступления]]</f>
        <v>0</v>
      </c>
      <c r="W1190" s="2">
        <f>Таблица1[[#This Row],[Дата поступления]]-Таблица1[[#This Row],[Дата рождения]]</f>
        <v>0</v>
      </c>
    </row>
    <row r="1191" spans="22:23" ht="24.95" customHeight="1" x14ac:dyDescent="0.25">
      <c r="V1191" s="2">
        <f>Таблица1[[#This Row],[Дата перевода]]-Таблица1[[#This Row],[Дата поступления]]</f>
        <v>0</v>
      </c>
      <c r="W1191" s="2">
        <f>Таблица1[[#This Row],[Дата поступления]]-Таблица1[[#This Row],[Дата рождения]]</f>
        <v>0</v>
      </c>
    </row>
    <row r="1192" spans="22:23" ht="24.95" customHeight="1" x14ac:dyDescent="0.25">
      <c r="V1192" s="2">
        <f>Таблица1[[#This Row],[Дата перевода]]-Таблица1[[#This Row],[Дата поступления]]</f>
        <v>0</v>
      </c>
      <c r="W1192" s="2">
        <f>Таблица1[[#This Row],[Дата поступления]]-Таблица1[[#This Row],[Дата рождения]]</f>
        <v>0</v>
      </c>
    </row>
    <row r="1193" spans="22:23" ht="24.95" customHeight="1" x14ac:dyDescent="0.25">
      <c r="V1193" s="2">
        <f>Таблица1[[#This Row],[Дата перевода]]-Таблица1[[#This Row],[Дата поступления]]</f>
        <v>0</v>
      </c>
      <c r="W1193" s="2">
        <f>Таблица1[[#This Row],[Дата поступления]]-Таблица1[[#This Row],[Дата рождения]]</f>
        <v>0</v>
      </c>
    </row>
    <row r="1194" spans="22:23" ht="24.95" customHeight="1" x14ac:dyDescent="0.25">
      <c r="V1194" s="2">
        <f>Таблица1[[#This Row],[Дата перевода]]-Таблица1[[#This Row],[Дата поступления]]</f>
        <v>0</v>
      </c>
      <c r="W1194" s="2">
        <f>Таблица1[[#This Row],[Дата поступления]]-Таблица1[[#This Row],[Дата рождения]]</f>
        <v>0</v>
      </c>
    </row>
    <row r="1195" spans="22:23" ht="24.95" customHeight="1" x14ac:dyDescent="0.25">
      <c r="V1195" s="2">
        <f>Таблица1[[#This Row],[Дата перевода]]-Таблица1[[#This Row],[Дата поступления]]</f>
        <v>0</v>
      </c>
      <c r="W1195" s="2">
        <f>Таблица1[[#This Row],[Дата поступления]]-Таблица1[[#This Row],[Дата рождения]]</f>
        <v>0</v>
      </c>
    </row>
    <row r="1196" spans="22:23" ht="24.95" customHeight="1" x14ac:dyDescent="0.25">
      <c r="V1196" s="2">
        <f>Таблица1[[#This Row],[Дата перевода]]-Таблица1[[#This Row],[Дата поступления]]</f>
        <v>0</v>
      </c>
      <c r="W1196" s="2">
        <f>Таблица1[[#This Row],[Дата поступления]]-Таблица1[[#This Row],[Дата рождения]]</f>
        <v>0</v>
      </c>
    </row>
    <row r="1197" spans="22:23" ht="24.95" customHeight="1" x14ac:dyDescent="0.25">
      <c r="V1197" s="2">
        <f>Таблица1[[#This Row],[Дата перевода]]-Таблица1[[#This Row],[Дата поступления]]</f>
        <v>0</v>
      </c>
      <c r="W1197" s="2">
        <f>Таблица1[[#This Row],[Дата поступления]]-Таблица1[[#This Row],[Дата рождения]]</f>
        <v>0</v>
      </c>
    </row>
    <row r="1198" spans="22:23" ht="24.95" customHeight="1" x14ac:dyDescent="0.25">
      <c r="V1198" s="2">
        <f>Таблица1[[#This Row],[Дата перевода]]-Таблица1[[#This Row],[Дата поступления]]</f>
        <v>0</v>
      </c>
      <c r="W1198" s="2">
        <f>Таблица1[[#This Row],[Дата поступления]]-Таблица1[[#This Row],[Дата рождения]]</f>
        <v>0</v>
      </c>
    </row>
    <row r="1199" spans="22:23" ht="24.95" customHeight="1" x14ac:dyDescent="0.25">
      <c r="V1199" s="2">
        <f>Таблица1[[#This Row],[Дата перевода]]-Таблица1[[#This Row],[Дата поступления]]</f>
        <v>0</v>
      </c>
      <c r="W1199" s="2">
        <f>Таблица1[[#This Row],[Дата поступления]]-Таблица1[[#This Row],[Дата рождения]]</f>
        <v>0</v>
      </c>
    </row>
    <row r="1200" spans="22:23" ht="24.95" customHeight="1" x14ac:dyDescent="0.25">
      <c r="V1200" s="2">
        <f>Таблица1[[#This Row],[Дата перевода]]-Таблица1[[#This Row],[Дата поступления]]</f>
        <v>0</v>
      </c>
      <c r="W1200" s="2">
        <f>Таблица1[[#This Row],[Дата поступления]]-Таблица1[[#This Row],[Дата рождения]]</f>
        <v>0</v>
      </c>
    </row>
    <row r="1201" spans="22:23" ht="24.95" customHeight="1" x14ac:dyDescent="0.25">
      <c r="V1201" s="2">
        <f>Таблица1[[#This Row],[Дата перевода]]-Таблица1[[#This Row],[Дата поступления]]</f>
        <v>0</v>
      </c>
      <c r="W1201" s="2">
        <f>Таблица1[[#This Row],[Дата поступления]]-Таблица1[[#This Row],[Дата рождения]]</f>
        <v>0</v>
      </c>
    </row>
    <row r="1202" spans="22:23" ht="24.95" customHeight="1" x14ac:dyDescent="0.25">
      <c r="V1202" s="2">
        <f>Таблица1[[#This Row],[Дата перевода]]-Таблица1[[#This Row],[Дата поступления]]</f>
        <v>0</v>
      </c>
      <c r="W1202" s="2">
        <f>Таблица1[[#This Row],[Дата поступления]]-Таблица1[[#This Row],[Дата рождения]]</f>
        <v>0</v>
      </c>
    </row>
    <row r="1203" spans="22:23" ht="24.95" customHeight="1" x14ac:dyDescent="0.25">
      <c r="V1203" s="2">
        <f>Таблица1[[#This Row],[Дата перевода]]-Таблица1[[#This Row],[Дата поступления]]</f>
        <v>0</v>
      </c>
      <c r="W1203" s="2">
        <f>Таблица1[[#This Row],[Дата поступления]]-Таблица1[[#This Row],[Дата рождения]]</f>
        <v>0</v>
      </c>
    </row>
    <row r="1204" spans="22:23" ht="24.95" customHeight="1" x14ac:dyDescent="0.25">
      <c r="V1204" s="2">
        <f>Таблица1[[#This Row],[Дата перевода]]-Таблица1[[#This Row],[Дата поступления]]</f>
        <v>0</v>
      </c>
      <c r="W1204" s="2">
        <f>Таблица1[[#This Row],[Дата поступления]]-Таблица1[[#This Row],[Дата рождения]]</f>
        <v>0</v>
      </c>
    </row>
    <row r="1205" spans="22:23" ht="24.95" customHeight="1" x14ac:dyDescent="0.25">
      <c r="V1205" s="2">
        <f>Таблица1[[#This Row],[Дата перевода]]-Таблица1[[#This Row],[Дата поступления]]</f>
        <v>0</v>
      </c>
      <c r="W1205" s="2">
        <f>Таблица1[[#This Row],[Дата поступления]]-Таблица1[[#This Row],[Дата рождения]]</f>
        <v>0</v>
      </c>
    </row>
    <row r="1206" spans="22:23" ht="24.95" customHeight="1" x14ac:dyDescent="0.25">
      <c r="V1206" s="2">
        <f>Таблица1[[#This Row],[Дата перевода]]-Таблица1[[#This Row],[Дата поступления]]</f>
        <v>0</v>
      </c>
      <c r="W1206" s="2">
        <f>Таблица1[[#This Row],[Дата поступления]]-Таблица1[[#This Row],[Дата рождения]]</f>
        <v>0</v>
      </c>
    </row>
    <row r="1207" spans="22:23" ht="24.95" customHeight="1" x14ac:dyDescent="0.25">
      <c r="V1207" s="2">
        <f>Таблица1[[#This Row],[Дата перевода]]-Таблица1[[#This Row],[Дата поступления]]</f>
        <v>0</v>
      </c>
      <c r="W1207" s="2">
        <f>Таблица1[[#This Row],[Дата поступления]]-Таблица1[[#This Row],[Дата рождения]]</f>
        <v>0</v>
      </c>
    </row>
    <row r="1208" spans="22:23" ht="24.95" customHeight="1" x14ac:dyDescent="0.25">
      <c r="V1208" s="2">
        <f>Таблица1[[#This Row],[Дата перевода]]-Таблица1[[#This Row],[Дата поступления]]</f>
        <v>0</v>
      </c>
      <c r="W1208" s="2">
        <f>Таблица1[[#This Row],[Дата поступления]]-Таблица1[[#This Row],[Дата рождения]]</f>
        <v>0</v>
      </c>
    </row>
    <row r="1209" spans="22:23" ht="24.95" customHeight="1" x14ac:dyDescent="0.25">
      <c r="V1209" s="2">
        <f>Таблица1[[#This Row],[Дата перевода]]-Таблица1[[#This Row],[Дата поступления]]</f>
        <v>0</v>
      </c>
      <c r="W1209" s="2">
        <f>Таблица1[[#This Row],[Дата поступления]]-Таблица1[[#This Row],[Дата рождения]]</f>
        <v>0</v>
      </c>
    </row>
    <row r="1210" spans="22:23" ht="24.95" customHeight="1" x14ac:dyDescent="0.25">
      <c r="V1210" s="2">
        <f>Таблица1[[#This Row],[Дата перевода]]-Таблица1[[#This Row],[Дата поступления]]</f>
        <v>0</v>
      </c>
      <c r="W1210" s="2">
        <f>Таблица1[[#This Row],[Дата поступления]]-Таблица1[[#This Row],[Дата рождения]]</f>
        <v>0</v>
      </c>
    </row>
    <row r="1211" spans="22:23" ht="24.95" customHeight="1" x14ac:dyDescent="0.25">
      <c r="V1211" s="2">
        <f>Таблица1[[#This Row],[Дата перевода]]-Таблица1[[#This Row],[Дата поступления]]</f>
        <v>0</v>
      </c>
      <c r="W1211" s="2">
        <f>Таблица1[[#This Row],[Дата поступления]]-Таблица1[[#This Row],[Дата рождения]]</f>
        <v>0</v>
      </c>
    </row>
    <row r="1212" spans="22:23" ht="24.95" customHeight="1" x14ac:dyDescent="0.25">
      <c r="V1212" s="2">
        <f>Таблица1[[#This Row],[Дата перевода]]-Таблица1[[#This Row],[Дата поступления]]</f>
        <v>0</v>
      </c>
      <c r="W1212" s="2">
        <f>Таблица1[[#This Row],[Дата поступления]]-Таблица1[[#This Row],[Дата рождения]]</f>
        <v>0</v>
      </c>
    </row>
    <row r="1213" spans="22:23" ht="24.95" customHeight="1" x14ac:dyDescent="0.25">
      <c r="V1213" s="2">
        <f>Таблица1[[#This Row],[Дата перевода]]-Таблица1[[#This Row],[Дата поступления]]</f>
        <v>0</v>
      </c>
      <c r="W1213" s="2">
        <f>Таблица1[[#This Row],[Дата поступления]]-Таблица1[[#This Row],[Дата рождения]]</f>
        <v>0</v>
      </c>
    </row>
    <row r="1214" spans="22:23" ht="24.95" customHeight="1" x14ac:dyDescent="0.25">
      <c r="V1214" s="2">
        <f>Таблица1[[#This Row],[Дата перевода]]-Таблица1[[#This Row],[Дата поступления]]</f>
        <v>0</v>
      </c>
      <c r="W1214" s="2">
        <f>Таблица1[[#This Row],[Дата поступления]]-Таблица1[[#This Row],[Дата рождения]]</f>
        <v>0</v>
      </c>
    </row>
    <row r="1215" spans="22:23" ht="24.95" customHeight="1" x14ac:dyDescent="0.25">
      <c r="V1215" s="2">
        <f>Таблица1[[#This Row],[Дата перевода]]-Таблица1[[#This Row],[Дата поступления]]</f>
        <v>0</v>
      </c>
      <c r="W1215" s="2">
        <f>Таблица1[[#This Row],[Дата поступления]]-Таблица1[[#This Row],[Дата рождения]]</f>
        <v>0</v>
      </c>
    </row>
    <row r="1216" spans="22:23" ht="24.95" customHeight="1" x14ac:dyDescent="0.25">
      <c r="V1216" s="2">
        <f>Таблица1[[#This Row],[Дата перевода]]-Таблица1[[#This Row],[Дата поступления]]</f>
        <v>0</v>
      </c>
      <c r="W1216" s="2">
        <f>Таблица1[[#This Row],[Дата поступления]]-Таблица1[[#This Row],[Дата рождения]]</f>
        <v>0</v>
      </c>
    </row>
    <row r="1217" spans="22:23" ht="24.95" customHeight="1" x14ac:dyDescent="0.25">
      <c r="V1217" s="2">
        <f>Таблица1[[#This Row],[Дата перевода]]-Таблица1[[#This Row],[Дата поступления]]</f>
        <v>0</v>
      </c>
      <c r="W1217" s="2">
        <f>Таблица1[[#This Row],[Дата поступления]]-Таблица1[[#This Row],[Дата рождения]]</f>
        <v>0</v>
      </c>
    </row>
    <row r="1218" spans="22:23" ht="24.95" customHeight="1" x14ac:dyDescent="0.25">
      <c r="V1218" s="2">
        <f>Таблица1[[#This Row],[Дата перевода]]-Таблица1[[#This Row],[Дата поступления]]</f>
        <v>0</v>
      </c>
      <c r="W1218" s="2">
        <f>Таблица1[[#This Row],[Дата поступления]]-Таблица1[[#This Row],[Дата рождения]]</f>
        <v>0</v>
      </c>
    </row>
    <row r="1219" spans="22:23" ht="24.95" customHeight="1" x14ac:dyDescent="0.25">
      <c r="V1219" s="2">
        <f>Таблица1[[#This Row],[Дата перевода]]-Таблица1[[#This Row],[Дата поступления]]</f>
        <v>0</v>
      </c>
      <c r="W1219" s="2">
        <f>Таблица1[[#This Row],[Дата поступления]]-Таблица1[[#This Row],[Дата рождения]]</f>
        <v>0</v>
      </c>
    </row>
    <row r="1220" spans="22:23" ht="24.95" customHeight="1" x14ac:dyDescent="0.25">
      <c r="V1220" s="2">
        <f>Таблица1[[#This Row],[Дата перевода]]-Таблица1[[#This Row],[Дата поступления]]</f>
        <v>0</v>
      </c>
      <c r="W1220" s="2">
        <f>Таблица1[[#This Row],[Дата поступления]]-Таблица1[[#This Row],[Дата рождения]]</f>
        <v>0</v>
      </c>
    </row>
    <row r="1221" spans="22:23" ht="24.95" customHeight="1" x14ac:dyDescent="0.25">
      <c r="V1221" s="2">
        <f>Таблица1[[#This Row],[Дата перевода]]-Таблица1[[#This Row],[Дата поступления]]</f>
        <v>0</v>
      </c>
      <c r="W1221" s="2">
        <f>Таблица1[[#This Row],[Дата поступления]]-Таблица1[[#This Row],[Дата рождения]]</f>
        <v>0</v>
      </c>
    </row>
    <row r="1222" spans="22:23" ht="24.95" customHeight="1" x14ac:dyDescent="0.25">
      <c r="V1222" s="2">
        <f>Таблица1[[#This Row],[Дата перевода]]-Таблица1[[#This Row],[Дата поступления]]</f>
        <v>0</v>
      </c>
      <c r="W1222" s="2">
        <f>Таблица1[[#This Row],[Дата поступления]]-Таблица1[[#This Row],[Дата рождения]]</f>
        <v>0</v>
      </c>
    </row>
    <row r="1223" spans="22:23" ht="24.95" customHeight="1" x14ac:dyDescent="0.25">
      <c r="V1223" s="2">
        <f>Таблица1[[#This Row],[Дата перевода]]-Таблица1[[#This Row],[Дата поступления]]</f>
        <v>0</v>
      </c>
      <c r="W1223" s="2">
        <f>Таблица1[[#This Row],[Дата поступления]]-Таблица1[[#This Row],[Дата рождения]]</f>
        <v>0</v>
      </c>
    </row>
    <row r="1224" spans="22:23" ht="24.95" customHeight="1" x14ac:dyDescent="0.25">
      <c r="V1224" s="2">
        <f>Таблица1[[#This Row],[Дата перевода]]-Таблица1[[#This Row],[Дата поступления]]</f>
        <v>0</v>
      </c>
      <c r="W1224" s="2">
        <f>Таблица1[[#This Row],[Дата поступления]]-Таблица1[[#This Row],[Дата рождения]]</f>
        <v>0</v>
      </c>
    </row>
    <row r="1225" spans="22:23" ht="24.95" customHeight="1" x14ac:dyDescent="0.25">
      <c r="V1225" s="2">
        <f>Таблица1[[#This Row],[Дата перевода]]-Таблица1[[#This Row],[Дата поступления]]</f>
        <v>0</v>
      </c>
      <c r="W1225" s="2">
        <f>Таблица1[[#This Row],[Дата поступления]]-Таблица1[[#This Row],[Дата рождения]]</f>
        <v>0</v>
      </c>
    </row>
    <row r="1226" spans="22:23" ht="24.95" customHeight="1" x14ac:dyDescent="0.25">
      <c r="V1226" s="2">
        <f>Таблица1[[#This Row],[Дата перевода]]-Таблица1[[#This Row],[Дата поступления]]</f>
        <v>0</v>
      </c>
      <c r="W1226" s="2">
        <f>Таблица1[[#This Row],[Дата поступления]]-Таблица1[[#This Row],[Дата рождения]]</f>
        <v>0</v>
      </c>
    </row>
    <row r="1227" spans="22:23" ht="24.95" customHeight="1" x14ac:dyDescent="0.25">
      <c r="V1227" s="2">
        <f>Таблица1[[#This Row],[Дата перевода]]-Таблица1[[#This Row],[Дата поступления]]</f>
        <v>0</v>
      </c>
      <c r="W1227" s="2">
        <f>Таблица1[[#This Row],[Дата поступления]]-Таблица1[[#This Row],[Дата рождения]]</f>
        <v>0</v>
      </c>
    </row>
    <row r="1228" spans="22:23" ht="24.95" customHeight="1" x14ac:dyDescent="0.25">
      <c r="V1228" s="2">
        <f>Таблица1[[#This Row],[Дата перевода]]-Таблица1[[#This Row],[Дата поступления]]</f>
        <v>0</v>
      </c>
      <c r="W1228" s="2">
        <f>Таблица1[[#This Row],[Дата поступления]]-Таблица1[[#This Row],[Дата рождения]]</f>
        <v>0</v>
      </c>
    </row>
    <row r="1229" spans="22:23" ht="24.95" customHeight="1" x14ac:dyDescent="0.25">
      <c r="V1229" s="2">
        <f>Таблица1[[#This Row],[Дата перевода]]-Таблица1[[#This Row],[Дата поступления]]</f>
        <v>0</v>
      </c>
      <c r="W1229" s="2">
        <f>Таблица1[[#This Row],[Дата поступления]]-Таблица1[[#This Row],[Дата рождения]]</f>
        <v>0</v>
      </c>
    </row>
    <row r="1230" spans="22:23" ht="24.95" customHeight="1" x14ac:dyDescent="0.25">
      <c r="V1230" s="2">
        <f>Таблица1[[#This Row],[Дата перевода]]-Таблица1[[#This Row],[Дата поступления]]</f>
        <v>0</v>
      </c>
      <c r="W1230" s="2">
        <f>Таблица1[[#This Row],[Дата поступления]]-Таблица1[[#This Row],[Дата рождения]]</f>
        <v>0</v>
      </c>
    </row>
    <row r="1231" spans="22:23" ht="24.95" customHeight="1" x14ac:dyDescent="0.25">
      <c r="V1231" s="2">
        <f>Таблица1[[#This Row],[Дата перевода]]-Таблица1[[#This Row],[Дата поступления]]</f>
        <v>0</v>
      </c>
      <c r="W1231" s="2">
        <f>Таблица1[[#This Row],[Дата поступления]]-Таблица1[[#This Row],[Дата рождения]]</f>
        <v>0</v>
      </c>
    </row>
    <row r="1232" spans="22:23" ht="24.95" customHeight="1" x14ac:dyDescent="0.25">
      <c r="V1232" s="2">
        <f>Таблица1[[#This Row],[Дата перевода]]-Таблица1[[#This Row],[Дата поступления]]</f>
        <v>0</v>
      </c>
      <c r="W1232" s="2">
        <f>Таблица1[[#This Row],[Дата поступления]]-Таблица1[[#This Row],[Дата рождения]]</f>
        <v>0</v>
      </c>
    </row>
    <row r="1233" spans="22:23" ht="24.95" customHeight="1" x14ac:dyDescent="0.25">
      <c r="V1233" s="2">
        <f>Таблица1[[#This Row],[Дата перевода]]-Таблица1[[#This Row],[Дата поступления]]</f>
        <v>0</v>
      </c>
      <c r="W1233" s="2">
        <f>Таблица1[[#This Row],[Дата поступления]]-Таблица1[[#This Row],[Дата рождения]]</f>
        <v>0</v>
      </c>
    </row>
    <row r="1234" spans="22:23" ht="24.95" customHeight="1" x14ac:dyDescent="0.25">
      <c r="V1234" s="2">
        <f>Таблица1[[#This Row],[Дата перевода]]-Таблица1[[#This Row],[Дата поступления]]</f>
        <v>0</v>
      </c>
      <c r="W1234" s="2">
        <f>Таблица1[[#This Row],[Дата поступления]]-Таблица1[[#This Row],[Дата рождения]]</f>
        <v>0</v>
      </c>
    </row>
    <row r="1235" spans="22:23" ht="24.95" customHeight="1" x14ac:dyDescent="0.25">
      <c r="V1235" s="2">
        <f>Таблица1[[#This Row],[Дата перевода]]-Таблица1[[#This Row],[Дата поступления]]</f>
        <v>0</v>
      </c>
      <c r="W1235" s="2">
        <f>Таблица1[[#This Row],[Дата поступления]]-Таблица1[[#This Row],[Дата рождения]]</f>
        <v>0</v>
      </c>
    </row>
    <row r="1236" spans="22:23" ht="24.95" customHeight="1" x14ac:dyDescent="0.25">
      <c r="V1236" s="2">
        <f>Таблица1[[#This Row],[Дата перевода]]-Таблица1[[#This Row],[Дата поступления]]</f>
        <v>0</v>
      </c>
      <c r="W1236" s="2">
        <f>Таблица1[[#This Row],[Дата поступления]]-Таблица1[[#This Row],[Дата рождения]]</f>
        <v>0</v>
      </c>
    </row>
    <row r="1237" spans="22:23" ht="24.95" customHeight="1" x14ac:dyDescent="0.25">
      <c r="V1237" s="2">
        <f>Таблица1[[#This Row],[Дата перевода]]-Таблица1[[#This Row],[Дата поступления]]</f>
        <v>0</v>
      </c>
      <c r="W1237" s="2">
        <f>Таблица1[[#This Row],[Дата поступления]]-Таблица1[[#This Row],[Дата рождения]]</f>
        <v>0</v>
      </c>
    </row>
    <row r="1238" spans="22:23" ht="24.95" customHeight="1" x14ac:dyDescent="0.25">
      <c r="V1238" s="2">
        <f>Таблица1[[#This Row],[Дата перевода]]-Таблица1[[#This Row],[Дата поступления]]</f>
        <v>0</v>
      </c>
      <c r="W1238" s="2">
        <f>Таблица1[[#This Row],[Дата поступления]]-Таблица1[[#This Row],[Дата рождения]]</f>
        <v>0</v>
      </c>
    </row>
    <row r="1239" spans="22:23" ht="24.95" customHeight="1" x14ac:dyDescent="0.25">
      <c r="V1239" s="2">
        <f>Таблица1[[#This Row],[Дата перевода]]-Таблица1[[#This Row],[Дата поступления]]</f>
        <v>0</v>
      </c>
      <c r="W1239" s="2">
        <f>Таблица1[[#This Row],[Дата поступления]]-Таблица1[[#This Row],[Дата рождения]]</f>
        <v>0</v>
      </c>
    </row>
    <row r="1240" spans="22:23" ht="24.95" customHeight="1" x14ac:dyDescent="0.25">
      <c r="V1240" s="2">
        <f>Таблица1[[#This Row],[Дата перевода]]-Таблица1[[#This Row],[Дата поступления]]</f>
        <v>0</v>
      </c>
      <c r="W1240" s="2">
        <f>Таблица1[[#This Row],[Дата поступления]]-Таблица1[[#This Row],[Дата рождения]]</f>
        <v>0</v>
      </c>
    </row>
    <row r="1241" spans="22:23" ht="24.95" customHeight="1" x14ac:dyDescent="0.25">
      <c r="V1241" s="2">
        <f>Таблица1[[#This Row],[Дата перевода]]-Таблица1[[#This Row],[Дата поступления]]</f>
        <v>0</v>
      </c>
      <c r="W1241" s="2">
        <f>Таблица1[[#This Row],[Дата поступления]]-Таблица1[[#This Row],[Дата рождения]]</f>
        <v>0</v>
      </c>
    </row>
    <row r="1242" spans="22:23" ht="24.95" customHeight="1" x14ac:dyDescent="0.25">
      <c r="V1242" s="2">
        <f>Таблица1[[#This Row],[Дата перевода]]-Таблица1[[#This Row],[Дата поступления]]</f>
        <v>0</v>
      </c>
      <c r="W1242" s="2">
        <f>Таблица1[[#This Row],[Дата поступления]]-Таблица1[[#This Row],[Дата рождения]]</f>
        <v>0</v>
      </c>
    </row>
    <row r="1243" spans="22:23" ht="24.95" customHeight="1" x14ac:dyDescent="0.25">
      <c r="V1243" s="2">
        <f>Таблица1[[#This Row],[Дата перевода]]-Таблица1[[#This Row],[Дата поступления]]</f>
        <v>0</v>
      </c>
      <c r="W1243" s="2">
        <f>Таблица1[[#This Row],[Дата поступления]]-Таблица1[[#This Row],[Дата рождения]]</f>
        <v>0</v>
      </c>
    </row>
    <row r="1244" spans="22:23" ht="24.95" customHeight="1" x14ac:dyDescent="0.25">
      <c r="V1244" s="2">
        <f>Таблица1[[#This Row],[Дата перевода]]-Таблица1[[#This Row],[Дата поступления]]</f>
        <v>0</v>
      </c>
      <c r="W1244" s="2">
        <f>Таблица1[[#This Row],[Дата поступления]]-Таблица1[[#This Row],[Дата рождения]]</f>
        <v>0</v>
      </c>
    </row>
    <row r="1245" spans="22:23" ht="24.95" customHeight="1" x14ac:dyDescent="0.25">
      <c r="V1245" s="2">
        <f>Таблица1[[#This Row],[Дата перевода]]-Таблица1[[#This Row],[Дата поступления]]</f>
        <v>0</v>
      </c>
      <c r="W1245" s="2">
        <f>Таблица1[[#This Row],[Дата поступления]]-Таблица1[[#This Row],[Дата рождения]]</f>
        <v>0</v>
      </c>
    </row>
    <row r="1246" spans="22:23" ht="24.95" customHeight="1" x14ac:dyDescent="0.25">
      <c r="V1246" s="2">
        <f>Таблица1[[#This Row],[Дата перевода]]-Таблица1[[#This Row],[Дата поступления]]</f>
        <v>0</v>
      </c>
      <c r="W1246" s="2">
        <f>Таблица1[[#This Row],[Дата поступления]]-Таблица1[[#This Row],[Дата рождения]]</f>
        <v>0</v>
      </c>
    </row>
    <row r="1247" spans="22:23" ht="24.95" customHeight="1" x14ac:dyDescent="0.25">
      <c r="V1247" s="2">
        <f>Таблица1[[#This Row],[Дата перевода]]-Таблица1[[#This Row],[Дата поступления]]</f>
        <v>0</v>
      </c>
      <c r="W1247" s="2">
        <f>Таблица1[[#This Row],[Дата поступления]]-Таблица1[[#This Row],[Дата рождения]]</f>
        <v>0</v>
      </c>
    </row>
    <row r="1248" spans="22:23" ht="24.95" customHeight="1" x14ac:dyDescent="0.25">
      <c r="V1248" s="2">
        <f>Таблица1[[#This Row],[Дата перевода]]-Таблица1[[#This Row],[Дата поступления]]</f>
        <v>0</v>
      </c>
      <c r="W1248" s="2">
        <f>Таблица1[[#This Row],[Дата поступления]]-Таблица1[[#This Row],[Дата рождения]]</f>
        <v>0</v>
      </c>
    </row>
    <row r="1249" spans="22:23" ht="24.95" customHeight="1" x14ac:dyDescent="0.25">
      <c r="V1249" s="2">
        <f>Таблица1[[#This Row],[Дата перевода]]-Таблица1[[#This Row],[Дата поступления]]</f>
        <v>0</v>
      </c>
      <c r="W1249" s="2">
        <f>Таблица1[[#This Row],[Дата поступления]]-Таблица1[[#This Row],[Дата рождения]]</f>
        <v>0</v>
      </c>
    </row>
    <row r="1250" spans="22:23" ht="24.95" customHeight="1" x14ac:dyDescent="0.25">
      <c r="V1250" s="2">
        <f>Таблица1[[#This Row],[Дата перевода]]-Таблица1[[#This Row],[Дата поступления]]</f>
        <v>0</v>
      </c>
      <c r="W1250" s="2">
        <f>Таблица1[[#This Row],[Дата поступления]]-Таблица1[[#This Row],[Дата рождения]]</f>
        <v>0</v>
      </c>
    </row>
    <row r="1251" spans="22:23" ht="24.95" customHeight="1" x14ac:dyDescent="0.25">
      <c r="V1251" s="2">
        <f>Таблица1[[#This Row],[Дата перевода]]-Таблица1[[#This Row],[Дата поступления]]</f>
        <v>0</v>
      </c>
      <c r="W1251" s="2">
        <f>Таблица1[[#This Row],[Дата поступления]]-Таблица1[[#This Row],[Дата рождения]]</f>
        <v>0</v>
      </c>
    </row>
    <row r="1252" spans="22:23" ht="24.95" customHeight="1" x14ac:dyDescent="0.25">
      <c r="V1252" s="2">
        <f>Таблица1[[#This Row],[Дата перевода]]-Таблица1[[#This Row],[Дата поступления]]</f>
        <v>0</v>
      </c>
      <c r="W1252" s="2">
        <f>Таблица1[[#This Row],[Дата поступления]]-Таблица1[[#This Row],[Дата рождения]]</f>
        <v>0</v>
      </c>
    </row>
    <row r="1253" spans="22:23" ht="24.95" customHeight="1" x14ac:dyDescent="0.25">
      <c r="V1253" s="2">
        <f>Таблица1[[#This Row],[Дата перевода]]-Таблица1[[#This Row],[Дата поступления]]</f>
        <v>0</v>
      </c>
      <c r="W1253" s="2">
        <f>Таблица1[[#This Row],[Дата поступления]]-Таблица1[[#This Row],[Дата рождения]]</f>
        <v>0</v>
      </c>
    </row>
    <row r="1254" spans="22:23" ht="24.95" customHeight="1" x14ac:dyDescent="0.25">
      <c r="V1254" s="2">
        <f>Таблица1[[#This Row],[Дата перевода]]-Таблица1[[#This Row],[Дата поступления]]</f>
        <v>0</v>
      </c>
      <c r="W1254" s="2">
        <f>Таблица1[[#This Row],[Дата поступления]]-Таблица1[[#This Row],[Дата рождения]]</f>
        <v>0</v>
      </c>
    </row>
    <row r="1255" spans="22:23" ht="24.95" customHeight="1" x14ac:dyDescent="0.25">
      <c r="V1255" s="2">
        <f>Таблица1[[#This Row],[Дата перевода]]-Таблица1[[#This Row],[Дата поступления]]</f>
        <v>0</v>
      </c>
      <c r="W1255" s="2">
        <f>Таблица1[[#This Row],[Дата поступления]]-Таблица1[[#This Row],[Дата рождения]]</f>
        <v>0</v>
      </c>
    </row>
    <row r="1256" spans="22:23" ht="24.95" customHeight="1" x14ac:dyDescent="0.25">
      <c r="V1256" s="2">
        <f>Таблица1[[#This Row],[Дата перевода]]-Таблица1[[#This Row],[Дата поступления]]</f>
        <v>0</v>
      </c>
      <c r="W1256" s="2">
        <f>Таблица1[[#This Row],[Дата поступления]]-Таблица1[[#This Row],[Дата рождения]]</f>
        <v>0</v>
      </c>
    </row>
    <row r="1257" spans="22:23" ht="24.95" customHeight="1" x14ac:dyDescent="0.25">
      <c r="V1257" s="2">
        <f>Таблица1[[#This Row],[Дата перевода]]-Таблица1[[#This Row],[Дата поступления]]</f>
        <v>0</v>
      </c>
      <c r="W1257" s="2">
        <f>Таблица1[[#This Row],[Дата поступления]]-Таблица1[[#This Row],[Дата рождения]]</f>
        <v>0</v>
      </c>
    </row>
    <row r="1258" spans="22:23" ht="24.95" customHeight="1" x14ac:dyDescent="0.25">
      <c r="V1258" s="2">
        <f>Таблица1[[#This Row],[Дата перевода]]-Таблица1[[#This Row],[Дата поступления]]</f>
        <v>0</v>
      </c>
      <c r="W1258" s="2">
        <f>Таблица1[[#This Row],[Дата поступления]]-Таблица1[[#This Row],[Дата рождения]]</f>
        <v>0</v>
      </c>
    </row>
    <row r="1259" spans="22:23" ht="24.95" customHeight="1" x14ac:dyDescent="0.25">
      <c r="V1259" s="2">
        <f>Таблица1[[#This Row],[Дата перевода]]-Таблица1[[#This Row],[Дата поступления]]</f>
        <v>0</v>
      </c>
      <c r="W1259" s="2">
        <f>Таблица1[[#This Row],[Дата поступления]]-Таблица1[[#This Row],[Дата рождения]]</f>
        <v>0</v>
      </c>
    </row>
    <row r="1260" spans="22:23" ht="24.95" customHeight="1" x14ac:dyDescent="0.25">
      <c r="V1260" s="2">
        <f>Таблица1[[#This Row],[Дата перевода]]-Таблица1[[#This Row],[Дата поступления]]</f>
        <v>0</v>
      </c>
      <c r="W1260" s="2">
        <f>Таблица1[[#This Row],[Дата поступления]]-Таблица1[[#This Row],[Дата рождения]]</f>
        <v>0</v>
      </c>
    </row>
    <row r="1261" spans="22:23" ht="24.95" customHeight="1" x14ac:dyDescent="0.25">
      <c r="V1261" s="2">
        <f>Таблица1[[#This Row],[Дата перевода]]-Таблица1[[#This Row],[Дата поступления]]</f>
        <v>0</v>
      </c>
      <c r="W1261" s="2">
        <f>Таблица1[[#This Row],[Дата поступления]]-Таблица1[[#This Row],[Дата рождения]]</f>
        <v>0</v>
      </c>
    </row>
    <row r="1262" spans="22:23" ht="24.95" customHeight="1" x14ac:dyDescent="0.25">
      <c r="V1262" s="2">
        <f>Таблица1[[#This Row],[Дата перевода]]-Таблица1[[#This Row],[Дата поступления]]</f>
        <v>0</v>
      </c>
      <c r="W1262" s="2">
        <f>Таблица1[[#This Row],[Дата поступления]]-Таблица1[[#This Row],[Дата рождения]]</f>
        <v>0</v>
      </c>
    </row>
    <row r="1263" spans="22:23" ht="24.95" customHeight="1" x14ac:dyDescent="0.25">
      <c r="V1263" s="2">
        <f>Таблица1[[#This Row],[Дата перевода]]-Таблица1[[#This Row],[Дата поступления]]</f>
        <v>0</v>
      </c>
      <c r="W1263" s="2">
        <f>Таблица1[[#This Row],[Дата поступления]]-Таблица1[[#This Row],[Дата рождения]]</f>
        <v>0</v>
      </c>
    </row>
    <row r="1264" spans="22:23" ht="24.95" customHeight="1" x14ac:dyDescent="0.25">
      <c r="V1264" s="2">
        <f>Таблица1[[#This Row],[Дата перевода]]-Таблица1[[#This Row],[Дата поступления]]</f>
        <v>0</v>
      </c>
      <c r="W1264" s="2">
        <f>Таблица1[[#This Row],[Дата поступления]]-Таблица1[[#This Row],[Дата рождения]]</f>
        <v>0</v>
      </c>
    </row>
    <row r="1265" spans="22:23" ht="24.95" customHeight="1" x14ac:dyDescent="0.25">
      <c r="V1265" s="2">
        <f>Таблица1[[#This Row],[Дата перевода]]-Таблица1[[#This Row],[Дата поступления]]</f>
        <v>0</v>
      </c>
      <c r="W1265" s="2">
        <f>Таблица1[[#This Row],[Дата поступления]]-Таблица1[[#This Row],[Дата рождения]]</f>
        <v>0</v>
      </c>
    </row>
    <row r="1266" spans="22:23" ht="24.95" customHeight="1" x14ac:dyDescent="0.25">
      <c r="V1266" s="2">
        <f>Таблица1[[#This Row],[Дата перевода]]-Таблица1[[#This Row],[Дата поступления]]</f>
        <v>0</v>
      </c>
      <c r="W1266" s="2">
        <f>Таблица1[[#This Row],[Дата поступления]]-Таблица1[[#This Row],[Дата рождения]]</f>
        <v>0</v>
      </c>
    </row>
    <row r="1267" spans="22:23" ht="24.95" customHeight="1" x14ac:dyDescent="0.25">
      <c r="V1267" s="2">
        <f>Таблица1[[#This Row],[Дата перевода]]-Таблица1[[#This Row],[Дата поступления]]</f>
        <v>0</v>
      </c>
      <c r="W1267" s="2">
        <f>Таблица1[[#This Row],[Дата поступления]]-Таблица1[[#This Row],[Дата рождения]]</f>
        <v>0</v>
      </c>
    </row>
    <row r="1268" spans="22:23" ht="24.95" customHeight="1" x14ac:dyDescent="0.25">
      <c r="V1268" s="2">
        <f>Таблица1[[#This Row],[Дата перевода]]-Таблица1[[#This Row],[Дата поступления]]</f>
        <v>0</v>
      </c>
      <c r="W1268" s="2">
        <f>Таблица1[[#This Row],[Дата поступления]]-Таблица1[[#This Row],[Дата рождения]]</f>
        <v>0</v>
      </c>
    </row>
    <row r="1269" spans="22:23" ht="24.95" customHeight="1" x14ac:dyDescent="0.25">
      <c r="V1269" s="2">
        <f>Таблица1[[#This Row],[Дата перевода]]-Таблица1[[#This Row],[Дата поступления]]</f>
        <v>0</v>
      </c>
      <c r="W1269" s="2">
        <f>Таблица1[[#This Row],[Дата поступления]]-Таблица1[[#This Row],[Дата рождения]]</f>
        <v>0</v>
      </c>
    </row>
    <row r="1270" spans="22:23" ht="24.95" customHeight="1" x14ac:dyDescent="0.25">
      <c r="V1270" s="2">
        <f>Таблица1[[#This Row],[Дата перевода]]-Таблица1[[#This Row],[Дата поступления]]</f>
        <v>0</v>
      </c>
      <c r="W1270" s="2">
        <f>Таблица1[[#This Row],[Дата поступления]]-Таблица1[[#This Row],[Дата рождения]]</f>
        <v>0</v>
      </c>
    </row>
    <row r="1271" spans="22:23" ht="24.95" customHeight="1" x14ac:dyDescent="0.25">
      <c r="V1271" s="2">
        <f>Таблица1[[#This Row],[Дата перевода]]-Таблица1[[#This Row],[Дата поступления]]</f>
        <v>0</v>
      </c>
      <c r="W1271" s="2">
        <f>Таблица1[[#This Row],[Дата поступления]]-Таблица1[[#This Row],[Дата рождения]]</f>
        <v>0</v>
      </c>
    </row>
    <row r="1272" spans="22:23" ht="24.95" customHeight="1" x14ac:dyDescent="0.25">
      <c r="V1272" s="2">
        <f>Таблица1[[#This Row],[Дата перевода]]-Таблица1[[#This Row],[Дата поступления]]</f>
        <v>0</v>
      </c>
      <c r="W1272" s="2">
        <f>Таблица1[[#This Row],[Дата поступления]]-Таблица1[[#This Row],[Дата рождения]]</f>
        <v>0</v>
      </c>
    </row>
    <row r="1273" spans="22:23" ht="24.95" customHeight="1" x14ac:dyDescent="0.25">
      <c r="V1273" s="2">
        <f>Таблица1[[#This Row],[Дата перевода]]-Таблица1[[#This Row],[Дата поступления]]</f>
        <v>0</v>
      </c>
      <c r="W1273" s="2">
        <f>Таблица1[[#This Row],[Дата поступления]]-Таблица1[[#This Row],[Дата рождения]]</f>
        <v>0</v>
      </c>
    </row>
    <row r="1274" spans="22:23" ht="24.95" customHeight="1" x14ac:dyDescent="0.25">
      <c r="V1274" s="2">
        <f>Таблица1[[#This Row],[Дата перевода]]-Таблица1[[#This Row],[Дата поступления]]</f>
        <v>0</v>
      </c>
      <c r="W1274" s="2">
        <f>Таблица1[[#This Row],[Дата поступления]]-Таблица1[[#This Row],[Дата рождения]]</f>
        <v>0</v>
      </c>
    </row>
    <row r="1275" spans="22:23" ht="24.95" customHeight="1" x14ac:dyDescent="0.25">
      <c r="V1275" s="2">
        <f>Таблица1[[#This Row],[Дата перевода]]-Таблица1[[#This Row],[Дата поступления]]</f>
        <v>0</v>
      </c>
      <c r="W1275" s="2">
        <f>Таблица1[[#This Row],[Дата поступления]]-Таблица1[[#This Row],[Дата рождения]]</f>
        <v>0</v>
      </c>
    </row>
    <row r="1276" spans="22:23" ht="24.95" customHeight="1" x14ac:dyDescent="0.25">
      <c r="V1276" s="2">
        <f>Таблица1[[#This Row],[Дата перевода]]-Таблица1[[#This Row],[Дата поступления]]</f>
        <v>0</v>
      </c>
      <c r="W1276" s="2">
        <f>Таблица1[[#This Row],[Дата поступления]]-Таблица1[[#This Row],[Дата рождения]]</f>
        <v>0</v>
      </c>
    </row>
    <row r="1277" spans="22:23" ht="24.95" customHeight="1" x14ac:dyDescent="0.25">
      <c r="V1277" s="2">
        <f>Таблица1[[#This Row],[Дата перевода]]-Таблица1[[#This Row],[Дата поступления]]</f>
        <v>0</v>
      </c>
      <c r="W1277" s="2">
        <f>Таблица1[[#This Row],[Дата поступления]]-Таблица1[[#This Row],[Дата рождения]]</f>
        <v>0</v>
      </c>
    </row>
    <row r="1278" spans="22:23" ht="24.95" customHeight="1" x14ac:dyDescent="0.25">
      <c r="V1278" s="2">
        <f>Таблица1[[#This Row],[Дата перевода]]-Таблица1[[#This Row],[Дата поступления]]</f>
        <v>0</v>
      </c>
      <c r="W1278" s="2">
        <f>Таблица1[[#This Row],[Дата поступления]]-Таблица1[[#This Row],[Дата рождения]]</f>
        <v>0</v>
      </c>
    </row>
    <row r="1279" spans="22:23" ht="24.95" customHeight="1" x14ac:dyDescent="0.25">
      <c r="V1279" s="2">
        <f>Таблица1[[#This Row],[Дата перевода]]-Таблица1[[#This Row],[Дата поступления]]</f>
        <v>0</v>
      </c>
      <c r="W1279" s="2">
        <f>Таблица1[[#This Row],[Дата поступления]]-Таблица1[[#This Row],[Дата рождения]]</f>
        <v>0</v>
      </c>
    </row>
    <row r="1280" spans="22:23" ht="24.95" customHeight="1" x14ac:dyDescent="0.25">
      <c r="V1280" s="2">
        <f>Таблица1[[#This Row],[Дата перевода]]-Таблица1[[#This Row],[Дата поступления]]</f>
        <v>0</v>
      </c>
      <c r="W1280" s="2">
        <f>Таблица1[[#This Row],[Дата поступления]]-Таблица1[[#This Row],[Дата рождения]]</f>
        <v>0</v>
      </c>
    </row>
    <row r="1281" spans="22:23" ht="24.95" customHeight="1" x14ac:dyDescent="0.25">
      <c r="V1281" s="2">
        <f>Таблица1[[#This Row],[Дата перевода]]-Таблица1[[#This Row],[Дата поступления]]</f>
        <v>0</v>
      </c>
      <c r="W1281" s="2">
        <f>Таблица1[[#This Row],[Дата поступления]]-Таблица1[[#This Row],[Дата рождения]]</f>
        <v>0</v>
      </c>
    </row>
    <row r="1282" spans="22:23" ht="24.95" customHeight="1" x14ac:dyDescent="0.25">
      <c r="V1282" s="2">
        <f>Таблица1[[#This Row],[Дата перевода]]-Таблица1[[#This Row],[Дата поступления]]</f>
        <v>0</v>
      </c>
      <c r="W1282" s="2">
        <f>Таблица1[[#This Row],[Дата поступления]]-Таблица1[[#This Row],[Дата рождения]]</f>
        <v>0</v>
      </c>
    </row>
    <row r="1283" spans="22:23" ht="24.95" customHeight="1" x14ac:dyDescent="0.25">
      <c r="V1283" s="2">
        <f>Таблица1[[#This Row],[Дата перевода]]-Таблица1[[#This Row],[Дата поступления]]</f>
        <v>0</v>
      </c>
      <c r="W1283" s="2">
        <f>Таблица1[[#This Row],[Дата поступления]]-Таблица1[[#This Row],[Дата рождения]]</f>
        <v>0</v>
      </c>
    </row>
    <row r="1284" spans="22:23" ht="24.95" customHeight="1" x14ac:dyDescent="0.25">
      <c r="V1284" s="2">
        <f>Таблица1[[#This Row],[Дата перевода]]-Таблица1[[#This Row],[Дата поступления]]</f>
        <v>0</v>
      </c>
      <c r="W1284" s="2">
        <f>Таблица1[[#This Row],[Дата поступления]]-Таблица1[[#This Row],[Дата рождения]]</f>
        <v>0</v>
      </c>
    </row>
    <row r="1285" spans="22:23" ht="24.95" customHeight="1" x14ac:dyDescent="0.25">
      <c r="V1285" s="2">
        <f>Таблица1[[#This Row],[Дата перевода]]-Таблица1[[#This Row],[Дата поступления]]</f>
        <v>0</v>
      </c>
      <c r="W1285" s="2">
        <f>Таблица1[[#This Row],[Дата поступления]]-Таблица1[[#This Row],[Дата рождения]]</f>
        <v>0</v>
      </c>
    </row>
    <row r="1286" spans="22:23" ht="24.95" customHeight="1" x14ac:dyDescent="0.25">
      <c r="V1286" s="2">
        <f>Таблица1[[#This Row],[Дата перевода]]-Таблица1[[#This Row],[Дата поступления]]</f>
        <v>0</v>
      </c>
      <c r="W1286" s="2">
        <f>Таблица1[[#This Row],[Дата поступления]]-Таблица1[[#This Row],[Дата рождения]]</f>
        <v>0</v>
      </c>
    </row>
    <row r="1287" spans="22:23" ht="24.95" customHeight="1" x14ac:dyDescent="0.25">
      <c r="V1287" s="2">
        <f>Таблица1[[#This Row],[Дата перевода]]-Таблица1[[#This Row],[Дата поступления]]</f>
        <v>0</v>
      </c>
      <c r="W1287" s="2">
        <f>Таблица1[[#This Row],[Дата поступления]]-Таблица1[[#This Row],[Дата рождения]]</f>
        <v>0</v>
      </c>
    </row>
    <row r="1288" spans="22:23" ht="24.95" customHeight="1" x14ac:dyDescent="0.25">
      <c r="V1288" s="2">
        <f>Таблица1[[#This Row],[Дата перевода]]-Таблица1[[#This Row],[Дата поступления]]</f>
        <v>0</v>
      </c>
      <c r="W1288" s="2">
        <f>Таблица1[[#This Row],[Дата поступления]]-Таблица1[[#This Row],[Дата рождения]]</f>
        <v>0</v>
      </c>
    </row>
    <row r="1289" spans="22:23" ht="24.95" customHeight="1" x14ac:dyDescent="0.25">
      <c r="V1289" s="2">
        <f>Таблица1[[#This Row],[Дата перевода]]-Таблица1[[#This Row],[Дата поступления]]</f>
        <v>0</v>
      </c>
      <c r="W1289" s="2">
        <f>Таблица1[[#This Row],[Дата поступления]]-Таблица1[[#This Row],[Дата рождения]]</f>
        <v>0</v>
      </c>
    </row>
    <row r="1290" spans="22:23" ht="24.95" customHeight="1" x14ac:dyDescent="0.25">
      <c r="V1290" s="2">
        <f>Таблица1[[#This Row],[Дата перевода]]-Таблица1[[#This Row],[Дата поступления]]</f>
        <v>0</v>
      </c>
      <c r="W1290" s="2">
        <f>Таблица1[[#This Row],[Дата поступления]]-Таблица1[[#This Row],[Дата рождения]]</f>
        <v>0</v>
      </c>
    </row>
    <row r="1291" spans="22:23" ht="24.95" customHeight="1" x14ac:dyDescent="0.25">
      <c r="V1291" s="2">
        <f>Таблица1[[#This Row],[Дата перевода]]-Таблица1[[#This Row],[Дата поступления]]</f>
        <v>0</v>
      </c>
      <c r="W1291" s="2">
        <f>Таблица1[[#This Row],[Дата поступления]]-Таблица1[[#This Row],[Дата рождения]]</f>
        <v>0</v>
      </c>
    </row>
    <row r="1292" spans="22:23" ht="24.95" customHeight="1" x14ac:dyDescent="0.25">
      <c r="V1292" s="2">
        <f>Таблица1[[#This Row],[Дата перевода]]-Таблица1[[#This Row],[Дата поступления]]</f>
        <v>0</v>
      </c>
      <c r="W1292" s="2">
        <f>Таблица1[[#This Row],[Дата поступления]]-Таблица1[[#This Row],[Дата рождения]]</f>
        <v>0</v>
      </c>
    </row>
    <row r="1293" spans="22:23" ht="24.95" customHeight="1" x14ac:dyDescent="0.25">
      <c r="V1293" s="2">
        <f>Таблица1[[#This Row],[Дата перевода]]-Таблица1[[#This Row],[Дата поступления]]</f>
        <v>0</v>
      </c>
      <c r="W1293" s="2">
        <f>Таблица1[[#This Row],[Дата поступления]]-Таблица1[[#This Row],[Дата рождения]]</f>
        <v>0</v>
      </c>
    </row>
    <row r="1294" spans="22:23" ht="24.95" customHeight="1" x14ac:dyDescent="0.25">
      <c r="V1294" s="2">
        <f>Таблица1[[#This Row],[Дата перевода]]-Таблица1[[#This Row],[Дата поступления]]</f>
        <v>0</v>
      </c>
      <c r="W1294" s="2">
        <f>Таблица1[[#This Row],[Дата поступления]]-Таблица1[[#This Row],[Дата рождения]]</f>
        <v>0</v>
      </c>
    </row>
    <row r="1295" spans="22:23" ht="24.95" customHeight="1" x14ac:dyDescent="0.25">
      <c r="V1295" s="2">
        <f>Таблица1[[#This Row],[Дата перевода]]-Таблица1[[#This Row],[Дата поступления]]</f>
        <v>0</v>
      </c>
      <c r="W1295" s="2">
        <f>Таблица1[[#This Row],[Дата поступления]]-Таблица1[[#This Row],[Дата рождения]]</f>
        <v>0</v>
      </c>
    </row>
    <row r="1296" spans="22:23" ht="24.95" customHeight="1" x14ac:dyDescent="0.25">
      <c r="V1296" s="2">
        <f>Таблица1[[#This Row],[Дата перевода]]-Таблица1[[#This Row],[Дата поступления]]</f>
        <v>0</v>
      </c>
      <c r="W1296" s="2">
        <f>Таблица1[[#This Row],[Дата поступления]]-Таблица1[[#This Row],[Дата рождения]]</f>
        <v>0</v>
      </c>
    </row>
    <row r="1297" spans="22:23" ht="24.95" customHeight="1" x14ac:dyDescent="0.25">
      <c r="V1297" s="2">
        <f>Таблица1[[#This Row],[Дата перевода]]-Таблица1[[#This Row],[Дата поступления]]</f>
        <v>0</v>
      </c>
      <c r="W1297" s="2">
        <f>Таблица1[[#This Row],[Дата поступления]]-Таблица1[[#This Row],[Дата рождения]]</f>
        <v>0</v>
      </c>
    </row>
    <row r="1298" spans="22:23" ht="24.95" customHeight="1" x14ac:dyDescent="0.25">
      <c r="V1298" s="2">
        <f>Таблица1[[#This Row],[Дата перевода]]-Таблица1[[#This Row],[Дата поступления]]</f>
        <v>0</v>
      </c>
      <c r="W1298" s="2">
        <f>Таблица1[[#This Row],[Дата поступления]]-Таблица1[[#This Row],[Дата рождения]]</f>
        <v>0</v>
      </c>
    </row>
    <row r="1299" spans="22:23" ht="24.95" customHeight="1" x14ac:dyDescent="0.25">
      <c r="V1299" s="2">
        <f>Таблица1[[#This Row],[Дата перевода]]-Таблица1[[#This Row],[Дата поступления]]</f>
        <v>0</v>
      </c>
      <c r="W1299" s="2">
        <f>Таблица1[[#This Row],[Дата поступления]]-Таблица1[[#This Row],[Дата рождения]]</f>
        <v>0</v>
      </c>
    </row>
    <row r="1300" spans="22:23" ht="24.95" customHeight="1" x14ac:dyDescent="0.25">
      <c r="V1300" s="2">
        <f>Таблица1[[#This Row],[Дата перевода]]-Таблица1[[#This Row],[Дата поступления]]</f>
        <v>0</v>
      </c>
      <c r="W1300" s="2">
        <f>Таблица1[[#This Row],[Дата поступления]]-Таблица1[[#This Row],[Дата рождения]]</f>
        <v>0</v>
      </c>
    </row>
    <row r="1301" spans="22:23" ht="24.95" customHeight="1" x14ac:dyDescent="0.25">
      <c r="V1301" s="2">
        <f>Таблица1[[#This Row],[Дата перевода]]-Таблица1[[#This Row],[Дата поступления]]</f>
        <v>0</v>
      </c>
      <c r="W1301" s="2">
        <f>Таблица1[[#This Row],[Дата поступления]]-Таблица1[[#This Row],[Дата рождения]]</f>
        <v>0</v>
      </c>
    </row>
    <row r="1302" spans="22:23" ht="24.95" customHeight="1" x14ac:dyDescent="0.25">
      <c r="V1302" s="2">
        <f>Таблица1[[#This Row],[Дата перевода]]-Таблица1[[#This Row],[Дата поступления]]</f>
        <v>0</v>
      </c>
      <c r="W1302" s="2">
        <f>Таблица1[[#This Row],[Дата поступления]]-Таблица1[[#This Row],[Дата рождения]]</f>
        <v>0</v>
      </c>
    </row>
    <row r="1303" spans="22:23" ht="24.95" customHeight="1" x14ac:dyDescent="0.25">
      <c r="V1303" s="2">
        <f>Таблица1[[#This Row],[Дата перевода]]-Таблица1[[#This Row],[Дата поступления]]</f>
        <v>0</v>
      </c>
      <c r="W1303" s="2">
        <f>Таблица1[[#This Row],[Дата поступления]]-Таблица1[[#This Row],[Дата рождения]]</f>
        <v>0</v>
      </c>
    </row>
    <row r="1304" spans="22:23" ht="24.95" customHeight="1" x14ac:dyDescent="0.25">
      <c r="V1304" s="2">
        <f>Таблица1[[#This Row],[Дата перевода]]-Таблица1[[#This Row],[Дата поступления]]</f>
        <v>0</v>
      </c>
      <c r="W1304" s="2">
        <f>Таблица1[[#This Row],[Дата поступления]]-Таблица1[[#This Row],[Дата рождения]]</f>
        <v>0</v>
      </c>
    </row>
    <row r="1305" spans="22:23" ht="24.95" customHeight="1" x14ac:dyDescent="0.25">
      <c r="V1305" s="2">
        <f>Таблица1[[#This Row],[Дата перевода]]-Таблица1[[#This Row],[Дата поступления]]</f>
        <v>0</v>
      </c>
      <c r="W1305" s="2">
        <f>Таблица1[[#This Row],[Дата поступления]]-Таблица1[[#This Row],[Дата рождения]]</f>
        <v>0</v>
      </c>
    </row>
    <row r="1306" spans="22:23" ht="24.95" customHeight="1" x14ac:dyDescent="0.25">
      <c r="V1306" s="2">
        <f>Таблица1[[#This Row],[Дата перевода]]-Таблица1[[#This Row],[Дата поступления]]</f>
        <v>0</v>
      </c>
      <c r="W1306" s="2">
        <f>Таблица1[[#This Row],[Дата поступления]]-Таблица1[[#This Row],[Дата рождения]]</f>
        <v>0</v>
      </c>
    </row>
    <row r="1307" spans="22:23" ht="24.95" customHeight="1" x14ac:dyDescent="0.25">
      <c r="V1307" s="2">
        <f>Таблица1[[#This Row],[Дата перевода]]-Таблица1[[#This Row],[Дата поступления]]</f>
        <v>0</v>
      </c>
      <c r="W1307" s="2">
        <f>Таблица1[[#This Row],[Дата поступления]]-Таблица1[[#This Row],[Дата рождения]]</f>
        <v>0</v>
      </c>
    </row>
    <row r="1308" spans="22:23" ht="24.95" customHeight="1" x14ac:dyDescent="0.25">
      <c r="V1308" s="2">
        <f>Таблица1[[#This Row],[Дата перевода]]-Таблица1[[#This Row],[Дата поступления]]</f>
        <v>0</v>
      </c>
      <c r="W1308" s="2">
        <f>Таблица1[[#This Row],[Дата поступления]]-Таблица1[[#This Row],[Дата рождения]]</f>
        <v>0</v>
      </c>
    </row>
    <row r="1309" spans="22:23" ht="24.95" customHeight="1" x14ac:dyDescent="0.25">
      <c r="V1309" s="2">
        <f>Таблица1[[#This Row],[Дата перевода]]-Таблица1[[#This Row],[Дата поступления]]</f>
        <v>0</v>
      </c>
      <c r="W1309" s="2">
        <f>Таблица1[[#This Row],[Дата поступления]]-Таблица1[[#This Row],[Дата рождения]]</f>
        <v>0</v>
      </c>
    </row>
    <row r="1310" spans="22:23" ht="24.95" customHeight="1" x14ac:dyDescent="0.25">
      <c r="V1310" s="2">
        <f>Таблица1[[#This Row],[Дата перевода]]-Таблица1[[#This Row],[Дата поступления]]</f>
        <v>0</v>
      </c>
      <c r="W1310" s="2">
        <f>Таблица1[[#This Row],[Дата поступления]]-Таблица1[[#This Row],[Дата рождения]]</f>
        <v>0</v>
      </c>
    </row>
    <row r="1311" spans="22:23" ht="24.95" customHeight="1" x14ac:dyDescent="0.25">
      <c r="V1311" s="2">
        <f>Таблица1[[#This Row],[Дата перевода]]-Таблица1[[#This Row],[Дата поступления]]</f>
        <v>0</v>
      </c>
      <c r="W1311" s="2">
        <f>Таблица1[[#This Row],[Дата поступления]]-Таблица1[[#This Row],[Дата рождения]]</f>
        <v>0</v>
      </c>
    </row>
    <row r="1312" spans="22:23" ht="24.95" customHeight="1" x14ac:dyDescent="0.25">
      <c r="V1312" s="2">
        <f>Таблица1[[#This Row],[Дата перевода]]-Таблица1[[#This Row],[Дата поступления]]</f>
        <v>0</v>
      </c>
      <c r="W1312" s="2">
        <f>Таблица1[[#This Row],[Дата поступления]]-Таблица1[[#This Row],[Дата рождения]]</f>
        <v>0</v>
      </c>
    </row>
    <row r="1313" spans="22:23" ht="24.95" customHeight="1" x14ac:dyDescent="0.25">
      <c r="V1313" s="2">
        <f>Таблица1[[#This Row],[Дата перевода]]-Таблица1[[#This Row],[Дата поступления]]</f>
        <v>0</v>
      </c>
      <c r="W1313" s="2">
        <f>Таблица1[[#This Row],[Дата поступления]]-Таблица1[[#This Row],[Дата рождения]]</f>
        <v>0</v>
      </c>
    </row>
    <row r="1314" spans="22:23" ht="24.95" customHeight="1" x14ac:dyDescent="0.25">
      <c r="V1314" s="2">
        <f>Таблица1[[#This Row],[Дата перевода]]-Таблица1[[#This Row],[Дата поступления]]</f>
        <v>0</v>
      </c>
      <c r="W1314" s="2">
        <f>Таблица1[[#This Row],[Дата поступления]]-Таблица1[[#This Row],[Дата рождения]]</f>
        <v>0</v>
      </c>
    </row>
    <row r="1315" spans="22:23" ht="24.95" customHeight="1" x14ac:dyDescent="0.25">
      <c r="V1315" s="2">
        <f>Таблица1[[#This Row],[Дата перевода]]-Таблица1[[#This Row],[Дата поступления]]</f>
        <v>0</v>
      </c>
      <c r="W1315" s="2">
        <f>Таблица1[[#This Row],[Дата поступления]]-Таблица1[[#This Row],[Дата рождения]]</f>
        <v>0</v>
      </c>
    </row>
    <row r="1316" spans="22:23" ht="24.95" customHeight="1" x14ac:dyDescent="0.25">
      <c r="V1316" s="2">
        <f>Таблица1[[#This Row],[Дата перевода]]-Таблица1[[#This Row],[Дата поступления]]</f>
        <v>0</v>
      </c>
      <c r="W1316" s="2">
        <f>Таблица1[[#This Row],[Дата поступления]]-Таблица1[[#This Row],[Дата рождения]]</f>
        <v>0</v>
      </c>
    </row>
    <row r="1317" spans="22:23" ht="24.95" customHeight="1" x14ac:dyDescent="0.25">
      <c r="V1317" s="2">
        <f>Таблица1[[#This Row],[Дата перевода]]-Таблица1[[#This Row],[Дата поступления]]</f>
        <v>0</v>
      </c>
      <c r="W1317" s="2">
        <f>Таблица1[[#This Row],[Дата поступления]]-Таблица1[[#This Row],[Дата рождения]]</f>
        <v>0</v>
      </c>
    </row>
    <row r="1318" spans="22:23" ht="24.95" customHeight="1" x14ac:dyDescent="0.25">
      <c r="V1318" s="2">
        <f>Таблица1[[#This Row],[Дата перевода]]-Таблица1[[#This Row],[Дата поступления]]</f>
        <v>0</v>
      </c>
      <c r="W1318" s="2">
        <f>Таблица1[[#This Row],[Дата поступления]]-Таблица1[[#This Row],[Дата рождения]]</f>
        <v>0</v>
      </c>
    </row>
    <row r="1319" spans="22:23" ht="24.95" customHeight="1" x14ac:dyDescent="0.25">
      <c r="V1319" s="2">
        <f>Таблица1[[#This Row],[Дата перевода]]-Таблица1[[#This Row],[Дата поступления]]</f>
        <v>0</v>
      </c>
      <c r="W1319" s="2">
        <f>Таблица1[[#This Row],[Дата поступления]]-Таблица1[[#This Row],[Дата рождения]]</f>
        <v>0</v>
      </c>
    </row>
    <row r="1320" spans="22:23" ht="24.95" customHeight="1" x14ac:dyDescent="0.25">
      <c r="V1320" s="2">
        <f>Таблица1[[#This Row],[Дата перевода]]-Таблица1[[#This Row],[Дата поступления]]</f>
        <v>0</v>
      </c>
      <c r="W1320" s="2">
        <f>Таблица1[[#This Row],[Дата поступления]]-Таблица1[[#This Row],[Дата рождения]]</f>
        <v>0</v>
      </c>
    </row>
    <row r="1321" spans="22:23" ht="24.95" customHeight="1" x14ac:dyDescent="0.25">
      <c r="V1321" s="2">
        <f>Таблица1[[#This Row],[Дата перевода]]-Таблица1[[#This Row],[Дата поступления]]</f>
        <v>0</v>
      </c>
      <c r="W1321" s="2">
        <f>Таблица1[[#This Row],[Дата поступления]]-Таблица1[[#This Row],[Дата рождения]]</f>
        <v>0</v>
      </c>
    </row>
    <row r="1322" spans="22:23" ht="24.95" customHeight="1" x14ac:dyDescent="0.25">
      <c r="V1322" s="2">
        <f>Таблица1[[#This Row],[Дата перевода]]-Таблица1[[#This Row],[Дата поступления]]</f>
        <v>0</v>
      </c>
      <c r="W1322" s="2">
        <f>Таблица1[[#This Row],[Дата поступления]]-Таблица1[[#This Row],[Дата рождения]]</f>
        <v>0</v>
      </c>
    </row>
    <row r="1323" spans="22:23" ht="24.95" customHeight="1" x14ac:dyDescent="0.25">
      <c r="V1323" s="2">
        <f>Таблица1[[#This Row],[Дата перевода]]-Таблица1[[#This Row],[Дата поступления]]</f>
        <v>0</v>
      </c>
      <c r="W1323" s="2">
        <f>Таблица1[[#This Row],[Дата поступления]]-Таблица1[[#This Row],[Дата рождения]]</f>
        <v>0</v>
      </c>
    </row>
    <row r="1324" spans="22:23" ht="24.95" customHeight="1" x14ac:dyDescent="0.25">
      <c r="V1324" s="2">
        <f>Таблица1[[#This Row],[Дата перевода]]-Таблица1[[#This Row],[Дата поступления]]</f>
        <v>0</v>
      </c>
      <c r="W1324" s="2">
        <f>Таблица1[[#This Row],[Дата поступления]]-Таблица1[[#This Row],[Дата рождения]]</f>
        <v>0</v>
      </c>
    </row>
    <row r="1325" spans="22:23" ht="24.95" customHeight="1" x14ac:dyDescent="0.25">
      <c r="V1325" s="2">
        <f>Таблица1[[#This Row],[Дата перевода]]-Таблица1[[#This Row],[Дата поступления]]</f>
        <v>0</v>
      </c>
      <c r="W1325" s="2">
        <f>Таблица1[[#This Row],[Дата поступления]]-Таблица1[[#This Row],[Дата рождения]]</f>
        <v>0</v>
      </c>
    </row>
    <row r="1326" spans="22:23" ht="24.95" customHeight="1" x14ac:dyDescent="0.25">
      <c r="V1326" s="2">
        <f>Таблица1[[#This Row],[Дата перевода]]-Таблица1[[#This Row],[Дата поступления]]</f>
        <v>0</v>
      </c>
      <c r="W1326" s="2">
        <f>Таблица1[[#This Row],[Дата поступления]]-Таблица1[[#This Row],[Дата рождения]]</f>
        <v>0</v>
      </c>
    </row>
    <row r="1327" spans="22:23" ht="24.95" customHeight="1" x14ac:dyDescent="0.25">
      <c r="V1327" s="2">
        <f>Таблица1[[#This Row],[Дата перевода]]-Таблица1[[#This Row],[Дата поступления]]</f>
        <v>0</v>
      </c>
      <c r="W1327" s="2">
        <f>Таблица1[[#This Row],[Дата поступления]]-Таблица1[[#This Row],[Дата рождения]]</f>
        <v>0</v>
      </c>
    </row>
    <row r="1328" spans="22:23" ht="24.95" customHeight="1" x14ac:dyDescent="0.25">
      <c r="V1328" s="2">
        <f>Таблица1[[#This Row],[Дата перевода]]-Таблица1[[#This Row],[Дата поступления]]</f>
        <v>0</v>
      </c>
      <c r="W1328" s="2">
        <f>Таблица1[[#This Row],[Дата поступления]]-Таблица1[[#This Row],[Дата рождения]]</f>
        <v>0</v>
      </c>
    </row>
    <row r="1329" spans="22:23" ht="24.95" customHeight="1" x14ac:dyDescent="0.25">
      <c r="V1329" s="2">
        <f>Таблица1[[#This Row],[Дата перевода]]-Таблица1[[#This Row],[Дата поступления]]</f>
        <v>0</v>
      </c>
      <c r="W1329" s="2">
        <f>Таблица1[[#This Row],[Дата поступления]]-Таблица1[[#This Row],[Дата рождения]]</f>
        <v>0</v>
      </c>
    </row>
    <row r="1330" spans="22:23" ht="24.95" customHeight="1" x14ac:dyDescent="0.25">
      <c r="V1330" s="2">
        <f>Таблица1[[#This Row],[Дата перевода]]-Таблица1[[#This Row],[Дата поступления]]</f>
        <v>0</v>
      </c>
      <c r="W1330" s="2">
        <f>Таблица1[[#This Row],[Дата поступления]]-Таблица1[[#This Row],[Дата рождения]]</f>
        <v>0</v>
      </c>
    </row>
    <row r="1331" spans="22:23" ht="24.95" customHeight="1" x14ac:dyDescent="0.25">
      <c r="V1331" s="2">
        <f>Таблица1[[#This Row],[Дата перевода]]-Таблица1[[#This Row],[Дата поступления]]</f>
        <v>0</v>
      </c>
      <c r="W1331" s="2">
        <f>Таблица1[[#This Row],[Дата поступления]]-Таблица1[[#This Row],[Дата рождения]]</f>
        <v>0</v>
      </c>
    </row>
    <row r="1332" spans="22:23" ht="24.95" customHeight="1" x14ac:dyDescent="0.25">
      <c r="V1332" s="2">
        <f>Таблица1[[#This Row],[Дата перевода]]-Таблица1[[#This Row],[Дата поступления]]</f>
        <v>0</v>
      </c>
      <c r="W1332" s="2">
        <f>Таблица1[[#This Row],[Дата поступления]]-Таблица1[[#This Row],[Дата рождения]]</f>
        <v>0</v>
      </c>
    </row>
    <row r="1333" spans="22:23" ht="24.95" customHeight="1" x14ac:dyDescent="0.25">
      <c r="V1333" s="2">
        <f>Таблица1[[#This Row],[Дата перевода]]-Таблица1[[#This Row],[Дата поступления]]</f>
        <v>0</v>
      </c>
      <c r="W1333" s="2">
        <f>Таблица1[[#This Row],[Дата поступления]]-Таблица1[[#This Row],[Дата рождения]]</f>
        <v>0</v>
      </c>
    </row>
    <row r="1334" spans="22:23" ht="24.95" customHeight="1" x14ac:dyDescent="0.25">
      <c r="V1334" s="2">
        <f>Таблица1[[#This Row],[Дата перевода]]-Таблица1[[#This Row],[Дата поступления]]</f>
        <v>0</v>
      </c>
      <c r="W1334" s="2">
        <f>Таблица1[[#This Row],[Дата поступления]]-Таблица1[[#This Row],[Дата рождения]]</f>
        <v>0</v>
      </c>
    </row>
    <row r="1335" spans="22:23" ht="24.95" customHeight="1" x14ac:dyDescent="0.25">
      <c r="V1335" s="2">
        <f>Таблица1[[#This Row],[Дата перевода]]-Таблица1[[#This Row],[Дата поступления]]</f>
        <v>0</v>
      </c>
      <c r="W1335" s="2">
        <f>Таблица1[[#This Row],[Дата поступления]]-Таблица1[[#This Row],[Дата рождения]]</f>
        <v>0</v>
      </c>
    </row>
    <row r="1336" spans="22:23" ht="24.95" customHeight="1" x14ac:dyDescent="0.25">
      <c r="V1336" s="2">
        <f>Таблица1[[#This Row],[Дата перевода]]-Таблица1[[#This Row],[Дата поступления]]</f>
        <v>0</v>
      </c>
      <c r="W1336" s="2">
        <f>Таблица1[[#This Row],[Дата поступления]]-Таблица1[[#This Row],[Дата рождения]]</f>
        <v>0</v>
      </c>
    </row>
    <row r="1337" spans="22:23" ht="24.95" customHeight="1" x14ac:dyDescent="0.25">
      <c r="V1337" s="2">
        <f>Таблица1[[#This Row],[Дата перевода]]-Таблица1[[#This Row],[Дата поступления]]</f>
        <v>0</v>
      </c>
      <c r="W1337" s="2">
        <f>Таблица1[[#This Row],[Дата поступления]]-Таблица1[[#This Row],[Дата рождения]]</f>
        <v>0</v>
      </c>
    </row>
    <row r="1338" spans="22:23" ht="24.95" customHeight="1" x14ac:dyDescent="0.25">
      <c r="V1338" s="2">
        <f>Таблица1[[#This Row],[Дата перевода]]-Таблица1[[#This Row],[Дата поступления]]</f>
        <v>0</v>
      </c>
      <c r="W1338" s="2">
        <f>Таблица1[[#This Row],[Дата поступления]]-Таблица1[[#This Row],[Дата рождения]]</f>
        <v>0</v>
      </c>
    </row>
    <row r="1339" spans="22:23" ht="24.95" customHeight="1" x14ac:dyDescent="0.25">
      <c r="V1339" s="2">
        <f>Таблица1[[#This Row],[Дата перевода]]-Таблица1[[#This Row],[Дата поступления]]</f>
        <v>0</v>
      </c>
      <c r="W1339" s="2">
        <f>Таблица1[[#This Row],[Дата поступления]]-Таблица1[[#This Row],[Дата рождения]]</f>
        <v>0</v>
      </c>
    </row>
    <row r="1340" spans="22:23" ht="24.95" customHeight="1" x14ac:dyDescent="0.25">
      <c r="V1340" s="2">
        <f>Таблица1[[#This Row],[Дата перевода]]-Таблица1[[#This Row],[Дата поступления]]</f>
        <v>0</v>
      </c>
      <c r="W1340" s="2">
        <f>Таблица1[[#This Row],[Дата поступления]]-Таблица1[[#This Row],[Дата рождения]]</f>
        <v>0</v>
      </c>
    </row>
    <row r="1341" spans="22:23" ht="24.95" customHeight="1" x14ac:dyDescent="0.25">
      <c r="V1341" s="2">
        <f>Таблица1[[#This Row],[Дата перевода]]-Таблица1[[#This Row],[Дата поступления]]</f>
        <v>0</v>
      </c>
      <c r="W1341" s="2">
        <f>Таблица1[[#This Row],[Дата поступления]]-Таблица1[[#This Row],[Дата рождения]]</f>
        <v>0</v>
      </c>
    </row>
    <row r="1342" spans="22:23" ht="24.95" customHeight="1" x14ac:dyDescent="0.25">
      <c r="V1342" s="2">
        <f>Таблица1[[#This Row],[Дата перевода]]-Таблица1[[#This Row],[Дата поступления]]</f>
        <v>0</v>
      </c>
      <c r="W1342" s="2">
        <f>Таблица1[[#This Row],[Дата поступления]]-Таблица1[[#This Row],[Дата рождения]]</f>
        <v>0</v>
      </c>
    </row>
    <row r="1343" spans="22:23" ht="24.95" customHeight="1" x14ac:dyDescent="0.25">
      <c r="V1343" s="2">
        <f>Таблица1[[#This Row],[Дата перевода]]-Таблица1[[#This Row],[Дата поступления]]</f>
        <v>0</v>
      </c>
      <c r="W1343" s="2">
        <f>Таблица1[[#This Row],[Дата поступления]]-Таблица1[[#This Row],[Дата рождения]]</f>
        <v>0</v>
      </c>
    </row>
    <row r="1344" spans="22:23" ht="24.95" customHeight="1" x14ac:dyDescent="0.25">
      <c r="V1344" s="2">
        <f>Таблица1[[#This Row],[Дата перевода]]-Таблица1[[#This Row],[Дата поступления]]</f>
        <v>0</v>
      </c>
      <c r="W1344" s="2">
        <f>Таблица1[[#This Row],[Дата поступления]]-Таблица1[[#This Row],[Дата рождения]]</f>
        <v>0</v>
      </c>
    </row>
    <row r="1345" spans="22:23" ht="24.95" customHeight="1" x14ac:dyDescent="0.25">
      <c r="V1345" s="2">
        <f>Таблица1[[#This Row],[Дата перевода]]-Таблица1[[#This Row],[Дата поступления]]</f>
        <v>0</v>
      </c>
      <c r="W1345" s="2">
        <f>Таблица1[[#This Row],[Дата поступления]]-Таблица1[[#This Row],[Дата рождения]]</f>
        <v>0</v>
      </c>
    </row>
    <row r="1346" spans="22:23" ht="24.95" customHeight="1" x14ac:dyDescent="0.25">
      <c r="V1346" s="2">
        <f>Таблица1[[#This Row],[Дата перевода]]-Таблица1[[#This Row],[Дата поступления]]</f>
        <v>0</v>
      </c>
      <c r="W1346" s="2">
        <f>Таблица1[[#This Row],[Дата поступления]]-Таблица1[[#This Row],[Дата рождения]]</f>
        <v>0</v>
      </c>
    </row>
    <row r="1347" spans="22:23" ht="24.95" customHeight="1" x14ac:dyDescent="0.25">
      <c r="V1347" s="2">
        <f>Таблица1[[#This Row],[Дата перевода]]-Таблица1[[#This Row],[Дата поступления]]</f>
        <v>0</v>
      </c>
      <c r="W1347" s="2">
        <f>Таблица1[[#This Row],[Дата поступления]]-Таблица1[[#This Row],[Дата рождения]]</f>
        <v>0</v>
      </c>
    </row>
    <row r="1348" spans="22:23" ht="24.95" customHeight="1" x14ac:dyDescent="0.25">
      <c r="V1348" s="2">
        <f>Таблица1[[#This Row],[Дата перевода]]-Таблица1[[#This Row],[Дата поступления]]</f>
        <v>0</v>
      </c>
      <c r="W1348" s="2">
        <f>Таблица1[[#This Row],[Дата поступления]]-Таблица1[[#This Row],[Дата рождения]]</f>
        <v>0</v>
      </c>
    </row>
    <row r="1349" spans="22:23" ht="24.95" customHeight="1" x14ac:dyDescent="0.25">
      <c r="V1349" s="2">
        <f>Таблица1[[#This Row],[Дата перевода]]-Таблица1[[#This Row],[Дата поступления]]</f>
        <v>0</v>
      </c>
      <c r="W1349" s="2">
        <f>Таблица1[[#This Row],[Дата поступления]]-Таблица1[[#This Row],[Дата рождения]]</f>
        <v>0</v>
      </c>
    </row>
    <row r="1350" spans="22:23" ht="24.95" customHeight="1" x14ac:dyDescent="0.25">
      <c r="V1350" s="2">
        <f>Таблица1[[#This Row],[Дата перевода]]-Таблица1[[#This Row],[Дата поступления]]</f>
        <v>0</v>
      </c>
      <c r="W1350" s="2">
        <f>Таблица1[[#This Row],[Дата поступления]]-Таблица1[[#This Row],[Дата рождения]]</f>
        <v>0</v>
      </c>
    </row>
    <row r="1351" spans="22:23" ht="24.95" customHeight="1" x14ac:dyDescent="0.25">
      <c r="V1351" s="2">
        <f>Таблица1[[#This Row],[Дата перевода]]-Таблица1[[#This Row],[Дата поступления]]</f>
        <v>0</v>
      </c>
      <c r="W1351" s="2">
        <f>Таблица1[[#This Row],[Дата поступления]]-Таблица1[[#This Row],[Дата рождения]]</f>
        <v>0</v>
      </c>
    </row>
    <row r="1352" spans="22:23" ht="24.95" customHeight="1" x14ac:dyDescent="0.25">
      <c r="V1352" s="2">
        <f>Таблица1[[#This Row],[Дата перевода]]-Таблица1[[#This Row],[Дата поступления]]</f>
        <v>0</v>
      </c>
      <c r="W1352" s="2">
        <f>Таблица1[[#This Row],[Дата поступления]]-Таблица1[[#This Row],[Дата рождения]]</f>
        <v>0</v>
      </c>
    </row>
    <row r="1353" spans="22:23" ht="24.95" customHeight="1" x14ac:dyDescent="0.25">
      <c r="V1353" s="2">
        <f>Таблица1[[#This Row],[Дата перевода]]-Таблица1[[#This Row],[Дата поступления]]</f>
        <v>0</v>
      </c>
      <c r="W1353" s="2">
        <f>Таблица1[[#This Row],[Дата поступления]]-Таблица1[[#This Row],[Дата рождения]]</f>
        <v>0</v>
      </c>
    </row>
    <row r="1354" spans="22:23" ht="24.95" customHeight="1" x14ac:dyDescent="0.25">
      <c r="V1354" s="2">
        <f>Таблица1[[#This Row],[Дата перевода]]-Таблица1[[#This Row],[Дата поступления]]</f>
        <v>0</v>
      </c>
      <c r="W1354" s="2">
        <f>Таблица1[[#This Row],[Дата поступления]]-Таблица1[[#This Row],[Дата рождения]]</f>
        <v>0</v>
      </c>
    </row>
    <row r="1355" spans="22:23" ht="24.95" customHeight="1" x14ac:dyDescent="0.25">
      <c r="V1355" s="2">
        <f>Таблица1[[#This Row],[Дата перевода]]-Таблица1[[#This Row],[Дата поступления]]</f>
        <v>0</v>
      </c>
      <c r="W1355" s="2">
        <f>Таблица1[[#This Row],[Дата поступления]]-Таблица1[[#This Row],[Дата рождения]]</f>
        <v>0</v>
      </c>
    </row>
    <row r="1356" spans="22:23" ht="24.95" customHeight="1" x14ac:dyDescent="0.25">
      <c r="V1356" s="2">
        <f>Таблица1[[#This Row],[Дата перевода]]-Таблица1[[#This Row],[Дата поступления]]</f>
        <v>0</v>
      </c>
      <c r="W1356" s="2">
        <f>Таблица1[[#This Row],[Дата поступления]]-Таблица1[[#This Row],[Дата рождения]]</f>
        <v>0</v>
      </c>
    </row>
    <row r="1357" spans="22:23" ht="24.95" customHeight="1" x14ac:dyDescent="0.25">
      <c r="V1357" s="2">
        <f>Таблица1[[#This Row],[Дата перевода]]-Таблица1[[#This Row],[Дата поступления]]</f>
        <v>0</v>
      </c>
      <c r="W1357" s="2">
        <f>Таблица1[[#This Row],[Дата поступления]]-Таблица1[[#This Row],[Дата рождения]]</f>
        <v>0</v>
      </c>
    </row>
    <row r="1358" spans="22:23" ht="24.95" customHeight="1" x14ac:dyDescent="0.25">
      <c r="V1358" s="2">
        <f>Таблица1[[#This Row],[Дата перевода]]-Таблица1[[#This Row],[Дата поступления]]</f>
        <v>0</v>
      </c>
      <c r="W1358" s="2">
        <f>Таблица1[[#This Row],[Дата поступления]]-Таблица1[[#This Row],[Дата рождения]]</f>
        <v>0</v>
      </c>
    </row>
    <row r="1359" spans="22:23" ht="24.95" customHeight="1" x14ac:dyDescent="0.25">
      <c r="V1359" s="2">
        <f>Таблица1[[#This Row],[Дата перевода]]-Таблица1[[#This Row],[Дата поступления]]</f>
        <v>0</v>
      </c>
      <c r="W1359" s="2">
        <f>Таблица1[[#This Row],[Дата поступления]]-Таблица1[[#This Row],[Дата рождения]]</f>
        <v>0</v>
      </c>
    </row>
    <row r="1360" spans="22:23" ht="24.95" customHeight="1" x14ac:dyDescent="0.25">
      <c r="V1360" s="2">
        <f>Таблица1[[#This Row],[Дата перевода]]-Таблица1[[#This Row],[Дата поступления]]</f>
        <v>0</v>
      </c>
      <c r="W1360" s="2">
        <f>Таблица1[[#This Row],[Дата поступления]]-Таблица1[[#This Row],[Дата рождения]]</f>
        <v>0</v>
      </c>
    </row>
    <row r="1361" spans="22:23" ht="24.95" customHeight="1" x14ac:dyDescent="0.25">
      <c r="V1361" s="2">
        <f>Таблица1[[#This Row],[Дата перевода]]-Таблица1[[#This Row],[Дата поступления]]</f>
        <v>0</v>
      </c>
      <c r="W1361" s="2">
        <f>Таблица1[[#This Row],[Дата поступления]]-Таблица1[[#This Row],[Дата рождения]]</f>
        <v>0</v>
      </c>
    </row>
    <row r="1362" spans="22:23" ht="24.95" customHeight="1" x14ac:dyDescent="0.25">
      <c r="V1362" s="2">
        <f>Таблица1[[#This Row],[Дата перевода]]-Таблица1[[#This Row],[Дата поступления]]</f>
        <v>0</v>
      </c>
      <c r="W1362" s="2">
        <f>Таблица1[[#This Row],[Дата поступления]]-Таблица1[[#This Row],[Дата рождения]]</f>
        <v>0</v>
      </c>
    </row>
    <row r="1363" spans="22:23" ht="24.95" customHeight="1" x14ac:dyDescent="0.25">
      <c r="V1363" s="2">
        <f>Таблица1[[#This Row],[Дата перевода]]-Таблица1[[#This Row],[Дата поступления]]</f>
        <v>0</v>
      </c>
      <c r="W1363" s="2">
        <f>Таблица1[[#This Row],[Дата поступления]]-Таблица1[[#This Row],[Дата рождения]]</f>
        <v>0</v>
      </c>
    </row>
    <row r="1364" spans="22:23" ht="24.95" customHeight="1" x14ac:dyDescent="0.25">
      <c r="V1364" s="2">
        <f>Таблица1[[#This Row],[Дата перевода]]-Таблица1[[#This Row],[Дата поступления]]</f>
        <v>0</v>
      </c>
      <c r="W1364" s="2">
        <f>Таблица1[[#This Row],[Дата поступления]]-Таблица1[[#This Row],[Дата рождения]]</f>
        <v>0</v>
      </c>
    </row>
    <row r="1365" spans="22:23" ht="24.95" customHeight="1" x14ac:dyDescent="0.25">
      <c r="V1365" s="2">
        <f>Таблица1[[#This Row],[Дата перевода]]-Таблица1[[#This Row],[Дата поступления]]</f>
        <v>0</v>
      </c>
      <c r="W1365" s="2">
        <f>Таблица1[[#This Row],[Дата поступления]]-Таблица1[[#This Row],[Дата рождения]]</f>
        <v>0</v>
      </c>
    </row>
    <row r="1366" spans="22:23" ht="24.95" customHeight="1" x14ac:dyDescent="0.25">
      <c r="V1366" s="2">
        <f>Таблица1[[#This Row],[Дата перевода]]-Таблица1[[#This Row],[Дата поступления]]</f>
        <v>0</v>
      </c>
      <c r="W1366" s="2">
        <f>Таблица1[[#This Row],[Дата поступления]]-Таблица1[[#This Row],[Дата рождения]]</f>
        <v>0</v>
      </c>
    </row>
    <row r="1367" spans="22:23" ht="24.95" customHeight="1" x14ac:dyDescent="0.25">
      <c r="V1367" s="2">
        <f>Таблица1[[#This Row],[Дата перевода]]-Таблица1[[#This Row],[Дата поступления]]</f>
        <v>0</v>
      </c>
      <c r="W1367" s="2">
        <f>Таблица1[[#This Row],[Дата поступления]]-Таблица1[[#This Row],[Дата рождения]]</f>
        <v>0</v>
      </c>
    </row>
    <row r="1368" spans="22:23" ht="24.95" customHeight="1" x14ac:dyDescent="0.25">
      <c r="V1368" s="2">
        <f>Таблица1[[#This Row],[Дата перевода]]-Таблица1[[#This Row],[Дата поступления]]</f>
        <v>0</v>
      </c>
      <c r="W1368" s="2">
        <f>Таблица1[[#This Row],[Дата поступления]]-Таблица1[[#This Row],[Дата рождения]]</f>
        <v>0</v>
      </c>
    </row>
    <row r="1369" spans="22:23" ht="24.95" customHeight="1" x14ac:dyDescent="0.25">
      <c r="V1369" s="2">
        <f>Таблица1[[#This Row],[Дата перевода]]-Таблица1[[#This Row],[Дата поступления]]</f>
        <v>0</v>
      </c>
      <c r="W1369" s="2">
        <f>Таблица1[[#This Row],[Дата поступления]]-Таблица1[[#This Row],[Дата рождения]]</f>
        <v>0</v>
      </c>
    </row>
    <row r="1370" spans="22:23" ht="24.95" customHeight="1" x14ac:dyDescent="0.25">
      <c r="V1370" s="2">
        <f>Таблица1[[#This Row],[Дата перевода]]-Таблица1[[#This Row],[Дата поступления]]</f>
        <v>0</v>
      </c>
      <c r="W1370" s="2">
        <f>Таблица1[[#This Row],[Дата поступления]]-Таблица1[[#This Row],[Дата рождения]]</f>
        <v>0</v>
      </c>
    </row>
    <row r="1371" spans="22:23" ht="24.95" customHeight="1" x14ac:dyDescent="0.25">
      <c r="V1371" s="2">
        <f>Таблица1[[#This Row],[Дата перевода]]-Таблица1[[#This Row],[Дата поступления]]</f>
        <v>0</v>
      </c>
      <c r="W1371" s="2">
        <f>Таблица1[[#This Row],[Дата поступления]]-Таблица1[[#This Row],[Дата рождения]]</f>
        <v>0</v>
      </c>
    </row>
    <row r="1372" spans="22:23" ht="24.95" customHeight="1" x14ac:dyDescent="0.25">
      <c r="V1372" s="2">
        <f>Таблица1[[#This Row],[Дата перевода]]-Таблица1[[#This Row],[Дата поступления]]</f>
        <v>0</v>
      </c>
      <c r="W1372" s="2">
        <f>Таблица1[[#This Row],[Дата поступления]]-Таблица1[[#This Row],[Дата рождения]]</f>
        <v>0</v>
      </c>
    </row>
    <row r="1373" spans="22:23" ht="24.95" customHeight="1" x14ac:dyDescent="0.25">
      <c r="V1373" s="2">
        <f>Таблица1[[#This Row],[Дата перевода]]-Таблица1[[#This Row],[Дата поступления]]</f>
        <v>0</v>
      </c>
      <c r="W1373" s="2">
        <f>Таблица1[[#This Row],[Дата поступления]]-Таблица1[[#This Row],[Дата рождения]]</f>
        <v>0</v>
      </c>
    </row>
    <row r="1374" spans="22:23" ht="24.95" customHeight="1" x14ac:dyDescent="0.25">
      <c r="V1374" s="2">
        <f>Таблица1[[#This Row],[Дата перевода]]-Таблица1[[#This Row],[Дата поступления]]</f>
        <v>0</v>
      </c>
      <c r="W1374" s="2">
        <f>Таблица1[[#This Row],[Дата поступления]]-Таблица1[[#This Row],[Дата рождения]]</f>
        <v>0</v>
      </c>
    </row>
    <row r="1375" spans="22:23" ht="24.95" customHeight="1" x14ac:dyDescent="0.25">
      <c r="V1375" s="2">
        <f>Таблица1[[#This Row],[Дата перевода]]-Таблица1[[#This Row],[Дата поступления]]</f>
        <v>0</v>
      </c>
      <c r="W1375" s="2">
        <f>Таблица1[[#This Row],[Дата поступления]]-Таблица1[[#This Row],[Дата рождения]]</f>
        <v>0</v>
      </c>
    </row>
    <row r="1376" spans="22:23" ht="24.95" customHeight="1" x14ac:dyDescent="0.25">
      <c r="V1376" s="2">
        <f>Таблица1[[#This Row],[Дата перевода]]-Таблица1[[#This Row],[Дата поступления]]</f>
        <v>0</v>
      </c>
      <c r="W1376" s="2">
        <f>Таблица1[[#This Row],[Дата поступления]]-Таблица1[[#This Row],[Дата рождения]]</f>
        <v>0</v>
      </c>
    </row>
    <row r="1377" spans="22:23" ht="24.95" customHeight="1" x14ac:dyDescent="0.25">
      <c r="V1377" s="2">
        <f>Таблица1[[#This Row],[Дата перевода]]-Таблица1[[#This Row],[Дата поступления]]</f>
        <v>0</v>
      </c>
      <c r="W1377" s="2">
        <f>Таблица1[[#This Row],[Дата поступления]]-Таблица1[[#This Row],[Дата рождения]]</f>
        <v>0</v>
      </c>
    </row>
    <row r="1378" spans="22:23" ht="24.95" customHeight="1" x14ac:dyDescent="0.25">
      <c r="V1378" s="2">
        <f>Таблица1[[#This Row],[Дата перевода]]-Таблица1[[#This Row],[Дата поступления]]</f>
        <v>0</v>
      </c>
      <c r="W1378" s="2">
        <f>Таблица1[[#This Row],[Дата поступления]]-Таблица1[[#This Row],[Дата рождения]]</f>
        <v>0</v>
      </c>
    </row>
    <row r="1379" spans="22:23" ht="24.95" customHeight="1" x14ac:dyDescent="0.25">
      <c r="V1379" s="2">
        <f>Таблица1[[#This Row],[Дата перевода]]-Таблица1[[#This Row],[Дата поступления]]</f>
        <v>0</v>
      </c>
      <c r="W1379" s="2">
        <f>Таблица1[[#This Row],[Дата поступления]]-Таблица1[[#This Row],[Дата рождения]]</f>
        <v>0</v>
      </c>
    </row>
    <row r="1380" spans="22:23" ht="24.95" customHeight="1" x14ac:dyDescent="0.25">
      <c r="V1380" s="2">
        <f>Таблица1[[#This Row],[Дата перевода]]-Таблица1[[#This Row],[Дата поступления]]</f>
        <v>0</v>
      </c>
      <c r="W1380" s="2">
        <f>Таблица1[[#This Row],[Дата поступления]]-Таблица1[[#This Row],[Дата рождения]]</f>
        <v>0</v>
      </c>
    </row>
    <row r="1381" spans="22:23" ht="24.95" customHeight="1" x14ac:dyDescent="0.25">
      <c r="V1381" s="2">
        <f>Таблица1[[#This Row],[Дата перевода]]-Таблица1[[#This Row],[Дата поступления]]</f>
        <v>0</v>
      </c>
      <c r="W1381" s="2">
        <f>Таблица1[[#This Row],[Дата поступления]]-Таблица1[[#This Row],[Дата рождения]]</f>
        <v>0</v>
      </c>
    </row>
    <row r="1382" spans="22:23" ht="24.95" customHeight="1" x14ac:dyDescent="0.25">
      <c r="V1382" s="2">
        <f>Таблица1[[#This Row],[Дата перевода]]-Таблица1[[#This Row],[Дата поступления]]</f>
        <v>0</v>
      </c>
      <c r="W1382" s="2">
        <f>Таблица1[[#This Row],[Дата поступления]]-Таблица1[[#This Row],[Дата рождения]]</f>
        <v>0</v>
      </c>
    </row>
    <row r="1383" spans="22:23" ht="24.95" customHeight="1" x14ac:dyDescent="0.25">
      <c r="V1383" s="2">
        <f>Таблица1[[#This Row],[Дата перевода]]-Таблица1[[#This Row],[Дата поступления]]</f>
        <v>0</v>
      </c>
      <c r="W1383" s="2">
        <f>Таблица1[[#This Row],[Дата поступления]]-Таблица1[[#This Row],[Дата рождения]]</f>
        <v>0</v>
      </c>
    </row>
    <row r="1384" spans="22:23" ht="24.95" customHeight="1" x14ac:dyDescent="0.25">
      <c r="V1384" s="2">
        <f>Таблица1[[#This Row],[Дата перевода]]-Таблица1[[#This Row],[Дата поступления]]</f>
        <v>0</v>
      </c>
      <c r="W1384" s="2">
        <f>Таблица1[[#This Row],[Дата поступления]]-Таблица1[[#This Row],[Дата рождения]]</f>
        <v>0</v>
      </c>
    </row>
    <row r="1385" spans="22:23" ht="24.95" customHeight="1" x14ac:dyDescent="0.25">
      <c r="V1385" s="2">
        <f>Таблица1[[#This Row],[Дата перевода]]-Таблица1[[#This Row],[Дата поступления]]</f>
        <v>0</v>
      </c>
      <c r="W1385" s="2">
        <f>Таблица1[[#This Row],[Дата поступления]]-Таблица1[[#This Row],[Дата рождения]]</f>
        <v>0</v>
      </c>
    </row>
    <row r="1386" spans="22:23" ht="24.95" customHeight="1" x14ac:dyDescent="0.25">
      <c r="V1386" s="2">
        <f>Таблица1[[#This Row],[Дата перевода]]-Таблица1[[#This Row],[Дата поступления]]</f>
        <v>0</v>
      </c>
      <c r="W1386" s="2">
        <f>Таблица1[[#This Row],[Дата поступления]]-Таблица1[[#This Row],[Дата рождения]]</f>
        <v>0</v>
      </c>
    </row>
    <row r="1387" spans="22:23" ht="24.95" customHeight="1" x14ac:dyDescent="0.25">
      <c r="V1387" s="2">
        <f>Таблица1[[#This Row],[Дата перевода]]-Таблица1[[#This Row],[Дата поступления]]</f>
        <v>0</v>
      </c>
      <c r="W1387" s="2">
        <f>Таблица1[[#This Row],[Дата поступления]]-Таблица1[[#This Row],[Дата рождения]]</f>
        <v>0</v>
      </c>
    </row>
    <row r="1388" spans="22:23" ht="24.95" customHeight="1" x14ac:dyDescent="0.25">
      <c r="V1388" s="2">
        <f>Таблица1[[#This Row],[Дата перевода]]-Таблица1[[#This Row],[Дата поступления]]</f>
        <v>0</v>
      </c>
      <c r="W1388" s="2">
        <f>Таблица1[[#This Row],[Дата поступления]]-Таблица1[[#This Row],[Дата рождения]]</f>
        <v>0</v>
      </c>
    </row>
    <row r="1389" spans="22:23" ht="24.95" customHeight="1" x14ac:dyDescent="0.25">
      <c r="V1389" s="2">
        <f>Таблица1[[#This Row],[Дата перевода]]-Таблица1[[#This Row],[Дата поступления]]</f>
        <v>0</v>
      </c>
      <c r="W1389" s="2">
        <f>Таблица1[[#This Row],[Дата поступления]]-Таблица1[[#This Row],[Дата рождения]]</f>
        <v>0</v>
      </c>
    </row>
    <row r="1390" spans="22:23" ht="24.95" customHeight="1" x14ac:dyDescent="0.25">
      <c r="V1390" s="2">
        <f>Таблица1[[#This Row],[Дата перевода]]-Таблица1[[#This Row],[Дата поступления]]</f>
        <v>0</v>
      </c>
      <c r="W1390" s="2">
        <f>Таблица1[[#This Row],[Дата поступления]]-Таблица1[[#This Row],[Дата рождения]]</f>
        <v>0</v>
      </c>
    </row>
    <row r="1391" spans="22:23" ht="24.95" customHeight="1" x14ac:dyDescent="0.25">
      <c r="V1391" s="2">
        <f>Таблица1[[#This Row],[Дата перевода]]-Таблица1[[#This Row],[Дата поступления]]</f>
        <v>0</v>
      </c>
      <c r="W1391" s="2">
        <f>Таблица1[[#This Row],[Дата поступления]]-Таблица1[[#This Row],[Дата рождения]]</f>
        <v>0</v>
      </c>
    </row>
    <row r="1392" spans="22:23" ht="24.95" customHeight="1" x14ac:dyDescent="0.25">
      <c r="V1392" s="2">
        <f>Таблица1[[#This Row],[Дата перевода]]-Таблица1[[#This Row],[Дата поступления]]</f>
        <v>0</v>
      </c>
      <c r="W1392" s="2">
        <f>Таблица1[[#This Row],[Дата поступления]]-Таблица1[[#This Row],[Дата рождения]]</f>
        <v>0</v>
      </c>
    </row>
    <row r="1393" spans="22:23" ht="24.95" customHeight="1" x14ac:dyDescent="0.25">
      <c r="V1393" s="2">
        <f>Таблица1[[#This Row],[Дата перевода]]-Таблица1[[#This Row],[Дата поступления]]</f>
        <v>0</v>
      </c>
      <c r="W1393" s="2">
        <f>Таблица1[[#This Row],[Дата поступления]]-Таблица1[[#This Row],[Дата рождения]]</f>
        <v>0</v>
      </c>
    </row>
    <row r="1394" spans="22:23" ht="24.95" customHeight="1" x14ac:dyDescent="0.25">
      <c r="V1394" s="2">
        <f>Таблица1[[#This Row],[Дата перевода]]-Таблица1[[#This Row],[Дата поступления]]</f>
        <v>0</v>
      </c>
      <c r="W1394" s="2">
        <f>Таблица1[[#This Row],[Дата поступления]]-Таблица1[[#This Row],[Дата рождения]]</f>
        <v>0</v>
      </c>
    </row>
    <row r="1395" spans="22:23" ht="24.95" customHeight="1" x14ac:dyDescent="0.25">
      <c r="V1395" s="2">
        <f>Таблица1[[#This Row],[Дата перевода]]-Таблица1[[#This Row],[Дата поступления]]</f>
        <v>0</v>
      </c>
      <c r="W1395" s="2">
        <f>Таблица1[[#This Row],[Дата поступления]]-Таблица1[[#This Row],[Дата рождения]]</f>
        <v>0</v>
      </c>
    </row>
    <row r="1396" spans="22:23" ht="24.95" customHeight="1" x14ac:dyDescent="0.25">
      <c r="V1396" s="2">
        <f>Таблица1[[#This Row],[Дата перевода]]-Таблица1[[#This Row],[Дата поступления]]</f>
        <v>0</v>
      </c>
      <c r="W1396" s="2">
        <f>Таблица1[[#This Row],[Дата поступления]]-Таблица1[[#This Row],[Дата рождения]]</f>
        <v>0</v>
      </c>
    </row>
    <row r="1397" spans="22:23" ht="24.95" customHeight="1" x14ac:dyDescent="0.25">
      <c r="V1397" s="2">
        <f>Таблица1[[#This Row],[Дата перевода]]-Таблица1[[#This Row],[Дата поступления]]</f>
        <v>0</v>
      </c>
      <c r="W1397" s="2">
        <f>Таблица1[[#This Row],[Дата поступления]]-Таблица1[[#This Row],[Дата рождения]]</f>
        <v>0</v>
      </c>
    </row>
    <row r="1398" spans="22:23" ht="24.95" customHeight="1" x14ac:dyDescent="0.25">
      <c r="V1398" s="2">
        <f>Таблица1[[#This Row],[Дата перевода]]-Таблица1[[#This Row],[Дата поступления]]</f>
        <v>0</v>
      </c>
      <c r="W1398" s="2">
        <f>Таблица1[[#This Row],[Дата поступления]]-Таблица1[[#This Row],[Дата рождения]]</f>
        <v>0</v>
      </c>
    </row>
    <row r="1399" spans="22:23" ht="24.95" customHeight="1" x14ac:dyDescent="0.25">
      <c r="V1399" s="2">
        <f>Таблица1[[#This Row],[Дата перевода]]-Таблица1[[#This Row],[Дата поступления]]</f>
        <v>0</v>
      </c>
      <c r="W1399" s="2">
        <f>Таблица1[[#This Row],[Дата поступления]]-Таблица1[[#This Row],[Дата рождения]]</f>
        <v>0</v>
      </c>
    </row>
    <row r="1400" spans="22:23" ht="24.95" customHeight="1" x14ac:dyDescent="0.25">
      <c r="V1400" s="2">
        <f>Таблица1[[#This Row],[Дата перевода]]-Таблица1[[#This Row],[Дата поступления]]</f>
        <v>0</v>
      </c>
      <c r="W1400" s="2">
        <f>Таблица1[[#This Row],[Дата поступления]]-Таблица1[[#This Row],[Дата рождения]]</f>
        <v>0</v>
      </c>
    </row>
    <row r="1401" spans="22:23" ht="24.95" customHeight="1" x14ac:dyDescent="0.25">
      <c r="V1401" s="2">
        <f>Таблица1[[#This Row],[Дата перевода]]-Таблица1[[#This Row],[Дата поступления]]</f>
        <v>0</v>
      </c>
      <c r="W1401" s="2">
        <f>Таблица1[[#This Row],[Дата поступления]]-Таблица1[[#This Row],[Дата рождения]]</f>
        <v>0</v>
      </c>
    </row>
    <row r="1402" spans="22:23" ht="24.95" customHeight="1" x14ac:dyDescent="0.25">
      <c r="V1402" s="2">
        <f>Таблица1[[#This Row],[Дата перевода]]-Таблица1[[#This Row],[Дата поступления]]</f>
        <v>0</v>
      </c>
      <c r="W1402" s="2">
        <f>Таблица1[[#This Row],[Дата поступления]]-Таблица1[[#This Row],[Дата рождения]]</f>
        <v>0</v>
      </c>
    </row>
    <row r="1403" spans="22:23" ht="24.95" customHeight="1" x14ac:dyDescent="0.25">
      <c r="V1403" s="2">
        <f>Таблица1[[#This Row],[Дата перевода]]-Таблица1[[#This Row],[Дата поступления]]</f>
        <v>0</v>
      </c>
      <c r="W1403" s="2">
        <f>Таблица1[[#This Row],[Дата поступления]]-Таблица1[[#This Row],[Дата рождения]]</f>
        <v>0</v>
      </c>
    </row>
    <row r="1404" spans="22:23" ht="24.95" customHeight="1" x14ac:dyDescent="0.25">
      <c r="V1404" s="2">
        <f>Таблица1[[#This Row],[Дата перевода]]-Таблица1[[#This Row],[Дата поступления]]</f>
        <v>0</v>
      </c>
      <c r="W1404" s="2">
        <f>Таблица1[[#This Row],[Дата поступления]]-Таблица1[[#This Row],[Дата рождения]]</f>
        <v>0</v>
      </c>
    </row>
    <row r="1405" spans="22:23" ht="24.95" customHeight="1" x14ac:dyDescent="0.25">
      <c r="V1405" s="2">
        <f>Таблица1[[#This Row],[Дата перевода]]-Таблица1[[#This Row],[Дата поступления]]</f>
        <v>0</v>
      </c>
      <c r="W1405" s="2">
        <f>Таблица1[[#This Row],[Дата поступления]]-Таблица1[[#This Row],[Дата рождения]]</f>
        <v>0</v>
      </c>
    </row>
    <row r="1406" spans="22:23" ht="24.95" customHeight="1" x14ac:dyDescent="0.25">
      <c r="V1406" s="2">
        <f>Таблица1[[#This Row],[Дата перевода]]-Таблица1[[#This Row],[Дата поступления]]</f>
        <v>0</v>
      </c>
      <c r="W1406" s="2">
        <f>Таблица1[[#This Row],[Дата поступления]]-Таблица1[[#This Row],[Дата рождения]]</f>
        <v>0</v>
      </c>
    </row>
    <row r="1407" spans="22:23" ht="24.95" customHeight="1" x14ac:dyDescent="0.25">
      <c r="V1407" s="2">
        <f>Таблица1[[#This Row],[Дата перевода]]-Таблица1[[#This Row],[Дата поступления]]</f>
        <v>0</v>
      </c>
      <c r="W1407" s="2">
        <f>Таблица1[[#This Row],[Дата поступления]]-Таблица1[[#This Row],[Дата рождения]]</f>
        <v>0</v>
      </c>
    </row>
    <row r="1408" spans="22:23" ht="24.95" customHeight="1" x14ac:dyDescent="0.25">
      <c r="V1408" s="2">
        <f>Таблица1[[#This Row],[Дата перевода]]-Таблица1[[#This Row],[Дата поступления]]</f>
        <v>0</v>
      </c>
      <c r="W1408" s="2">
        <f>Таблица1[[#This Row],[Дата поступления]]-Таблица1[[#This Row],[Дата рождения]]</f>
        <v>0</v>
      </c>
    </row>
    <row r="1409" spans="22:23" ht="24.95" customHeight="1" x14ac:dyDescent="0.25">
      <c r="V1409" s="2">
        <f>Таблица1[[#This Row],[Дата перевода]]-Таблица1[[#This Row],[Дата поступления]]</f>
        <v>0</v>
      </c>
      <c r="W1409" s="2">
        <f>Таблица1[[#This Row],[Дата поступления]]-Таблица1[[#This Row],[Дата рождения]]</f>
        <v>0</v>
      </c>
    </row>
    <row r="1410" spans="22:23" ht="24.95" customHeight="1" x14ac:dyDescent="0.25">
      <c r="V1410" s="2">
        <f>Таблица1[[#This Row],[Дата перевода]]-Таблица1[[#This Row],[Дата поступления]]</f>
        <v>0</v>
      </c>
      <c r="W1410" s="2">
        <f>Таблица1[[#This Row],[Дата поступления]]-Таблица1[[#This Row],[Дата рождения]]</f>
        <v>0</v>
      </c>
    </row>
    <row r="1411" spans="22:23" ht="24.95" customHeight="1" x14ac:dyDescent="0.25">
      <c r="V1411" s="2">
        <f>Таблица1[[#This Row],[Дата перевода]]-Таблица1[[#This Row],[Дата поступления]]</f>
        <v>0</v>
      </c>
      <c r="W1411" s="2">
        <f>Таблица1[[#This Row],[Дата поступления]]-Таблица1[[#This Row],[Дата рождения]]</f>
        <v>0</v>
      </c>
    </row>
    <row r="1412" spans="22:23" ht="24.95" customHeight="1" x14ac:dyDescent="0.25">
      <c r="V1412" s="2">
        <f>Таблица1[[#This Row],[Дата перевода]]-Таблица1[[#This Row],[Дата поступления]]</f>
        <v>0</v>
      </c>
      <c r="W1412" s="2">
        <f>Таблица1[[#This Row],[Дата поступления]]-Таблица1[[#This Row],[Дата рождения]]</f>
        <v>0</v>
      </c>
    </row>
    <row r="1413" spans="22:23" ht="24.95" customHeight="1" x14ac:dyDescent="0.25">
      <c r="V1413" s="2">
        <f>Таблица1[[#This Row],[Дата перевода]]-Таблица1[[#This Row],[Дата поступления]]</f>
        <v>0</v>
      </c>
      <c r="W1413" s="2">
        <f>Таблица1[[#This Row],[Дата поступления]]-Таблица1[[#This Row],[Дата рождения]]</f>
        <v>0</v>
      </c>
    </row>
    <row r="1414" spans="22:23" ht="24.95" customHeight="1" x14ac:dyDescent="0.25">
      <c r="V1414" s="2">
        <f>Таблица1[[#This Row],[Дата перевода]]-Таблица1[[#This Row],[Дата поступления]]</f>
        <v>0</v>
      </c>
      <c r="W1414" s="2">
        <f>Таблица1[[#This Row],[Дата поступления]]-Таблица1[[#This Row],[Дата рождения]]</f>
        <v>0</v>
      </c>
    </row>
    <row r="1415" spans="22:23" ht="24.95" customHeight="1" x14ac:dyDescent="0.25">
      <c r="V1415" s="2">
        <f>Таблица1[[#This Row],[Дата перевода]]-Таблица1[[#This Row],[Дата поступления]]</f>
        <v>0</v>
      </c>
      <c r="W1415" s="2">
        <f>Таблица1[[#This Row],[Дата поступления]]-Таблица1[[#This Row],[Дата рождения]]</f>
        <v>0</v>
      </c>
    </row>
    <row r="1416" spans="22:23" ht="24.95" customHeight="1" x14ac:dyDescent="0.25">
      <c r="V1416" s="2">
        <f>Таблица1[[#This Row],[Дата перевода]]-Таблица1[[#This Row],[Дата поступления]]</f>
        <v>0</v>
      </c>
      <c r="W1416" s="2">
        <f>Таблица1[[#This Row],[Дата поступления]]-Таблица1[[#This Row],[Дата рождения]]</f>
        <v>0</v>
      </c>
    </row>
    <row r="1417" spans="22:23" ht="24.95" customHeight="1" x14ac:dyDescent="0.25">
      <c r="V1417" s="2">
        <f>Таблица1[[#This Row],[Дата перевода]]-Таблица1[[#This Row],[Дата поступления]]</f>
        <v>0</v>
      </c>
      <c r="W1417" s="2">
        <f>Таблица1[[#This Row],[Дата поступления]]-Таблица1[[#This Row],[Дата рождения]]</f>
        <v>0</v>
      </c>
    </row>
    <row r="1418" spans="22:23" ht="24.95" customHeight="1" x14ac:dyDescent="0.25">
      <c r="V1418" s="2">
        <f>Таблица1[[#This Row],[Дата перевода]]-Таблица1[[#This Row],[Дата поступления]]</f>
        <v>0</v>
      </c>
      <c r="W1418" s="2">
        <f>Таблица1[[#This Row],[Дата поступления]]-Таблица1[[#This Row],[Дата рождения]]</f>
        <v>0</v>
      </c>
    </row>
    <row r="1419" spans="22:23" ht="24.95" customHeight="1" x14ac:dyDescent="0.25">
      <c r="V1419" s="2">
        <f>Таблица1[[#This Row],[Дата перевода]]-Таблица1[[#This Row],[Дата поступления]]</f>
        <v>0</v>
      </c>
      <c r="W1419" s="2">
        <f>Таблица1[[#This Row],[Дата поступления]]-Таблица1[[#This Row],[Дата рождения]]</f>
        <v>0</v>
      </c>
    </row>
    <row r="1420" spans="22:23" ht="24.95" customHeight="1" x14ac:dyDescent="0.25">
      <c r="V1420" s="2">
        <f>Таблица1[[#This Row],[Дата перевода]]-Таблица1[[#This Row],[Дата поступления]]</f>
        <v>0</v>
      </c>
      <c r="W1420" s="2">
        <f>Таблица1[[#This Row],[Дата поступления]]-Таблица1[[#This Row],[Дата рождения]]</f>
        <v>0</v>
      </c>
    </row>
    <row r="1421" spans="22:23" ht="24.95" customHeight="1" x14ac:dyDescent="0.25">
      <c r="V1421" s="2">
        <f>Таблица1[[#This Row],[Дата перевода]]-Таблица1[[#This Row],[Дата поступления]]</f>
        <v>0</v>
      </c>
      <c r="W1421" s="2">
        <f>Таблица1[[#This Row],[Дата поступления]]-Таблица1[[#This Row],[Дата рождения]]</f>
        <v>0</v>
      </c>
    </row>
    <row r="1422" spans="22:23" ht="24.95" customHeight="1" x14ac:dyDescent="0.25">
      <c r="V1422" s="2">
        <f>Таблица1[[#This Row],[Дата перевода]]-Таблица1[[#This Row],[Дата поступления]]</f>
        <v>0</v>
      </c>
      <c r="W1422" s="2">
        <f>Таблица1[[#This Row],[Дата поступления]]-Таблица1[[#This Row],[Дата рождения]]</f>
        <v>0</v>
      </c>
    </row>
    <row r="1423" spans="22:23" ht="24.95" customHeight="1" x14ac:dyDescent="0.25">
      <c r="V1423" s="2">
        <f>Таблица1[[#This Row],[Дата перевода]]-Таблица1[[#This Row],[Дата поступления]]</f>
        <v>0</v>
      </c>
      <c r="W1423" s="2">
        <f>Таблица1[[#This Row],[Дата поступления]]-Таблица1[[#This Row],[Дата рождения]]</f>
        <v>0</v>
      </c>
    </row>
    <row r="1424" spans="22:23" ht="24.95" customHeight="1" x14ac:dyDescent="0.25">
      <c r="V1424" s="2">
        <f>Таблица1[[#This Row],[Дата перевода]]-Таблица1[[#This Row],[Дата поступления]]</f>
        <v>0</v>
      </c>
      <c r="W1424" s="2">
        <f>Таблица1[[#This Row],[Дата поступления]]-Таблица1[[#This Row],[Дата рождения]]</f>
        <v>0</v>
      </c>
    </row>
    <row r="1425" spans="22:23" ht="24.95" customHeight="1" x14ac:dyDescent="0.25">
      <c r="V1425" s="2">
        <f>Таблица1[[#This Row],[Дата перевода]]-Таблица1[[#This Row],[Дата поступления]]</f>
        <v>0</v>
      </c>
      <c r="W1425" s="2">
        <f>Таблица1[[#This Row],[Дата поступления]]-Таблица1[[#This Row],[Дата рождения]]</f>
        <v>0</v>
      </c>
    </row>
    <row r="1426" spans="22:23" ht="24.95" customHeight="1" x14ac:dyDescent="0.25">
      <c r="V1426" s="2">
        <f>Таблица1[[#This Row],[Дата перевода]]-Таблица1[[#This Row],[Дата поступления]]</f>
        <v>0</v>
      </c>
      <c r="W1426" s="2">
        <f>Таблица1[[#This Row],[Дата поступления]]-Таблица1[[#This Row],[Дата рождения]]</f>
        <v>0</v>
      </c>
    </row>
    <row r="1427" spans="22:23" ht="24.95" customHeight="1" x14ac:dyDescent="0.25">
      <c r="V1427" s="2">
        <f>Таблица1[[#This Row],[Дата перевода]]-Таблица1[[#This Row],[Дата поступления]]</f>
        <v>0</v>
      </c>
      <c r="W1427" s="2">
        <f>Таблица1[[#This Row],[Дата поступления]]-Таблица1[[#This Row],[Дата рождения]]</f>
        <v>0</v>
      </c>
    </row>
    <row r="1428" spans="22:23" ht="24.95" customHeight="1" x14ac:dyDescent="0.25">
      <c r="V1428" s="2">
        <f>Таблица1[[#This Row],[Дата перевода]]-Таблица1[[#This Row],[Дата поступления]]</f>
        <v>0</v>
      </c>
      <c r="W1428" s="2">
        <f>Таблица1[[#This Row],[Дата поступления]]-Таблица1[[#This Row],[Дата рождения]]</f>
        <v>0</v>
      </c>
    </row>
    <row r="1429" spans="22:23" ht="24.95" customHeight="1" x14ac:dyDescent="0.25">
      <c r="V1429" s="2">
        <f>Таблица1[[#This Row],[Дата перевода]]-Таблица1[[#This Row],[Дата поступления]]</f>
        <v>0</v>
      </c>
      <c r="W1429" s="2">
        <f>Таблица1[[#This Row],[Дата поступления]]-Таблица1[[#This Row],[Дата рождения]]</f>
        <v>0</v>
      </c>
    </row>
    <row r="1430" spans="22:23" ht="24.95" customHeight="1" x14ac:dyDescent="0.25">
      <c r="V1430" s="2">
        <f>Таблица1[[#This Row],[Дата перевода]]-Таблица1[[#This Row],[Дата поступления]]</f>
        <v>0</v>
      </c>
      <c r="W1430" s="2">
        <f>Таблица1[[#This Row],[Дата поступления]]-Таблица1[[#This Row],[Дата рождения]]</f>
        <v>0</v>
      </c>
    </row>
    <row r="1431" spans="22:23" ht="24.95" customHeight="1" x14ac:dyDescent="0.25">
      <c r="V1431" s="2">
        <f>Таблица1[[#This Row],[Дата перевода]]-Таблица1[[#This Row],[Дата поступления]]</f>
        <v>0</v>
      </c>
      <c r="W1431" s="2">
        <f>Таблица1[[#This Row],[Дата поступления]]-Таблица1[[#This Row],[Дата рождения]]</f>
        <v>0</v>
      </c>
    </row>
    <row r="1432" spans="22:23" ht="24.95" customHeight="1" x14ac:dyDescent="0.25">
      <c r="V1432" s="2">
        <f>Таблица1[[#This Row],[Дата перевода]]-Таблица1[[#This Row],[Дата поступления]]</f>
        <v>0</v>
      </c>
      <c r="W1432" s="2">
        <f>Таблица1[[#This Row],[Дата поступления]]-Таблица1[[#This Row],[Дата рождения]]</f>
        <v>0</v>
      </c>
    </row>
    <row r="1433" spans="22:23" ht="24.95" customHeight="1" x14ac:dyDescent="0.25">
      <c r="V1433" s="2">
        <f>Таблица1[[#This Row],[Дата перевода]]-Таблица1[[#This Row],[Дата поступления]]</f>
        <v>0</v>
      </c>
      <c r="W1433" s="2">
        <f>Таблица1[[#This Row],[Дата поступления]]-Таблица1[[#This Row],[Дата рождения]]</f>
        <v>0</v>
      </c>
    </row>
    <row r="1434" spans="22:23" ht="24.95" customHeight="1" x14ac:dyDescent="0.25">
      <c r="V1434" s="2">
        <f>Таблица1[[#This Row],[Дата перевода]]-Таблица1[[#This Row],[Дата поступления]]</f>
        <v>0</v>
      </c>
      <c r="W1434" s="2">
        <f>Таблица1[[#This Row],[Дата поступления]]-Таблица1[[#This Row],[Дата рождения]]</f>
        <v>0</v>
      </c>
    </row>
    <row r="1435" spans="22:23" ht="24.95" customHeight="1" x14ac:dyDescent="0.25">
      <c r="V1435" s="2">
        <f>Таблица1[[#This Row],[Дата перевода]]-Таблица1[[#This Row],[Дата поступления]]</f>
        <v>0</v>
      </c>
      <c r="W1435" s="2">
        <f>Таблица1[[#This Row],[Дата поступления]]-Таблица1[[#This Row],[Дата рождения]]</f>
        <v>0</v>
      </c>
    </row>
    <row r="1436" spans="22:23" ht="24.95" customHeight="1" x14ac:dyDescent="0.25">
      <c r="V1436" s="2">
        <f>Таблица1[[#This Row],[Дата перевода]]-Таблица1[[#This Row],[Дата поступления]]</f>
        <v>0</v>
      </c>
      <c r="W1436" s="2">
        <f>Таблица1[[#This Row],[Дата поступления]]-Таблица1[[#This Row],[Дата рождения]]</f>
        <v>0</v>
      </c>
    </row>
    <row r="1437" spans="22:23" ht="24.95" customHeight="1" x14ac:dyDescent="0.25">
      <c r="V1437" s="2">
        <f>Таблица1[[#This Row],[Дата перевода]]-Таблица1[[#This Row],[Дата поступления]]</f>
        <v>0</v>
      </c>
      <c r="W1437" s="2">
        <f>Таблица1[[#This Row],[Дата поступления]]-Таблица1[[#This Row],[Дата рождения]]</f>
        <v>0</v>
      </c>
    </row>
    <row r="1438" spans="22:23" ht="24.95" customHeight="1" x14ac:dyDescent="0.25">
      <c r="V1438" s="2">
        <f>Таблица1[[#This Row],[Дата перевода]]-Таблица1[[#This Row],[Дата поступления]]</f>
        <v>0</v>
      </c>
      <c r="W1438" s="2">
        <f>Таблица1[[#This Row],[Дата поступления]]-Таблица1[[#This Row],[Дата рождения]]</f>
        <v>0</v>
      </c>
    </row>
    <row r="1439" spans="22:23" ht="24.95" customHeight="1" x14ac:dyDescent="0.25">
      <c r="V1439" s="2">
        <f>Таблица1[[#This Row],[Дата перевода]]-Таблица1[[#This Row],[Дата поступления]]</f>
        <v>0</v>
      </c>
      <c r="W1439" s="2">
        <f>Таблица1[[#This Row],[Дата поступления]]-Таблица1[[#This Row],[Дата рождения]]</f>
        <v>0</v>
      </c>
    </row>
    <row r="1440" spans="22:23" ht="24.95" customHeight="1" x14ac:dyDescent="0.25">
      <c r="V1440" s="2">
        <f>Таблица1[[#This Row],[Дата перевода]]-Таблица1[[#This Row],[Дата поступления]]</f>
        <v>0</v>
      </c>
      <c r="W1440" s="2">
        <f>Таблица1[[#This Row],[Дата поступления]]-Таблица1[[#This Row],[Дата рождения]]</f>
        <v>0</v>
      </c>
    </row>
    <row r="1441" spans="22:23" ht="24.95" customHeight="1" x14ac:dyDescent="0.25">
      <c r="V1441" s="2">
        <f>Таблица1[[#This Row],[Дата перевода]]-Таблица1[[#This Row],[Дата поступления]]</f>
        <v>0</v>
      </c>
      <c r="W1441" s="2">
        <f>Таблица1[[#This Row],[Дата поступления]]-Таблица1[[#This Row],[Дата рождения]]</f>
        <v>0</v>
      </c>
    </row>
    <row r="1442" spans="22:23" ht="24.95" customHeight="1" x14ac:dyDescent="0.25">
      <c r="V1442" s="2">
        <f>Таблица1[[#This Row],[Дата перевода]]-Таблица1[[#This Row],[Дата поступления]]</f>
        <v>0</v>
      </c>
      <c r="W1442" s="2">
        <f>Таблица1[[#This Row],[Дата поступления]]-Таблица1[[#This Row],[Дата рождения]]</f>
        <v>0</v>
      </c>
    </row>
    <row r="1443" spans="22:23" ht="24.95" customHeight="1" x14ac:dyDescent="0.25">
      <c r="V1443" s="2">
        <f>Таблица1[[#This Row],[Дата перевода]]-Таблица1[[#This Row],[Дата поступления]]</f>
        <v>0</v>
      </c>
      <c r="W1443" s="2">
        <f>Таблица1[[#This Row],[Дата поступления]]-Таблица1[[#This Row],[Дата рождения]]</f>
        <v>0</v>
      </c>
    </row>
    <row r="1444" spans="22:23" ht="24.95" customHeight="1" x14ac:dyDescent="0.25">
      <c r="V1444" s="2">
        <f>Таблица1[[#This Row],[Дата перевода]]-Таблица1[[#This Row],[Дата поступления]]</f>
        <v>0</v>
      </c>
      <c r="W1444" s="2">
        <f>Таблица1[[#This Row],[Дата поступления]]-Таблица1[[#This Row],[Дата рождения]]</f>
        <v>0</v>
      </c>
    </row>
    <row r="1445" spans="22:23" ht="24.95" customHeight="1" x14ac:dyDescent="0.25">
      <c r="V1445" s="2">
        <f>Таблица1[[#This Row],[Дата перевода]]-Таблица1[[#This Row],[Дата поступления]]</f>
        <v>0</v>
      </c>
      <c r="W1445" s="2">
        <f>Таблица1[[#This Row],[Дата поступления]]-Таблица1[[#This Row],[Дата рождения]]</f>
        <v>0</v>
      </c>
    </row>
    <row r="1446" spans="22:23" ht="24.95" customHeight="1" x14ac:dyDescent="0.25">
      <c r="V1446" s="2">
        <f>Таблица1[[#This Row],[Дата перевода]]-Таблица1[[#This Row],[Дата поступления]]</f>
        <v>0</v>
      </c>
      <c r="W1446" s="2">
        <f>Таблица1[[#This Row],[Дата поступления]]-Таблица1[[#This Row],[Дата рождения]]</f>
        <v>0</v>
      </c>
    </row>
    <row r="1447" spans="22:23" ht="24.95" customHeight="1" x14ac:dyDescent="0.25">
      <c r="V1447" s="2">
        <f>Таблица1[[#This Row],[Дата перевода]]-Таблица1[[#This Row],[Дата поступления]]</f>
        <v>0</v>
      </c>
      <c r="W1447" s="2">
        <f>Таблица1[[#This Row],[Дата поступления]]-Таблица1[[#This Row],[Дата рождения]]</f>
        <v>0</v>
      </c>
    </row>
    <row r="1448" spans="22:23" ht="24.95" customHeight="1" x14ac:dyDescent="0.25">
      <c r="V1448" s="2">
        <f>Таблица1[[#This Row],[Дата перевода]]-Таблица1[[#This Row],[Дата поступления]]</f>
        <v>0</v>
      </c>
      <c r="W1448" s="2">
        <f>Таблица1[[#This Row],[Дата поступления]]-Таблица1[[#This Row],[Дата рождения]]</f>
        <v>0</v>
      </c>
    </row>
    <row r="1449" spans="22:23" ht="24.95" customHeight="1" x14ac:dyDescent="0.25">
      <c r="V1449" s="2">
        <f>Таблица1[[#This Row],[Дата перевода]]-Таблица1[[#This Row],[Дата поступления]]</f>
        <v>0</v>
      </c>
      <c r="W1449" s="2">
        <f>Таблица1[[#This Row],[Дата поступления]]-Таблица1[[#This Row],[Дата рождения]]</f>
        <v>0</v>
      </c>
    </row>
    <row r="1450" spans="22:23" ht="24.95" customHeight="1" x14ac:dyDescent="0.25">
      <c r="V1450" s="2">
        <f>Таблица1[[#This Row],[Дата перевода]]-Таблица1[[#This Row],[Дата поступления]]</f>
        <v>0</v>
      </c>
      <c r="W1450" s="2">
        <f>Таблица1[[#This Row],[Дата поступления]]-Таблица1[[#This Row],[Дата рождения]]</f>
        <v>0</v>
      </c>
    </row>
    <row r="1451" spans="22:23" ht="24.95" customHeight="1" x14ac:dyDescent="0.25">
      <c r="V1451" s="2">
        <f>Таблица1[[#This Row],[Дата перевода]]-Таблица1[[#This Row],[Дата поступления]]</f>
        <v>0</v>
      </c>
      <c r="W1451" s="2">
        <f>Таблица1[[#This Row],[Дата поступления]]-Таблица1[[#This Row],[Дата рождения]]</f>
        <v>0</v>
      </c>
    </row>
    <row r="1452" spans="22:23" ht="24.95" customHeight="1" x14ac:dyDescent="0.25">
      <c r="V1452" s="2">
        <f>Таблица1[[#This Row],[Дата перевода]]-Таблица1[[#This Row],[Дата поступления]]</f>
        <v>0</v>
      </c>
      <c r="W1452" s="2">
        <f>Таблица1[[#This Row],[Дата поступления]]-Таблица1[[#This Row],[Дата рождения]]</f>
        <v>0</v>
      </c>
    </row>
    <row r="1453" spans="22:23" ht="24.95" customHeight="1" x14ac:dyDescent="0.25">
      <c r="V1453" s="2">
        <f>Таблица1[[#This Row],[Дата перевода]]-Таблица1[[#This Row],[Дата поступления]]</f>
        <v>0</v>
      </c>
      <c r="W1453" s="2">
        <f>Таблица1[[#This Row],[Дата поступления]]-Таблица1[[#This Row],[Дата рождения]]</f>
        <v>0</v>
      </c>
    </row>
    <row r="1454" spans="22:23" ht="24.95" customHeight="1" x14ac:dyDescent="0.25">
      <c r="V1454" s="2">
        <f>Таблица1[[#This Row],[Дата перевода]]-Таблица1[[#This Row],[Дата поступления]]</f>
        <v>0</v>
      </c>
      <c r="W1454" s="2">
        <f>Таблица1[[#This Row],[Дата поступления]]-Таблица1[[#This Row],[Дата рождения]]</f>
        <v>0</v>
      </c>
    </row>
    <row r="1455" spans="22:23" ht="24.95" customHeight="1" x14ac:dyDescent="0.25">
      <c r="V1455" s="2">
        <f>Таблица1[[#This Row],[Дата перевода]]-Таблица1[[#This Row],[Дата поступления]]</f>
        <v>0</v>
      </c>
      <c r="W1455" s="2">
        <f>Таблица1[[#This Row],[Дата поступления]]-Таблица1[[#This Row],[Дата рождения]]</f>
        <v>0</v>
      </c>
    </row>
    <row r="1456" spans="22:23" ht="24.95" customHeight="1" x14ac:dyDescent="0.25">
      <c r="V1456" s="2">
        <f>Таблица1[[#This Row],[Дата перевода]]-Таблица1[[#This Row],[Дата поступления]]</f>
        <v>0</v>
      </c>
      <c r="W1456" s="2">
        <f>Таблица1[[#This Row],[Дата поступления]]-Таблица1[[#This Row],[Дата рождения]]</f>
        <v>0</v>
      </c>
    </row>
    <row r="1457" spans="22:23" ht="24.95" customHeight="1" x14ac:dyDescent="0.25">
      <c r="V1457" s="2">
        <f>Таблица1[[#This Row],[Дата перевода]]-Таблица1[[#This Row],[Дата поступления]]</f>
        <v>0</v>
      </c>
      <c r="W1457" s="2">
        <f>Таблица1[[#This Row],[Дата поступления]]-Таблица1[[#This Row],[Дата рождения]]</f>
        <v>0</v>
      </c>
    </row>
    <row r="1458" spans="22:23" ht="24.95" customHeight="1" x14ac:dyDescent="0.25">
      <c r="V1458" s="2">
        <f>Таблица1[[#This Row],[Дата перевода]]-Таблица1[[#This Row],[Дата поступления]]</f>
        <v>0</v>
      </c>
      <c r="W1458" s="2">
        <f>Таблица1[[#This Row],[Дата поступления]]-Таблица1[[#This Row],[Дата рождения]]</f>
        <v>0</v>
      </c>
    </row>
    <row r="1459" spans="22:23" ht="24.95" customHeight="1" x14ac:dyDescent="0.25">
      <c r="V1459" s="2">
        <f>Таблица1[[#This Row],[Дата перевода]]-Таблица1[[#This Row],[Дата поступления]]</f>
        <v>0</v>
      </c>
      <c r="W1459" s="2">
        <f>Таблица1[[#This Row],[Дата поступления]]-Таблица1[[#This Row],[Дата рождения]]</f>
        <v>0</v>
      </c>
    </row>
    <row r="1460" spans="22:23" ht="24.95" customHeight="1" x14ac:dyDescent="0.25">
      <c r="V1460" s="2">
        <f>Таблица1[[#This Row],[Дата перевода]]-Таблица1[[#This Row],[Дата поступления]]</f>
        <v>0</v>
      </c>
      <c r="W1460" s="2">
        <f>Таблица1[[#This Row],[Дата поступления]]-Таблица1[[#This Row],[Дата рождения]]</f>
        <v>0</v>
      </c>
    </row>
    <row r="1461" spans="22:23" ht="24.95" customHeight="1" x14ac:dyDescent="0.25">
      <c r="V1461" s="2">
        <f>Таблица1[[#This Row],[Дата перевода]]-Таблица1[[#This Row],[Дата поступления]]</f>
        <v>0</v>
      </c>
      <c r="W1461" s="2">
        <f>Таблица1[[#This Row],[Дата поступления]]-Таблица1[[#This Row],[Дата рождения]]</f>
        <v>0</v>
      </c>
    </row>
    <row r="1462" spans="22:23" ht="24.95" customHeight="1" x14ac:dyDescent="0.25">
      <c r="V1462" s="2">
        <f>Таблица1[[#This Row],[Дата перевода]]-Таблица1[[#This Row],[Дата поступления]]</f>
        <v>0</v>
      </c>
      <c r="W1462" s="2">
        <f>Таблица1[[#This Row],[Дата поступления]]-Таблица1[[#This Row],[Дата рождения]]</f>
        <v>0</v>
      </c>
    </row>
    <row r="1463" spans="22:23" ht="24.95" customHeight="1" x14ac:dyDescent="0.25">
      <c r="V1463" s="2">
        <f>Таблица1[[#This Row],[Дата перевода]]-Таблица1[[#This Row],[Дата поступления]]</f>
        <v>0</v>
      </c>
      <c r="W1463" s="2">
        <f>Таблица1[[#This Row],[Дата поступления]]-Таблица1[[#This Row],[Дата рождения]]</f>
        <v>0</v>
      </c>
    </row>
    <row r="1464" spans="22:23" ht="24.95" customHeight="1" x14ac:dyDescent="0.25">
      <c r="V1464" s="2">
        <f>Таблица1[[#This Row],[Дата перевода]]-Таблица1[[#This Row],[Дата поступления]]</f>
        <v>0</v>
      </c>
      <c r="W1464" s="2">
        <f>Таблица1[[#This Row],[Дата поступления]]-Таблица1[[#This Row],[Дата рождения]]</f>
        <v>0</v>
      </c>
    </row>
    <row r="1465" spans="22:23" ht="24.95" customHeight="1" x14ac:dyDescent="0.25">
      <c r="V1465" s="2">
        <f>Таблица1[[#This Row],[Дата перевода]]-Таблица1[[#This Row],[Дата поступления]]</f>
        <v>0</v>
      </c>
      <c r="W1465" s="2">
        <f>Таблица1[[#This Row],[Дата поступления]]-Таблица1[[#This Row],[Дата рождения]]</f>
        <v>0</v>
      </c>
    </row>
    <row r="1466" spans="22:23" ht="24.95" customHeight="1" x14ac:dyDescent="0.25">
      <c r="V1466" s="2">
        <f>Таблица1[[#This Row],[Дата перевода]]-Таблица1[[#This Row],[Дата поступления]]</f>
        <v>0</v>
      </c>
      <c r="W1466" s="2">
        <f>Таблица1[[#This Row],[Дата поступления]]-Таблица1[[#This Row],[Дата рождения]]</f>
        <v>0</v>
      </c>
    </row>
    <row r="1467" spans="22:23" ht="24.95" customHeight="1" x14ac:dyDescent="0.25">
      <c r="V1467" s="2">
        <f>Таблица1[[#This Row],[Дата перевода]]-Таблица1[[#This Row],[Дата поступления]]</f>
        <v>0</v>
      </c>
      <c r="W1467" s="2">
        <f>Таблица1[[#This Row],[Дата поступления]]-Таблица1[[#This Row],[Дата рождения]]</f>
        <v>0</v>
      </c>
    </row>
    <row r="1468" spans="22:23" ht="24.95" customHeight="1" x14ac:dyDescent="0.25">
      <c r="V1468" s="2">
        <f>Таблица1[[#This Row],[Дата перевода]]-Таблица1[[#This Row],[Дата поступления]]</f>
        <v>0</v>
      </c>
      <c r="W1468" s="2">
        <f>Таблица1[[#This Row],[Дата поступления]]-Таблица1[[#This Row],[Дата рождения]]</f>
        <v>0</v>
      </c>
    </row>
    <row r="1469" spans="22:23" ht="24.95" customHeight="1" x14ac:dyDescent="0.25">
      <c r="V1469" s="2">
        <f>Таблица1[[#This Row],[Дата перевода]]-Таблица1[[#This Row],[Дата поступления]]</f>
        <v>0</v>
      </c>
      <c r="W1469" s="2">
        <f>Таблица1[[#This Row],[Дата поступления]]-Таблица1[[#This Row],[Дата рождения]]</f>
        <v>0</v>
      </c>
    </row>
    <row r="1470" spans="22:23" ht="24.95" customHeight="1" x14ac:dyDescent="0.25">
      <c r="V1470" s="2">
        <f>Таблица1[[#This Row],[Дата перевода]]-Таблица1[[#This Row],[Дата поступления]]</f>
        <v>0</v>
      </c>
      <c r="W1470" s="2">
        <f>Таблица1[[#This Row],[Дата поступления]]-Таблица1[[#This Row],[Дата рождения]]</f>
        <v>0</v>
      </c>
    </row>
    <row r="1471" spans="22:23" ht="24.95" customHeight="1" x14ac:dyDescent="0.25">
      <c r="V1471" s="2">
        <f>Таблица1[[#This Row],[Дата перевода]]-Таблица1[[#This Row],[Дата поступления]]</f>
        <v>0</v>
      </c>
      <c r="W1471" s="2">
        <f>Таблица1[[#This Row],[Дата поступления]]-Таблица1[[#This Row],[Дата рождения]]</f>
        <v>0</v>
      </c>
    </row>
    <row r="1472" spans="22:23" ht="24.95" customHeight="1" x14ac:dyDescent="0.25">
      <c r="V1472" s="2">
        <f>Таблица1[[#This Row],[Дата перевода]]-Таблица1[[#This Row],[Дата поступления]]</f>
        <v>0</v>
      </c>
      <c r="W1472" s="2">
        <f>Таблица1[[#This Row],[Дата поступления]]-Таблица1[[#This Row],[Дата рождения]]</f>
        <v>0</v>
      </c>
    </row>
    <row r="1473" spans="22:23" ht="24.95" customHeight="1" x14ac:dyDescent="0.25">
      <c r="V1473" s="2">
        <f>Таблица1[[#This Row],[Дата перевода]]-Таблица1[[#This Row],[Дата поступления]]</f>
        <v>0</v>
      </c>
      <c r="W1473" s="2">
        <f>Таблица1[[#This Row],[Дата поступления]]-Таблица1[[#This Row],[Дата рождения]]</f>
        <v>0</v>
      </c>
    </row>
    <row r="1474" spans="22:23" ht="24.95" customHeight="1" x14ac:dyDescent="0.25">
      <c r="V1474" s="2">
        <f>Таблица1[[#This Row],[Дата перевода]]-Таблица1[[#This Row],[Дата поступления]]</f>
        <v>0</v>
      </c>
      <c r="W1474" s="2">
        <f>Таблица1[[#This Row],[Дата поступления]]-Таблица1[[#This Row],[Дата рождения]]</f>
        <v>0</v>
      </c>
    </row>
    <row r="1475" spans="22:23" ht="24.95" customHeight="1" x14ac:dyDescent="0.25">
      <c r="V1475" s="2">
        <f>Таблица1[[#This Row],[Дата перевода]]-Таблица1[[#This Row],[Дата поступления]]</f>
        <v>0</v>
      </c>
      <c r="W1475" s="2">
        <f>Таблица1[[#This Row],[Дата поступления]]-Таблица1[[#This Row],[Дата рождения]]</f>
        <v>0</v>
      </c>
    </row>
    <row r="1476" spans="22:23" ht="24.95" customHeight="1" x14ac:dyDescent="0.25">
      <c r="V1476" s="2">
        <f>Таблица1[[#This Row],[Дата перевода]]-Таблица1[[#This Row],[Дата поступления]]</f>
        <v>0</v>
      </c>
      <c r="W1476" s="2">
        <f>Таблица1[[#This Row],[Дата поступления]]-Таблица1[[#This Row],[Дата рождения]]</f>
        <v>0</v>
      </c>
    </row>
    <row r="1477" spans="22:23" ht="24.95" customHeight="1" x14ac:dyDescent="0.25">
      <c r="V1477" s="2">
        <f>Таблица1[[#This Row],[Дата перевода]]-Таблица1[[#This Row],[Дата поступления]]</f>
        <v>0</v>
      </c>
      <c r="W1477" s="2">
        <f>Таблица1[[#This Row],[Дата поступления]]-Таблица1[[#This Row],[Дата рождения]]</f>
        <v>0</v>
      </c>
    </row>
    <row r="1478" spans="22:23" ht="24.95" customHeight="1" x14ac:dyDescent="0.25">
      <c r="V1478" s="2">
        <f>Таблица1[[#This Row],[Дата перевода]]-Таблица1[[#This Row],[Дата поступления]]</f>
        <v>0</v>
      </c>
      <c r="W1478" s="2">
        <f>Таблица1[[#This Row],[Дата поступления]]-Таблица1[[#This Row],[Дата рождения]]</f>
        <v>0</v>
      </c>
    </row>
    <row r="1479" spans="22:23" ht="24.95" customHeight="1" x14ac:dyDescent="0.25">
      <c r="V1479" s="2">
        <f>Таблица1[[#This Row],[Дата перевода]]-Таблица1[[#This Row],[Дата поступления]]</f>
        <v>0</v>
      </c>
      <c r="W1479" s="2">
        <f>Таблица1[[#This Row],[Дата поступления]]-Таблица1[[#This Row],[Дата рождения]]</f>
        <v>0</v>
      </c>
    </row>
    <row r="1480" spans="22:23" ht="24.95" customHeight="1" x14ac:dyDescent="0.25">
      <c r="V1480" s="2">
        <f>Таблица1[[#This Row],[Дата перевода]]-Таблица1[[#This Row],[Дата поступления]]</f>
        <v>0</v>
      </c>
      <c r="W1480" s="2">
        <f>Таблица1[[#This Row],[Дата поступления]]-Таблица1[[#This Row],[Дата рождения]]</f>
        <v>0</v>
      </c>
    </row>
    <row r="1481" spans="22:23" ht="24.95" customHeight="1" x14ac:dyDescent="0.25">
      <c r="V1481" s="2">
        <f>Таблица1[[#This Row],[Дата перевода]]-Таблица1[[#This Row],[Дата поступления]]</f>
        <v>0</v>
      </c>
      <c r="W1481" s="2">
        <f>Таблица1[[#This Row],[Дата поступления]]-Таблица1[[#This Row],[Дата рождения]]</f>
        <v>0</v>
      </c>
    </row>
    <row r="1482" spans="22:23" ht="24.95" customHeight="1" x14ac:dyDescent="0.25">
      <c r="V1482" s="2">
        <f>Таблица1[[#This Row],[Дата перевода]]-Таблица1[[#This Row],[Дата поступления]]</f>
        <v>0</v>
      </c>
      <c r="W1482" s="2">
        <f>Таблица1[[#This Row],[Дата поступления]]-Таблица1[[#This Row],[Дата рождения]]</f>
        <v>0</v>
      </c>
    </row>
    <row r="1483" spans="22:23" ht="24.95" customHeight="1" x14ac:dyDescent="0.25">
      <c r="V1483" s="2">
        <f>Таблица1[[#This Row],[Дата перевода]]-Таблица1[[#This Row],[Дата поступления]]</f>
        <v>0</v>
      </c>
      <c r="W1483" s="2">
        <f>Таблица1[[#This Row],[Дата поступления]]-Таблица1[[#This Row],[Дата рождения]]</f>
        <v>0</v>
      </c>
    </row>
    <row r="1484" spans="22:23" ht="24.95" customHeight="1" x14ac:dyDescent="0.25">
      <c r="V1484" s="2">
        <f>Таблица1[[#This Row],[Дата перевода]]-Таблица1[[#This Row],[Дата поступления]]</f>
        <v>0</v>
      </c>
      <c r="W1484" s="2">
        <f>Таблица1[[#This Row],[Дата поступления]]-Таблица1[[#This Row],[Дата рождения]]</f>
        <v>0</v>
      </c>
    </row>
    <row r="1485" spans="22:23" ht="24.95" customHeight="1" x14ac:dyDescent="0.25">
      <c r="V1485" s="2">
        <f>Таблица1[[#This Row],[Дата перевода]]-Таблица1[[#This Row],[Дата поступления]]</f>
        <v>0</v>
      </c>
      <c r="W1485" s="2">
        <f>Таблица1[[#This Row],[Дата поступления]]-Таблица1[[#This Row],[Дата рождения]]</f>
        <v>0</v>
      </c>
    </row>
    <row r="1486" spans="22:23" ht="24.95" customHeight="1" x14ac:dyDescent="0.25">
      <c r="V1486" s="2">
        <f>Таблица1[[#This Row],[Дата перевода]]-Таблица1[[#This Row],[Дата поступления]]</f>
        <v>0</v>
      </c>
      <c r="W1486" s="2">
        <f>Таблица1[[#This Row],[Дата поступления]]-Таблица1[[#This Row],[Дата рождения]]</f>
        <v>0</v>
      </c>
    </row>
    <row r="1487" spans="22:23" ht="24.95" customHeight="1" x14ac:dyDescent="0.25">
      <c r="V1487" s="2">
        <f>Таблица1[[#This Row],[Дата перевода]]-Таблица1[[#This Row],[Дата поступления]]</f>
        <v>0</v>
      </c>
      <c r="W1487" s="2">
        <f>Таблица1[[#This Row],[Дата поступления]]-Таблица1[[#This Row],[Дата рождения]]</f>
        <v>0</v>
      </c>
    </row>
    <row r="1488" spans="22:23" ht="24.95" customHeight="1" x14ac:dyDescent="0.25">
      <c r="V1488" s="2">
        <f>Таблица1[[#This Row],[Дата перевода]]-Таблица1[[#This Row],[Дата поступления]]</f>
        <v>0</v>
      </c>
      <c r="W1488" s="2">
        <f>Таблица1[[#This Row],[Дата поступления]]-Таблица1[[#This Row],[Дата рождения]]</f>
        <v>0</v>
      </c>
    </row>
    <row r="1489" spans="22:23" ht="24.95" customHeight="1" x14ac:dyDescent="0.25">
      <c r="V1489" s="2">
        <f>Таблица1[[#This Row],[Дата перевода]]-Таблица1[[#This Row],[Дата поступления]]</f>
        <v>0</v>
      </c>
      <c r="W1489" s="2">
        <f>Таблица1[[#This Row],[Дата поступления]]-Таблица1[[#This Row],[Дата рождения]]</f>
        <v>0</v>
      </c>
    </row>
    <row r="1490" spans="22:23" ht="24.95" customHeight="1" x14ac:dyDescent="0.25">
      <c r="V1490" s="2">
        <f>Таблица1[[#This Row],[Дата перевода]]-Таблица1[[#This Row],[Дата поступления]]</f>
        <v>0</v>
      </c>
      <c r="W1490" s="2">
        <f>Таблица1[[#This Row],[Дата поступления]]-Таблица1[[#This Row],[Дата рождения]]</f>
        <v>0</v>
      </c>
    </row>
    <row r="1491" spans="22:23" ht="24.95" customHeight="1" x14ac:dyDescent="0.25">
      <c r="V1491" s="2">
        <f>Таблица1[[#This Row],[Дата перевода]]-Таблица1[[#This Row],[Дата поступления]]</f>
        <v>0</v>
      </c>
      <c r="W1491" s="2">
        <f>Таблица1[[#This Row],[Дата поступления]]-Таблица1[[#This Row],[Дата рождения]]</f>
        <v>0</v>
      </c>
    </row>
    <row r="1492" spans="22:23" ht="24.95" customHeight="1" x14ac:dyDescent="0.25">
      <c r="V1492" s="2">
        <f>Таблица1[[#This Row],[Дата перевода]]-Таблица1[[#This Row],[Дата поступления]]</f>
        <v>0</v>
      </c>
      <c r="W1492" s="2">
        <f>Таблица1[[#This Row],[Дата поступления]]-Таблица1[[#This Row],[Дата рождения]]</f>
        <v>0</v>
      </c>
    </row>
    <row r="1493" spans="22:23" ht="24.95" customHeight="1" x14ac:dyDescent="0.25">
      <c r="V1493" s="2">
        <f>Таблица1[[#This Row],[Дата перевода]]-Таблица1[[#This Row],[Дата поступления]]</f>
        <v>0</v>
      </c>
      <c r="W1493" s="2">
        <f>Таблица1[[#This Row],[Дата поступления]]-Таблица1[[#This Row],[Дата рождения]]</f>
        <v>0</v>
      </c>
    </row>
    <row r="1494" spans="22:23" ht="24.95" customHeight="1" x14ac:dyDescent="0.25">
      <c r="V1494" s="2">
        <f>Таблица1[[#This Row],[Дата перевода]]-Таблица1[[#This Row],[Дата поступления]]</f>
        <v>0</v>
      </c>
      <c r="W1494" s="2">
        <f>Таблица1[[#This Row],[Дата поступления]]-Таблица1[[#This Row],[Дата рождения]]</f>
        <v>0</v>
      </c>
    </row>
    <row r="1495" spans="22:23" ht="24.95" customHeight="1" x14ac:dyDescent="0.25">
      <c r="V1495" s="2">
        <f>Таблица1[[#This Row],[Дата перевода]]-Таблица1[[#This Row],[Дата поступления]]</f>
        <v>0</v>
      </c>
      <c r="W1495" s="2">
        <f>Таблица1[[#This Row],[Дата поступления]]-Таблица1[[#This Row],[Дата рождения]]</f>
        <v>0</v>
      </c>
    </row>
    <row r="1496" spans="22:23" ht="24.95" customHeight="1" x14ac:dyDescent="0.25">
      <c r="V1496" s="2">
        <f>Таблица1[[#This Row],[Дата перевода]]-Таблица1[[#This Row],[Дата поступления]]</f>
        <v>0</v>
      </c>
      <c r="W1496" s="2">
        <f>Таблица1[[#This Row],[Дата поступления]]-Таблица1[[#This Row],[Дата рождения]]</f>
        <v>0</v>
      </c>
    </row>
    <row r="1497" spans="22:23" ht="24.95" customHeight="1" x14ac:dyDescent="0.25">
      <c r="V1497" s="2">
        <f>Таблица1[[#This Row],[Дата перевода]]-Таблица1[[#This Row],[Дата поступления]]</f>
        <v>0</v>
      </c>
      <c r="W1497" s="2">
        <f>Таблица1[[#This Row],[Дата поступления]]-Таблица1[[#This Row],[Дата рождения]]</f>
        <v>0</v>
      </c>
    </row>
    <row r="1498" spans="22:23" ht="24.95" customHeight="1" x14ac:dyDescent="0.25">
      <c r="V1498" s="2">
        <f>Таблица1[[#This Row],[Дата перевода]]-Таблица1[[#This Row],[Дата поступления]]</f>
        <v>0</v>
      </c>
      <c r="W1498" s="2">
        <f>Таблица1[[#This Row],[Дата поступления]]-Таблица1[[#This Row],[Дата рождения]]</f>
        <v>0</v>
      </c>
    </row>
    <row r="1499" spans="22:23" ht="24.95" customHeight="1" x14ac:dyDescent="0.25">
      <c r="V1499" s="2">
        <f>Таблица1[[#This Row],[Дата перевода]]-Таблица1[[#This Row],[Дата поступления]]</f>
        <v>0</v>
      </c>
      <c r="W1499" s="2">
        <f>Таблица1[[#This Row],[Дата поступления]]-Таблица1[[#This Row],[Дата рождения]]</f>
        <v>0</v>
      </c>
    </row>
    <row r="1500" spans="22:23" ht="24.95" customHeight="1" x14ac:dyDescent="0.25">
      <c r="V1500" s="2">
        <f>Таблица1[[#This Row],[Дата перевода]]-Таблица1[[#This Row],[Дата поступления]]</f>
        <v>0</v>
      </c>
      <c r="W1500" s="2">
        <f>Таблица1[[#This Row],[Дата поступления]]-Таблица1[[#This Row],[Дата рождения]]</f>
        <v>0</v>
      </c>
    </row>
    <row r="1501" spans="22:23" ht="24.95" customHeight="1" x14ac:dyDescent="0.25">
      <c r="V1501" s="2">
        <f>Таблица1[[#This Row],[Дата перевода]]-Таблица1[[#This Row],[Дата поступления]]</f>
        <v>0</v>
      </c>
      <c r="W1501" s="2">
        <f>Таблица1[[#This Row],[Дата поступления]]-Таблица1[[#This Row],[Дата рождения]]</f>
        <v>0</v>
      </c>
    </row>
    <row r="1502" spans="22:23" ht="24.95" customHeight="1" x14ac:dyDescent="0.25">
      <c r="V1502" s="2">
        <f>Таблица1[[#This Row],[Дата перевода]]-Таблица1[[#This Row],[Дата поступления]]</f>
        <v>0</v>
      </c>
      <c r="W1502" s="2">
        <f>Таблица1[[#This Row],[Дата поступления]]-Таблица1[[#This Row],[Дата рождения]]</f>
        <v>0</v>
      </c>
    </row>
    <row r="1503" spans="22:23" ht="24.95" customHeight="1" x14ac:dyDescent="0.25">
      <c r="V1503" s="2">
        <f>Таблица1[[#This Row],[Дата перевода]]-Таблица1[[#This Row],[Дата поступления]]</f>
        <v>0</v>
      </c>
      <c r="W1503" s="2">
        <f>Таблица1[[#This Row],[Дата поступления]]-Таблица1[[#This Row],[Дата рождения]]</f>
        <v>0</v>
      </c>
    </row>
    <row r="1504" spans="22:23" ht="24.95" customHeight="1" x14ac:dyDescent="0.25">
      <c r="V1504" s="2">
        <f>Таблица1[[#This Row],[Дата перевода]]-Таблица1[[#This Row],[Дата поступления]]</f>
        <v>0</v>
      </c>
      <c r="W1504" s="2">
        <f>Таблица1[[#This Row],[Дата поступления]]-Таблица1[[#This Row],[Дата рождения]]</f>
        <v>0</v>
      </c>
    </row>
    <row r="1505" spans="22:23" ht="24.95" customHeight="1" x14ac:dyDescent="0.25">
      <c r="V1505" s="2">
        <f>Таблица1[[#This Row],[Дата перевода]]-Таблица1[[#This Row],[Дата поступления]]</f>
        <v>0</v>
      </c>
      <c r="W1505" s="2">
        <f>Таблица1[[#This Row],[Дата поступления]]-Таблица1[[#This Row],[Дата рождения]]</f>
        <v>0</v>
      </c>
    </row>
    <row r="1506" spans="22:23" ht="24.95" customHeight="1" x14ac:dyDescent="0.25">
      <c r="V1506" s="2">
        <f>Таблица1[[#This Row],[Дата перевода]]-Таблица1[[#This Row],[Дата поступления]]</f>
        <v>0</v>
      </c>
      <c r="W1506" s="2">
        <f>Таблица1[[#This Row],[Дата поступления]]-Таблица1[[#This Row],[Дата рождения]]</f>
        <v>0</v>
      </c>
    </row>
    <row r="1507" spans="22:23" ht="24.95" customHeight="1" x14ac:dyDescent="0.25">
      <c r="V1507" s="2">
        <f>Таблица1[[#This Row],[Дата перевода]]-Таблица1[[#This Row],[Дата поступления]]</f>
        <v>0</v>
      </c>
      <c r="W1507" s="2">
        <f>Таблица1[[#This Row],[Дата поступления]]-Таблица1[[#This Row],[Дата рождения]]</f>
        <v>0</v>
      </c>
    </row>
    <row r="1508" spans="22:23" ht="24.95" customHeight="1" x14ac:dyDescent="0.25">
      <c r="V1508" s="2">
        <f>Таблица1[[#This Row],[Дата перевода]]-Таблица1[[#This Row],[Дата поступления]]</f>
        <v>0</v>
      </c>
      <c r="W1508" s="2">
        <f>Таблица1[[#This Row],[Дата поступления]]-Таблица1[[#This Row],[Дата рождения]]</f>
        <v>0</v>
      </c>
    </row>
    <row r="1509" spans="22:23" ht="24.95" customHeight="1" x14ac:dyDescent="0.25">
      <c r="V1509" s="2">
        <f>Таблица1[[#This Row],[Дата перевода]]-Таблица1[[#This Row],[Дата поступления]]</f>
        <v>0</v>
      </c>
      <c r="W1509" s="2">
        <f>Таблица1[[#This Row],[Дата поступления]]-Таблица1[[#This Row],[Дата рождения]]</f>
        <v>0</v>
      </c>
    </row>
    <row r="1510" spans="22:23" ht="24.95" customHeight="1" x14ac:dyDescent="0.25">
      <c r="V1510" s="2">
        <f>Таблица1[[#This Row],[Дата перевода]]-Таблица1[[#This Row],[Дата поступления]]</f>
        <v>0</v>
      </c>
      <c r="W1510" s="2">
        <f>Таблица1[[#This Row],[Дата поступления]]-Таблица1[[#This Row],[Дата рождения]]</f>
        <v>0</v>
      </c>
    </row>
    <row r="1511" spans="22:23" ht="24.95" customHeight="1" x14ac:dyDescent="0.25">
      <c r="V1511" s="2">
        <f>Таблица1[[#This Row],[Дата перевода]]-Таблица1[[#This Row],[Дата поступления]]</f>
        <v>0</v>
      </c>
      <c r="W1511" s="2">
        <f>Таблица1[[#This Row],[Дата поступления]]-Таблица1[[#This Row],[Дата рождения]]</f>
        <v>0</v>
      </c>
    </row>
    <row r="1512" spans="22:23" ht="24.95" customHeight="1" x14ac:dyDescent="0.25">
      <c r="V1512" s="2">
        <f>Таблица1[[#This Row],[Дата перевода]]-Таблица1[[#This Row],[Дата поступления]]</f>
        <v>0</v>
      </c>
      <c r="W1512" s="2">
        <f>Таблица1[[#This Row],[Дата поступления]]-Таблица1[[#This Row],[Дата рождения]]</f>
        <v>0</v>
      </c>
    </row>
    <row r="1513" spans="22:23" ht="24.95" customHeight="1" x14ac:dyDescent="0.25">
      <c r="V1513" s="2">
        <f>Таблица1[[#This Row],[Дата перевода]]-Таблица1[[#This Row],[Дата поступления]]</f>
        <v>0</v>
      </c>
      <c r="W1513" s="2">
        <f>Таблица1[[#This Row],[Дата поступления]]-Таблица1[[#This Row],[Дата рождения]]</f>
        <v>0</v>
      </c>
    </row>
    <row r="1514" spans="22:23" ht="24.95" customHeight="1" x14ac:dyDescent="0.25">
      <c r="V1514" s="2">
        <f>Таблица1[[#This Row],[Дата перевода]]-Таблица1[[#This Row],[Дата поступления]]</f>
        <v>0</v>
      </c>
      <c r="W1514" s="2">
        <f>Таблица1[[#This Row],[Дата поступления]]-Таблица1[[#This Row],[Дата рождения]]</f>
        <v>0</v>
      </c>
    </row>
    <row r="1515" spans="22:23" ht="24.95" customHeight="1" x14ac:dyDescent="0.25">
      <c r="V1515" s="2">
        <f>Таблица1[[#This Row],[Дата перевода]]-Таблица1[[#This Row],[Дата поступления]]</f>
        <v>0</v>
      </c>
      <c r="W1515" s="2">
        <f>Таблица1[[#This Row],[Дата поступления]]-Таблица1[[#This Row],[Дата рождения]]</f>
        <v>0</v>
      </c>
    </row>
    <row r="1516" spans="22:23" ht="24.95" customHeight="1" x14ac:dyDescent="0.25">
      <c r="V1516" s="2">
        <f>Таблица1[[#This Row],[Дата перевода]]-Таблица1[[#This Row],[Дата поступления]]</f>
        <v>0</v>
      </c>
      <c r="W1516" s="2">
        <f>Таблица1[[#This Row],[Дата поступления]]-Таблица1[[#This Row],[Дата рождения]]</f>
        <v>0</v>
      </c>
    </row>
    <row r="1517" spans="22:23" ht="24.95" customHeight="1" x14ac:dyDescent="0.25">
      <c r="V1517" s="2">
        <f>Таблица1[[#This Row],[Дата перевода]]-Таблица1[[#This Row],[Дата поступления]]</f>
        <v>0</v>
      </c>
      <c r="W1517" s="2">
        <f>Таблица1[[#This Row],[Дата поступления]]-Таблица1[[#This Row],[Дата рождения]]</f>
        <v>0</v>
      </c>
    </row>
    <row r="1518" spans="22:23" ht="24.95" customHeight="1" x14ac:dyDescent="0.25">
      <c r="V1518" s="2">
        <f>Таблица1[[#This Row],[Дата перевода]]-Таблица1[[#This Row],[Дата поступления]]</f>
        <v>0</v>
      </c>
      <c r="W1518" s="2">
        <f>Таблица1[[#This Row],[Дата поступления]]-Таблица1[[#This Row],[Дата рождения]]</f>
        <v>0</v>
      </c>
    </row>
    <row r="1519" spans="22:23" ht="24.95" customHeight="1" x14ac:dyDescent="0.25">
      <c r="V1519" s="2">
        <f>Таблица1[[#This Row],[Дата перевода]]-Таблица1[[#This Row],[Дата поступления]]</f>
        <v>0</v>
      </c>
      <c r="W1519" s="2">
        <f>Таблица1[[#This Row],[Дата поступления]]-Таблица1[[#This Row],[Дата рождения]]</f>
        <v>0</v>
      </c>
    </row>
    <row r="1520" spans="22:23" ht="24.95" customHeight="1" x14ac:dyDescent="0.25">
      <c r="V1520" s="2">
        <f>Таблица1[[#This Row],[Дата перевода]]-Таблица1[[#This Row],[Дата поступления]]</f>
        <v>0</v>
      </c>
      <c r="W1520" s="2">
        <f>Таблица1[[#This Row],[Дата поступления]]-Таблица1[[#This Row],[Дата рождения]]</f>
        <v>0</v>
      </c>
    </row>
    <row r="1521" spans="22:23" ht="24.95" customHeight="1" x14ac:dyDescent="0.25">
      <c r="V1521" s="2">
        <f>Таблица1[[#This Row],[Дата перевода]]-Таблица1[[#This Row],[Дата поступления]]</f>
        <v>0</v>
      </c>
      <c r="W1521" s="2">
        <f>Таблица1[[#This Row],[Дата поступления]]-Таблица1[[#This Row],[Дата рождения]]</f>
        <v>0</v>
      </c>
    </row>
    <row r="1522" spans="22:23" ht="24.95" customHeight="1" x14ac:dyDescent="0.25">
      <c r="V1522" s="2">
        <f>Таблица1[[#This Row],[Дата перевода]]-Таблица1[[#This Row],[Дата поступления]]</f>
        <v>0</v>
      </c>
      <c r="W1522" s="2">
        <f>Таблица1[[#This Row],[Дата поступления]]-Таблица1[[#This Row],[Дата рождения]]</f>
        <v>0</v>
      </c>
    </row>
    <row r="1523" spans="22:23" ht="24.95" customHeight="1" x14ac:dyDescent="0.25">
      <c r="V1523" s="2">
        <f>Таблица1[[#This Row],[Дата перевода]]-Таблица1[[#This Row],[Дата поступления]]</f>
        <v>0</v>
      </c>
      <c r="W1523" s="2">
        <f>Таблица1[[#This Row],[Дата поступления]]-Таблица1[[#This Row],[Дата рождения]]</f>
        <v>0</v>
      </c>
    </row>
    <row r="1524" spans="22:23" ht="24.95" customHeight="1" x14ac:dyDescent="0.25">
      <c r="V1524" s="2">
        <f>Таблица1[[#This Row],[Дата перевода]]-Таблица1[[#This Row],[Дата поступления]]</f>
        <v>0</v>
      </c>
      <c r="W1524" s="2">
        <f>Таблица1[[#This Row],[Дата поступления]]-Таблица1[[#This Row],[Дата рождения]]</f>
        <v>0</v>
      </c>
    </row>
    <row r="1525" spans="22:23" ht="24.95" customHeight="1" x14ac:dyDescent="0.25">
      <c r="V1525" s="2">
        <f>Таблица1[[#This Row],[Дата перевода]]-Таблица1[[#This Row],[Дата поступления]]</f>
        <v>0</v>
      </c>
      <c r="W1525" s="2">
        <f>Таблица1[[#This Row],[Дата поступления]]-Таблица1[[#This Row],[Дата рождения]]</f>
        <v>0</v>
      </c>
    </row>
    <row r="1526" spans="22:23" ht="24.95" customHeight="1" x14ac:dyDescent="0.25">
      <c r="V1526" s="2">
        <f>Таблица1[[#This Row],[Дата перевода]]-Таблица1[[#This Row],[Дата поступления]]</f>
        <v>0</v>
      </c>
      <c r="W1526" s="2">
        <f>Таблица1[[#This Row],[Дата поступления]]-Таблица1[[#This Row],[Дата рождения]]</f>
        <v>0</v>
      </c>
    </row>
    <row r="1527" spans="22:23" ht="24.95" customHeight="1" x14ac:dyDescent="0.25">
      <c r="V1527" s="2">
        <f>Таблица1[[#This Row],[Дата перевода]]-Таблица1[[#This Row],[Дата поступления]]</f>
        <v>0</v>
      </c>
      <c r="W1527" s="2">
        <f>Таблица1[[#This Row],[Дата поступления]]-Таблица1[[#This Row],[Дата рождения]]</f>
        <v>0</v>
      </c>
    </row>
    <row r="1528" spans="22:23" ht="24.95" customHeight="1" x14ac:dyDescent="0.25">
      <c r="V1528" s="2">
        <f>Таблица1[[#This Row],[Дата перевода]]-Таблица1[[#This Row],[Дата поступления]]</f>
        <v>0</v>
      </c>
      <c r="W1528" s="2">
        <f>Таблица1[[#This Row],[Дата поступления]]-Таблица1[[#This Row],[Дата рождения]]</f>
        <v>0</v>
      </c>
    </row>
    <row r="1529" spans="22:23" ht="24.95" customHeight="1" x14ac:dyDescent="0.25">
      <c r="V1529" s="2">
        <f>Таблица1[[#This Row],[Дата перевода]]-Таблица1[[#This Row],[Дата поступления]]</f>
        <v>0</v>
      </c>
      <c r="W1529" s="2">
        <f>Таблица1[[#This Row],[Дата поступления]]-Таблица1[[#This Row],[Дата рождения]]</f>
        <v>0</v>
      </c>
    </row>
    <row r="1530" spans="22:23" ht="24.95" customHeight="1" x14ac:dyDescent="0.25">
      <c r="V1530" s="2">
        <f>Таблица1[[#This Row],[Дата перевода]]-Таблица1[[#This Row],[Дата поступления]]</f>
        <v>0</v>
      </c>
      <c r="W1530" s="2">
        <f>Таблица1[[#This Row],[Дата поступления]]-Таблица1[[#This Row],[Дата рождения]]</f>
        <v>0</v>
      </c>
    </row>
    <row r="1531" spans="22:23" ht="24.95" customHeight="1" x14ac:dyDescent="0.25">
      <c r="V1531" s="2">
        <f>Таблица1[[#This Row],[Дата перевода]]-Таблица1[[#This Row],[Дата поступления]]</f>
        <v>0</v>
      </c>
      <c r="W1531" s="2">
        <f>Таблица1[[#This Row],[Дата поступления]]-Таблица1[[#This Row],[Дата рождения]]</f>
        <v>0</v>
      </c>
    </row>
    <row r="1532" spans="22:23" ht="24.95" customHeight="1" x14ac:dyDescent="0.25">
      <c r="V1532" s="2">
        <f>Таблица1[[#This Row],[Дата перевода]]-Таблица1[[#This Row],[Дата поступления]]</f>
        <v>0</v>
      </c>
      <c r="W1532" s="2">
        <f>Таблица1[[#This Row],[Дата поступления]]-Таблица1[[#This Row],[Дата рождения]]</f>
        <v>0</v>
      </c>
    </row>
    <row r="1533" spans="22:23" ht="24.95" customHeight="1" x14ac:dyDescent="0.25">
      <c r="V1533" s="2">
        <f>Таблица1[[#This Row],[Дата перевода]]-Таблица1[[#This Row],[Дата поступления]]</f>
        <v>0</v>
      </c>
      <c r="W1533" s="2">
        <f>Таблица1[[#This Row],[Дата поступления]]-Таблица1[[#This Row],[Дата рождения]]</f>
        <v>0</v>
      </c>
    </row>
    <row r="1534" spans="22:23" ht="24.95" customHeight="1" x14ac:dyDescent="0.25">
      <c r="V1534" s="2">
        <f>Таблица1[[#This Row],[Дата перевода]]-Таблица1[[#This Row],[Дата поступления]]</f>
        <v>0</v>
      </c>
      <c r="W1534" s="2">
        <f>Таблица1[[#This Row],[Дата поступления]]-Таблица1[[#This Row],[Дата рождения]]</f>
        <v>0</v>
      </c>
    </row>
    <row r="1535" spans="22:23" ht="24.95" customHeight="1" x14ac:dyDescent="0.25">
      <c r="V1535" s="2">
        <f>Таблица1[[#This Row],[Дата перевода]]-Таблица1[[#This Row],[Дата поступления]]</f>
        <v>0</v>
      </c>
      <c r="W1535" s="2">
        <f>Таблица1[[#This Row],[Дата поступления]]-Таблица1[[#This Row],[Дата рождения]]</f>
        <v>0</v>
      </c>
    </row>
    <row r="1536" spans="22:23" ht="24.95" customHeight="1" x14ac:dyDescent="0.25">
      <c r="V1536" s="2">
        <f>Таблица1[[#This Row],[Дата перевода]]-Таблица1[[#This Row],[Дата поступления]]</f>
        <v>0</v>
      </c>
      <c r="W1536" s="2">
        <f>Таблица1[[#This Row],[Дата поступления]]-Таблица1[[#This Row],[Дата рождения]]</f>
        <v>0</v>
      </c>
    </row>
    <row r="1537" spans="22:23" ht="24.95" customHeight="1" x14ac:dyDescent="0.25">
      <c r="V1537" s="2">
        <f>Таблица1[[#This Row],[Дата перевода]]-Таблица1[[#This Row],[Дата поступления]]</f>
        <v>0</v>
      </c>
      <c r="W1537" s="2">
        <f>Таблица1[[#This Row],[Дата поступления]]-Таблица1[[#This Row],[Дата рождения]]</f>
        <v>0</v>
      </c>
    </row>
    <row r="1538" spans="22:23" ht="24.95" customHeight="1" x14ac:dyDescent="0.25">
      <c r="V1538" s="2">
        <f>Таблица1[[#This Row],[Дата перевода]]-Таблица1[[#This Row],[Дата поступления]]</f>
        <v>0</v>
      </c>
      <c r="W1538" s="2">
        <f>Таблица1[[#This Row],[Дата поступления]]-Таблица1[[#This Row],[Дата рождения]]</f>
        <v>0</v>
      </c>
    </row>
    <row r="1539" spans="22:23" ht="24.95" customHeight="1" x14ac:dyDescent="0.25">
      <c r="V1539" s="2">
        <f>Таблица1[[#This Row],[Дата перевода]]-Таблица1[[#This Row],[Дата поступления]]</f>
        <v>0</v>
      </c>
      <c r="W1539" s="2">
        <f>Таблица1[[#This Row],[Дата поступления]]-Таблица1[[#This Row],[Дата рождения]]</f>
        <v>0</v>
      </c>
    </row>
    <row r="1540" spans="22:23" ht="24.95" customHeight="1" x14ac:dyDescent="0.25">
      <c r="V1540" s="2">
        <f>Таблица1[[#This Row],[Дата перевода]]-Таблица1[[#This Row],[Дата поступления]]</f>
        <v>0</v>
      </c>
      <c r="W1540" s="2">
        <f>Таблица1[[#This Row],[Дата поступления]]-Таблица1[[#This Row],[Дата рождения]]</f>
        <v>0</v>
      </c>
    </row>
    <row r="1541" spans="22:23" ht="24.95" customHeight="1" x14ac:dyDescent="0.25">
      <c r="V1541" s="2">
        <f>Таблица1[[#This Row],[Дата перевода]]-Таблица1[[#This Row],[Дата поступления]]</f>
        <v>0</v>
      </c>
      <c r="W1541" s="2">
        <f>Таблица1[[#This Row],[Дата поступления]]-Таблица1[[#This Row],[Дата рождения]]</f>
        <v>0</v>
      </c>
    </row>
    <row r="1542" spans="22:23" ht="24.95" customHeight="1" x14ac:dyDescent="0.25">
      <c r="V1542" s="2">
        <f>Таблица1[[#This Row],[Дата перевода]]-Таблица1[[#This Row],[Дата поступления]]</f>
        <v>0</v>
      </c>
      <c r="W1542" s="2">
        <f>Таблица1[[#This Row],[Дата поступления]]-Таблица1[[#This Row],[Дата рождения]]</f>
        <v>0</v>
      </c>
    </row>
    <row r="1543" spans="22:23" ht="24.95" customHeight="1" x14ac:dyDescent="0.25">
      <c r="V1543" s="2">
        <f>Таблица1[[#This Row],[Дата перевода]]-Таблица1[[#This Row],[Дата поступления]]</f>
        <v>0</v>
      </c>
      <c r="W1543" s="2">
        <f>Таблица1[[#This Row],[Дата поступления]]-Таблица1[[#This Row],[Дата рождения]]</f>
        <v>0</v>
      </c>
    </row>
    <row r="1544" spans="22:23" ht="24.95" customHeight="1" x14ac:dyDescent="0.25">
      <c r="V1544" s="2">
        <f>Таблица1[[#This Row],[Дата перевода]]-Таблица1[[#This Row],[Дата поступления]]</f>
        <v>0</v>
      </c>
      <c r="W1544" s="2">
        <f>Таблица1[[#This Row],[Дата поступления]]-Таблица1[[#This Row],[Дата рождения]]</f>
        <v>0</v>
      </c>
    </row>
    <row r="1545" spans="22:23" ht="24.95" customHeight="1" x14ac:dyDescent="0.25">
      <c r="V1545" s="2">
        <f>Таблица1[[#This Row],[Дата перевода]]-Таблица1[[#This Row],[Дата поступления]]</f>
        <v>0</v>
      </c>
      <c r="W1545" s="2">
        <f>Таблица1[[#This Row],[Дата поступления]]-Таблица1[[#This Row],[Дата рождения]]</f>
        <v>0</v>
      </c>
    </row>
    <row r="1546" spans="22:23" ht="24.95" customHeight="1" x14ac:dyDescent="0.25">
      <c r="V1546" s="2">
        <f>Таблица1[[#This Row],[Дата перевода]]-Таблица1[[#This Row],[Дата поступления]]</f>
        <v>0</v>
      </c>
      <c r="W1546" s="2">
        <f>Таблица1[[#This Row],[Дата поступления]]-Таблица1[[#This Row],[Дата рождения]]</f>
        <v>0</v>
      </c>
    </row>
    <row r="1547" spans="22:23" ht="24.95" customHeight="1" x14ac:dyDescent="0.25">
      <c r="V1547" s="2">
        <f>Таблица1[[#This Row],[Дата перевода]]-Таблица1[[#This Row],[Дата поступления]]</f>
        <v>0</v>
      </c>
      <c r="W1547" s="2">
        <f>Таблица1[[#This Row],[Дата поступления]]-Таблица1[[#This Row],[Дата рождения]]</f>
        <v>0</v>
      </c>
    </row>
    <row r="1548" spans="22:23" ht="24.95" customHeight="1" x14ac:dyDescent="0.25">
      <c r="V1548" s="2">
        <f>Таблица1[[#This Row],[Дата перевода]]-Таблица1[[#This Row],[Дата поступления]]</f>
        <v>0</v>
      </c>
      <c r="W1548" s="2">
        <f>Таблица1[[#This Row],[Дата поступления]]-Таблица1[[#This Row],[Дата рождения]]</f>
        <v>0</v>
      </c>
    </row>
    <row r="1549" spans="22:23" ht="24.95" customHeight="1" x14ac:dyDescent="0.25">
      <c r="V1549" s="2">
        <f>Таблица1[[#This Row],[Дата перевода]]-Таблица1[[#This Row],[Дата поступления]]</f>
        <v>0</v>
      </c>
      <c r="W1549" s="2">
        <f>Таблица1[[#This Row],[Дата поступления]]-Таблица1[[#This Row],[Дата рождения]]</f>
        <v>0</v>
      </c>
    </row>
    <row r="1550" spans="22:23" ht="24.95" customHeight="1" x14ac:dyDescent="0.25">
      <c r="V1550" s="2">
        <f>Таблица1[[#This Row],[Дата перевода]]-Таблица1[[#This Row],[Дата поступления]]</f>
        <v>0</v>
      </c>
      <c r="W1550" s="2">
        <f>Таблица1[[#This Row],[Дата поступления]]-Таблица1[[#This Row],[Дата рождения]]</f>
        <v>0</v>
      </c>
    </row>
    <row r="1551" spans="22:23" ht="24.95" customHeight="1" x14ac:dyDescent="0.25">
      <c r="V1551" s="2">
        <f>Таблица1[[#This Row],[Дата перевода]]-Таблица1[[#This Row],[Дата поступления]]</f>
        <v>0</v>
      </c>
      <c r="W1551" s="2">
        <f>Таблица1[[#This Row],[Дата поступления]]-Таблица1[[#This Row],[Дата рождения]]</f>
        <v>0</v>
      </c>
    </row>
    <row r="1552" spans="22:23" ht="24.95" customHeight="1" x14ac:dyDescent="0.25">
      <c r="V1552" s="2">
        <f>Таблица1[[#This Row],[Дата перевода]]-Таблица1[[#This Row],[Дата поступления]]</f>
        <v>0</v>
      </c>
      <c r="W1552" s="2">
        <f>Таблица1[[#This Row],[Дата поступления]]-Таблица1[[#This Row],[Дата рождения]]</f>
        <v>0</v>
      </c>
    </row>
    <row r="1553" spans="22:23" ht="24.95" customHeight="1" x14ac:dyDescent="0.25">
      <c r="V1553" s="2">
        <f>Таблица1[[#This Row],[Дата перевода]]-Таблица1[[#This Row],[Дата поступления]]</f>
        <v>0</v>
      </c>
      <c r="W1553" s="2">
        <f>Таблица1[[#This Row],[Дата поступления]]-Таблица1[[#This Row],[Дата рождения]]</f>
        <v>0</v>
      </c>
    </row>
    <row r="1554" spans="22:23" ht="24.95" customHeight="1" x14ac:dyDescent="0.25">
      <c r="V1554" s="2">
        <f>Таблица1[[#This Row],[Дата перевода]]-Таблица1[[#This Row],[Дата поступления]]</f>
        <v>0</v>
      </c>
      <c r="W1554" s="2">
        <f>Таблица1[[#This Row],[Дата поступления]]-Таблица1[[#This Row],[Дата рождения]]</f>
        <v>0</v>
      </c>
    </row>
    <row r="1555" spans="22:23" ht="24.95" customHeight="1" x14ac:dyDescent="0.25">
      <c r="V1555" s="2">
        <f>Таблица1[[#This Row],[Дата перевода]]-Таблица1[[#This Row],[Дата поступления]]</f>
        <v>0</v>
      </c>
      <c r="W1555" s="2">
        <f>Таблица1[[#This Row],[Дата поступления]]-Таблица1[[#This Row],[Дата рождения]]</f>
        <v>0</v>
      </c>
    </row>
    <row r="1556" spans="22:23" ht="24.95" customHeight="1" x14ac:dyDescent="0.25">
      <c r="V1556" s="2">
        <f>Таблица1[[#This Row],[Дата перевода]]-Таблица1[[#This Row],[Дата поступления]]</f>
        <v>0</v>
      </c>
      <c r="W1556" s="2">
        <f>Таблица1[[#This Row],[Дата поступления]]-Таблица1[[#This Row],[Дата рождения]]</f>
        <v>0</v>
      </c>
    </row>
    <row r="1557" spans="22:23" ht="24.95" customHeight="1" x14ac:dyDescent="0.25">
      <c r="V1557" s="2">
        <f>Таблица1[[#This Row],[Дата перевода]]-Таблица1[[#This Row],[Дата поступления]]</f>
        <v>0</v>
      </c>
      <c r="W1557" s="2">
        <f>Таблица1[[#This Row],[Дата поступления]]-Таблица1[[#This Row],[Дата рождения]]</f>
        <v>0</v>
      </c>
    </row>
    <row r="1558" spans="22:23" ht="24.95" customHeight="1" x14ac:dyDescent="0.25">
      <c r="V1558" s="2">
        <f>Таблица1[[#This Row],[Дата перевода]]-Таблица1[[#This Row],[Дата поступления]]</f>
        <v>0</v>
      </c>
      <c r="W1558" s="2">
        <f>Таблица1[[#This Row],[Дата поступления]]-Таблица1[[#This Row],[Дата рождения]]</f>
        <v>0</v>
      </c>
    </row>
    <row r="1559" spans="22:23" ht="24.95" customHeight="1" x14ac:dyDescent="0.25">
      <c r="V1559" s="2">
        <f>Таблица1[[#This Row],[Дата перевода]]-Таблица1[[#This Row],[Дата поступления]]</f>
        <v>0</v>
      </c>
      <c r="W1559" s="2">
        <f>Таблица1[[#This Row],[Дата поступления]]-Таблица1[[#This Row],[Дата рождения]]</f>
        <v>0</v>
      </c>
    </row>
    <row r="1560" spans="22:23" ht="24.95" customHeight="1" x14ac:dyDescent="0.25">
      <c r="V1560" s="2">
        <f>Таблица1[[#This Row],[Дата перевода]]-Таблица1[[#This Row],[Дата поступления]]</f>
        <v>0</v>
      </c>
      <c r="W1560" s="2">
        <f>Таблица1[[#This Row],[Дата поступления]]-Таблица1[[#This Row],[Дата рождения]]</f>
        <v>0</v>
      </c>
    </row>
    <row r="1561" spans="22:23" ht="24.95" customHeight="1" x14ac:dyDescent="0.25">
      <c r="V1561" s="2">
        <f>Таблица1[[#This Row],[Дата перевода]]-Таблица1[[#This Row],[Дата поступления]]</f>
        <v>0</v>
      </c>
      <c r="W1561" s="2">
        <f>Таблица1[[#This Row],[Дата поступления]]-Таблица1[[#This Row],[Дата рождения]]</f>
        <v>0</v>
      </c>
    </row>
    <row r="1562" spans="22:23" ht="24.95" customHeight="1" x14ac:dyDescent="0.25">
      <c r="V1562" s="2">
        <f>Таблица1[[#This Row],[Дата перевода]]-Таблица1[[#This Row],[Дата поступления]]</f>
        <v>0</v>
      </c>
      <c r="W1562" s="2">
        <f>Таблица1[[#This Row],[Дата поступления]]-Таблица1[[#This Row],[Дата рождения]]</f>
        <v>0</v>
      </c>
    </row>
    <row r="1563" spans="22:23" ht="24.95" customHeight="1" x14ac:dyDescent="0.25">
      <c r="V1563" s="2">
        <f>Таблица1[[#This Row],[Дата перевода]]-Таблица1[[#This Row],[Дата поступления]]</f>
        <v>0</v>
      </c>
      <c r="W1563" s="2">
        <f>Таблица1[[#This Row],[Дата поступления]]-Таблица1[[#This Row],[Дата рождения]]</f>
        <v>0</v>
      </c>
    </row>
    <row r="1564" spans="22:23" ht="24.95" customHeight="1" x14ac:dyDescent="0.25">
      <c r="V1564" s="2">
        <f>Таблица1[[#This Row],[Дата перевода]]-Таблица1[[#This Row],[Дата поступления]]</f>
        <v>0</v>
      </c>
      <c r="W1564" s="2">
        <f>Таблица1[[#This Row],[Дата поступления]]-Таблица1[[#This Row],[Дата рождения]]</f>
        <v>0</v>
      </c>
    </row>
    <row r="1565" spans="22:23" ht="24.95" customHeight="1" x14ac:dyDescent="0.25">
      <c r="V1565" s="2">
        <f>Таблица1[[#This Row],[Дата перевода]]-Таблица1[[#This Row],[Дата поступления]]</f>
        <v>0</v>
      </c>
      <c r="W1565" s="2">
        <f>Таблица1[[#This Row],[Дата поступления]]-Таблица1[[#This Row],[Дата рождения]]</f>
        <v>0</v>
      </c>
    </row>
    <row r="1566" spans="22:23" ht="24.95" customHeight="1" x14ac:dyDescent="0.25">
      <c r="V1566" s="2">
        <f>Таблица1[[#This Row],[Дата перевода]]-Таблица1[[#This Row],[Дата поступления]]</f>
        <v>0</v>
      </c>
      <c r="W1566" s="2">
        <f>Таблица1[[#This Row],[Дата поступления]]-Таблица1[[#This Row],[Дата рождения]]</f>
        <v>0</v>
      </c>
    </row>
    <row r="1567" spans="22:23" ht="24.95" customHeight="1" x14ac:dyDescent="0.25">
      <c r="V1567" s="2">
        <f>Таблица1[[#This Row],[Дата перевода]]-Таблица1[[#This Row],[Дата поступления]]</f>
        <v>0</v>
      </c>
      <c r="W1567" s="2">
        <f>Таблица1[[#This Row],[Дата поступления]]-Таблица1[[#This Row],[Дата рождения]]</f>
        <v>0</v>
      </c>
    </row>
    <row r="1568" spans="22:23" ht="24.95" customHeight="1" x14ac:dyDescent="0.25">
      <c r="V1568" s="2">
        <f>Таблица1[[#This Row],[Дата перевода]]-Таблица1[[#This Row],[Дата поступления]]</f>
        <v>0</v>
      </c>
      <c r="W1568" s="2">
        <f>Таблица1[[#This Row],[Дата поступления]]-Таблица1[[#This Row],[Дата рождения]]</f>
        <v>0</v>
      </c>
    </row>
    <row r="1569" spans="22:23" ht="24.95" customHeight="1" x14ac:dyDescent="0.25">
      <c r="V1569" s="2">
        <f>Таблица1[[#This Row],[Дата перевода]]-Таблица1[[#This Row],[Дата поступления]]</f>
        <v>0</v>
      </c>
      <c r="W1569" s="2">
        <f>Таблица1[[#This Row],[Дата поступления]]-Таблица1[[#This Row],[Дата рождения]]</f>
        <v>0</v>
      </c>
    </row>
    <row r="1570" spans="22:23" ht="24.95" customHeight="1" x14ac:dyDescent="0.25">
      <c r="V1570" s="2">
        <f>Таблица1[[#This Row],[Дата перевода]]-Таблица1[[#This Row],[Дата поступления]]</f>
        <v>0</v>
      </c>
      <c r="W1570" s="2">
        <f>Таблица1[[#This Row],[Дата поступления]]-Таблица1[[#This Row],[Дата рождения]]</f>
        <v>0</v>
      </c>
    </row>
    <row r="1571" spans="22:23" ht="24.95" customHeight="1" x14ac:dyDescent="0.25">
      <c r="V1571" s="2">
        <f>Таблица1[[#This Row],[Дата перевода]]-Таблица1[[#This Row],[Дата поступления]]</f>
        <v>0</v>
      </c>
      <c r="W1571" s="2">
        <f>Таблица1[[#This Row],[Дата поступления]]-Таблица1[[#This Row],[Дата рождения]]</f>
        <v>0</v>
      </c>
    </row>
    <row r="1572" spans="22:23" ht="24.95" customHeight="1" x14ac:dyDescent="0.25">
      <c r="V1572" s="2">
        <f>Таблица1[[#This Row],[Дата перевода]]-Таблица1[[#This Row],[Дата поступления]]</f>
        <v>0</v>
      </c>
      <c r="W1572" s="2">
        <f>Таблица1[[#This Row],[Дата поступления]]-Таблица1[[#This Row],[Дата рождения]]</f>
        <v>0</v>
      </c>
    </row>
    <row r="1573" spans="22:23" ht="24.95" customHeight="1" x14ac:dyDescent="0.25">
      <c r="V1573" s="2">
        <f>Таблица1[[#This Row],[Дата перевода]]-Таблица1[[#This Row],[Дата поступления]]</f>
        <v>0</v>
      </c>
      <c r="W1573" s="2">
        <f>Таблица1[[#This Row],[Дата поступления]]-Таблица1[[#This Row],[Дата рождения]]</f>
        <v>0</v>
      </c>
    </row>
    <row r="1574" spans="22:23" ht="24.95" customHeight="1" x14ac:dyDescent="0.25">
      <c r="V1574" s="2">
        <f>Таблица1[[#This Row],[Дата перевода]]-Таблица1[[#This Row],[Дата поступления]]</f>
        <v>0</v>
      </c>
      <c r="W1574" s="2">
        <f>Таблица1[[#This Row],[Дата поступления]]-Таблица1[[#This Row],[Дата рождения]]</f>
        <v>0</v>
      </c>
    </row>
    <row r="1575" spans="22:23" ht="24.95" customHeight="1" x14ac:dyDescent="0.25">
      <c r="V1575" s="2">
        <f>Таблица1[[#This Row],[Дата перевода]]-Таблица1[[#This Row],[Дата поступления]]</f>
        <v>0</v>
      </c>
      <c r="W1575" s="2">
        <f>Таблица1[[#This Row],[Дата поступления]]-Таблица1[[#This Row],[Дата рождения]]</f>
        <v>0</v>
      </c>
    </row>
    <row r="1576" spans="22:23" ht="24.95" customHeight="1" x14ac:dyDescent="0.25">
      <c r="V1576" s="2">
        <f>Таблица1[[#This Row],[Дата перевода]]-Таблица1[[#This Row],[Дата поступления]]</f>
        <v>0</v>
      </c>
      <c r="W1576" s="2">
        <f>Таблица1[[#This Row],[Дата поступления]]-Таблица1[[#This Row],[Дата рождения]]</f>
        <v>0</v>
      </c>
    </row>
    <row r="1577" spans="22:23" ht="24.95" customHeight="1" x14ac:dyDescent="0.25">
      <c r="V1577" s="2">
        <f>Таблица1[[#This Row],[Дата перевода]]-Таблица1[[#This Row],[Дата поступления]]</f>
        <v>0</v>
      </c>
      <c r="W1577" s="2">
        <f>Таблица1[[#This Row],[Дата поступления]]-Таблица1[[#This Row],[Дата рождения]]</f>
        <v>0</v>
      </c>
    </row>
    <row r="1578" spans="22:23" ht="24.95" customHeight="1" x14ac:dyDescent="0.25">
      <c r="V1578" s="2">
        <f>Таблица1[[#This Row],[Дата перевода]]-Таблица1[[#This Row],[Дата поступления]]</f>
        <v>0</v>
      </c>
      <c r="W1578" s="2">
        <f>Таблица1[[#This Row],[Дата поступления]]-Таблица1[[#This Row],[Дата рождения]]</f>
        <v>0</v>
      </c>
    </row>
    <row r="1579" spans="22:23" ht="24.95" customHeight="1" x14ac:dyDescent="0.25">
      <c r="V1579" s="2">
        <f>Таблица1[[#This Row],[Дата перевода]]-Таблица1[[#This Row],[Дата поступления]]</f>
        <v>0</v>
      </c>
      <c r="W1579" s="2">
        <f>Таблица1[[#This Row],[Дата поступления]]-Таблица1[[#This Row],[Дата рождения]]</f>
        <v>0</v>
      </c>
    </row>
    <row r="1580" spans="22:23" ht="24.95" customHeight="1" x14ac:dyDescent="0.25">
      <c r="V1580" s="2">
        <f>Таблица1[[#This Row],[Дата перевода]]-Таблица1[[#This Row],[Дата поступления]]</f>
        <v>0</v>
      </c>
      <c r="W1580" s="2">
        <f>Таблица1[[#This Row],[Дата поступления]]-Таблица1[[#This Row],[Дата рождения]]</f>
        <v>0</v>
      </c>
    </row>
    <row r="1581" spans="22:23" ht="24.95" customHeight="1" x14ac:dyDescent="0.25">
      <c r="V1581" s="2">
        <f>Таблица1[[#This Row],[Дата перевода]]-Таблица1[[#This Row],[Дата поступления]]</f>
        <v>0</v>
      </c>
      <c r="W1581" s="2">
        <f>Таблица1[[#This Row],[Дата поступления]]-Таблица1[[#This Row],[Дата рождения]]</f>
        <v>0</v>
      </c>
    </row>
    <row r="1582" spans="22:23" ht="24.95" customHeight="1" x14ac:dyDescent="0.25">
      <c r="V1582" s="2">
        <f>Таблица1[[#This Row],[Дата перевода]]-Таблица1[[#This Row],[Дата поступления]]</f>
        <v>0</v>
      </c>
      <c r="W1582" s="2">
        <f>Таблица1[[#This Row],[Дата поступления]]-Таблица1[[#This Row],[Дата рождения]]</f>
        <v>0</v>
      </c>
    </row>
    <row r="1583" spans="22:23" ht="24.95" customHeight="1" x14ac:dyDescent="0.25">
      <c r="V1583" s="2">
        <f>Таблица1[[#This Row],[Дата перевода]]-Таблица1[[#This Row],[Дата поступления]]</f>
        <v>0</v>
      </c>
      <c r="W1583" s="2">
        <f>Таблица1[[#This Row],[Дата поступления]]-Таблица1[[#This Row],[Дата рождения]]</f>
        <v>0</v>
      </c>
    </row>
    <row r="1584" spans="22:23" ht="24.95" customHeight="1" x14ac:dyDescent="0.25">
      <c r="V1584" s="2">
        <f>Таблица1[[#This Row],[Дата перевода]]-Таблица1[[#This Row],[Дата поступления]]</f>
        <v>0</v>
      </c>
      <c r="W1584" s="2">
        <f>Таблица1[[#This Row],[Дата поступления]]-Таблица1[[#This Row],[Дата рождения]]</f>
        <v>0</v>
      </c>
    </row>
    <row r="1585" spans="22:23" ht="24.95" customHeight="1" x14ac:dyDescent="0.25">
      <c r="V1585" s="2">
        <f>Таблица1[[#This Row],[Дата перевода]]-Таблица1[[#This Row],[Дата поступления]]</f>
        <v>0</v>
      </c>
      <c r="W1585" s="2">
        <f>Таблица1[[#This Row],[Дата поступления]]-Таблица1[[#This Row],[Дата рождения]]</f>
        <v>0</v>
      </c>
    </row>
    <row r="1586" spans="22:23" ht="24.95" customHeight="1" x14ac:dyDescent="0.25">
      <c r="V1586" s="2">
        <f>Таблица1[[#This Row],[Дата перевода]]-Таблица1[[#This Row],[Дата поступления]]</f>
        <v>0</v>
      </c>
      <c r="W1586" s="2">
        <f>Таблица1[[#This Row],[Дата поступления]]-Таблица1[[#This Row],[Дата рождения]]</f>
        <v>0</v>
      </c>
    </row>
    <row r="1587" spans="22:23" ht="24.95" customHeight="1" x14ac:dyDescent="0.25">
      <c r="V1587" s="2">
        <f>Таблица1[[#This Row],[Дата перевода]]-Таблица1[[#This Row],[Дата поступления]]</f>
        <v>0</v>
      </c>
      <c r="W1587" s="2">
        <f>Таблица1[[#This Row],[Дата поступления]]-Таблица1[[#This Row],[Дата рождения]]</f>
        <v>0</v>
      </c>
    </row>
    <row r="1588" spans="22:23" ht="24.95" customHeight="1" x14ac:dyDescent="0.25">
      <c r="V1588" s="2">
        <f>Таблица1[[#This Row],[Дата перевода]]-Таблица1[[#This Row],[Дата поступления]]</f>
        <v>0</v>
      </c>
      <c r="W1588" s="2">
        <f>Таблица1[[#This Row],[Дата поступления]]-Таблица1[[#This Row],[Дата рождения]]</f>
        <v>0</v>
      </c>
    </row>
    <row r="1589" spans="22:23" ht="24.95" customHeight="1" x14ac:dyDescent="0.25">
      <c r="V1589" s="2">
        <f>Таблица1[[#This Row],[Дата перевода]]-Таблица1[[#This Row],[Дата поступления]]</f>
        <v>0</v>
      </c>
      <c r="W1589" s="2">
        <f>Таблица1[[#This Row],[Дата поступления]]-Таблица1[[#This Row],[Дата рождения]]</f>
        <v>0</v>
      </c>
    </row>
    <row r="1590" spans="22:23" ht="24.95" customHeight="1" x14ac:dyDescent="0.25">
      <c r="V1590" s="2">
        <f>Таблица1[[#This Row],[Дата перевода]]-Таблица1[[#This Row],[Дата поступления]]</f>
        <v>0</v>
      </c>
      <c r="W1590" s="2">
        <f>Таблица1[[#This Row],[Дата поступления]]-Таблица1[[#This Row],[Дата рождения]]</f>
        <v>0</v>
      </c>
    </row>
    <row r="1591" spans="22:23" ht="24.95" customHeight="1" x14ac:dyDescent="0.25">
      <c r="V1591" s="2">
        <f>Таблица1[[#This Row],[Дата перевода]]-Таблица1[[#This Row],[Дата поступления]]</f>
        <v>0</v>
      </c>
      <c r="W1591" s="2">
        <f>Таблица1[[#This Row],[Дата поступления]]-Таблица1[[#This Row],[Дата рождения]]</f>
        <v>0</v>
      </c>
    </row>
    <row r="1592" spans="22:23" ht="24.95" customHeight="1" x14ac:dyDescent="0.25">
      <c r="V1592" s="2">
        <f>Таблица1[[#This Row],[Дата перевода]]-Таблица1[[#This Row],[Дата поступления]]</f>
        <v>0</v>
      </c>
      <c r="W1592" s="2">
        <f>Таблица1[[#This Row],[Дата поступления]]-Таблица1[[#This Row],[Дата рождения]]</f>
        <v>0</v>
      </c>
    </row>
    <row r="1593" spans="22:23" ht="24.95" customHeight="1" x14ac:dyDescent="0.25">
      <c r="V1593" s="2">
        <f>Таблица1[[#This Row],[Дата перевода]]-Таблица1[[#This Row],[Дата поступления]]</f>
        <v>0</v>
      </c>
      <c r="W1593" s="2">
        <f>Таблица1[[#This Row],[Дата поступления]]-Таблица1[[#This Row],[Дата рождения]]</f>
        <v>0</v>
      </c>
    </row>
    <row r="1594" spans="22:23" ht="24.95" customHeight="1" x14ac:dyDescent="0.25">
      <c r="V1594" s="2">
        <f>Таблица1[[#This Row],[Дата перевода]]-Таблица1[[#This Row],[Дата поступления]]</f>
        <v>0</v>
      </c>
      <c r="W1594" s="2">
        <f>Таблица1[[#This Row],[Дата поступления]]-Таблица1[[#This Row],[Дата рождения]]</f>
        <v>0</v>
      </c>
    </row>
    <row r="1595" spans="22:23" ht="24.95" customHeight="1" x14ac:dyDescent="0.25">
      <c r="V1595" s="2">
        <f>Таблица1[[#This Row],[Дата перевода]]-Таблица1[[#This Row],[Дата поступления]]</f>
        <v>0</v>
      </c>
      <c r="W1595" s="2">
        <f>Таблица1[[#This Row],[Дата поступления]]-Таблица1[[#This Row],[Дата рождения]]</f>
        <v>0</v>
      </c>
    </row>
    <row r="1596" spans="22:23" ht="24.95" customHeight="1" x14ac:dyDescent="0.25">
      <c r="V1596" s="2">
        <f>Таблица1[[#This Row],[Дата перевода]]-Таблица1[[#This Row],[Дата поступления]]</f>
        <v>0</v>
      </c>
      <c r="W1596" s="2">
        <f>Таблица1[[#This Row],[Дата поступления]]-Таблица1[[#This Row],[Дата рождения]]</f>
        <v>0</v>
      </c>
    </row>
    <row r="1597" spans="22:23" ht="24.95" customHeight="1" x14ac:dyDescent="0.25">
      <c r="V1597" s="2">
        <f>Таблица1[[#This Row],[Дата перевода]]-Таблица1[[#This Row],[Дата поступления]]</f>
        <v>0</v>
      </c>
      <c r="W1597" s="2">
        <f>Таблица1[[#This Row],[Дата поступления]]-Таблица1[[#This Row],[Дата рождения]]</f>
        <v>0</v>
      </c>
    </row>
    <row r="1598" spans="22:23" ht="24.95" customHeight="1" x14ac:dyDescent="0.25">
      <c r="V1598" s="2">
        <f>Таблица1[[#This Row],[Дата перевода]]-Таблица1[[#This Row],[Дата поступления]]</f>
        <v>0</v>
      </c>
      <c r="W1598" s="2">
        <f>Таблица1[[#This Row],[Дата поступления]]-Таблица1[[#This Row],[Дата рождения]]</f>
        <v>0</v>
      </c>
    </row>
    <row r="1599" spans="22:23" ht="24.95" customHeight="1" x14ac:dyDescent="0.25">
      <c r="V1599" s="2">
        <f>Таблица1[[#This Row],[Дата перевода]]-Таблица1[[#This Row],[Дата поступления]]</f>
        <v>0</v>
      </c>
      <c r="W1599" s="2">
        <f>Таблица1[[#This Row],[Дата поступления]]-Таблица1[[#This Row],[Дата рождения]]</f>
        <v>0</v>
      </c>
    </row>
    <row r="1600" spans="22:23" ht="24.95" customHeight="1" x14ac:dyDescent="0.25">
      <c r="V1600" s="2">
        <f>Таблица1[[#This Row],[Дата перевода]]-Таблица1[[#This Row],[Дата поступления]]</f>
        <v>0</v>
      </c>
      <c r="W1600" s="2">
        <f>Таблица1[[#This Row],[Дата поступления]]-Таблица1[[#This Row],[Дата рождения]]</f>
        <v>0</v>
      </c>
    </row>
    <row r="1601" spans="22:23" ht="24.95" customHeight="1" x14ac:dyDescent="0.25">
      <c r="V1601" s="2">
        <f>Таблица1[[#This Row],[Дата перевода]]-Таблица1[[#This Row],[Дата поступления]]</f>
        <v>0</v>
      </c>
      <c r="W1601" s="2">
        <f>Таблица1[[#This Row],[Дата поступления]]-Таблица1[[#This Row],[Дата рождения]]</f>
        <v>0</v>
      </c>
    </row>
    <row r="1602" spans="22:23" ht="24.95" customHeight="1" x14ac:dyDescent="0.25">
      <c r="V1602" s="2">
        <f>Таблица1[[#This Row],[Дата перевода]]-Таблица1[[#This Row],[Дата поступления]]</f>
        <v>0</v>
      </c>
      <c r="W1602" s="2">
        <f>Таблица1[[#This Row],[Дата поступления]]-Таблица1[[#This Row],[Дата рождения]]</f>
        <v>0</v>
      </c>
    </row>
    <row r="1603" spans="22:23" ht="24.95" customHeight="1" x14ac:dyDescent="0.25">
      <c r="V1603" s="2">
        <f>Таблица1[[#This Row],[Дата перевода]]-Таблица1[[#This Row],[Дата поступления]]</f>
        <v>0</v>
      </c>
      <c r="W1603" s="2">
        <f>Таблица1[[#This Row],[Дата поступления]]-Таблица1[[#This Row],[Дата рождения]]</f>
        <v>0</v>
      </c>
    </row>
    <row r="1604" spans="22:23" ht="24.95" customHeight="1" x14ac:dyDescent="0.25">
      <c r="V1604" s="2">
        <f>Таблица1[[#This Row],[Дата перевода]]-Таблица1[[#This Row],[Дата поступления]]</f>
        <v>0</v>
      </c>
      <c r="W1604" s="2">
        <f>Таблица1[[#This Row],[Дата поступления]]-Таблица1[[#This Row],[Дата рождения]]</f>
        <v>0</v>
      </c>
    </row>
    <row r="1605" spans="22:23" ht="24.95" customHeight="1" x14ac:dyDescent="0.25">
      <c r="V1605" s="2">
        <f>Таблица1[[#This Row],[Дата перевода]]-Таблица1[[#This Row],[Дата поступления]]</f>
        <v>0</v>
      </c>
      <c r="W1605" s="2">
        <f>Таблица1[[#This Row],[Дата поступления]]-Таблица1[[#This Row],[Дата рождения]]</f>
        <v>0</v>
      </c>
    </row>
    <row r="1606" spans="22:23" ht="24.95" customHeight="1" x14ac:dyDescent="0.25">
      <c r="V1606" s="2">
        <f>Таблица1[[#This Row],[Дата перевода]]-Таблица1[[#This Row],[Дата поступления]]</f>
        <v>0</v>
      </c>
      <c r="W1606" s="2">
        <f>Таблица1[[#This Row],[Дата поступления]]-Таблица1[[#This Row],[Дата рождения]]</f>
        <v>0</v>
      </c>
    </row>
    <row r="1607" spans="22:23" ht="24.95" customHeight="1" x14ac:dyDescent="0.25">
      <c r="V1607" s="2">
        <f>Таблица1[[#This Row],[Дата перевода]]-Таблица1[[#This Row],[Дата поступления]]</f>
        <v>0</v>
      </c>
      <c r="W1607" s="2">
        <f>Таблица1[[#This Row],[Дата поступления]]-Таблица1[[#This Row],[Дата рождения]]</f>
        <v>0</v>
      </c>
    </row>
    <row r="1608" spans="22:23" ht="24.95" customHeight="1" x14ac:dyDescent="0.25">
      <c r="V1608" s="2">
        <f>Таблица1[[#This Row],[Дата перевода]]-Таблица1[[#This Row],[Дата поступления]]</f>
        <v>0</v>
      </c>
      <c r="W1608" s="2">
        <f>Таблица1[[#This Row],[Дата поступления]]-Таблица1[[#This Row],[Дата рождения]]</f>
        <v>0</v>
      </c>
    </row>
    <row r="1609" spans="22:23" ht="24.95" customHeight="1" x14ac:dyDescent="0.25">
      <c r="V1609" s="2">
        <f>Таблица1[[#This Row],[Дата перевода]]-Таблица1[[#This Row],[Дата поступления]]</f>
        <v>0</v>
      </c>
      <c r="W1609" s="2">
        <f>Таблица1[[#This Row],[Дата поступления]]-Таблица1[[#This Row],[Дата рождения]]</f>
        <v>0</v>
      </c>
    </row>
    <row r="1610" spans="22:23" ht="24.95" customHeight="1" x14ac:dyDescent="0.25">
      <c r="V1610" s="2">
        <f>Таблица1[[#This Row],[Дата перевода]]-Таблица1[[#This Row],[Дата поступления]]</f>
        <v>0</v>
      </c>
      <c r="W1610" s="2">
        <f>Таблица1[[#This Row],[Дата поступления]]-Таблица1[[#This Row],[Дата рождения]]</f>
        <v>0</v>
      </c>
    </row>
    <row r="1611" spans="22:23" ht="24.95" customHeight="1" x14ac:dyDescent="0.25">
      <c r="V1611" s="2">
        <f>Таблица1[[#This Row],[Дата перевода]]-Таблица1[[#This Row],[Дата поступления]]</f>
        <v>0</v>
      </c>
      <c r="W1611" s="2">
        <f>Таблица1[[#This Row],[Дата поступления]]-Таблица1[[#This Row],[Дата рождения]]</f>
        <v>0</v>
      </c>
    </row>
    <row r="1612" spans="22:23" ht="24.95" customHeight="1" x14ac:dyDescent="0.25">
      <c r="V1612" s="2">
        <f>Таблица1[[#This Row],[Дата перевода]]-Таблица1[[#This Row],[Дата поступления]]</f>
        <v>0</v>
      </c>
      <c r="W1612" s="2">
        <f>Таблица1[[#This Row],[Дата поступления]]-Таблица1[[#This Row],[Дата рождения]]</f>
        <v>0</v>
      </c>
    </row>
    <row r="1613" spans="22:23" ht="24.95" customHeight="1" x14ac:dyDescent="0.25">
      <c r="V1613" s="2">
        <f>Таблица1[[#This Row],[Дата перевода]]-Таблица1[[#This Row],[Дата поступления]]</f>
        <v>0</v>
      </c>
      <c r="W1613" s="2">
        <f>Таблица1[[#This Row],[Дата поступления]]-Таблица1[[#This Row],[Дата рождения]]</f>
        <v>0</v>
      </c>
    </row>
    <row r="1614" spans="22:23" ht="24.95" customHeight="1" x14ac:dyDescent="0.25">
      <c r="V1614" s="2">
        <f>Таблица1[[#This Row],[Дата перевода]]-Таблица1[[#This Row],[Дата поступления]]</f>
        <v>0</v>
      </c>
      <c r="W1614" s="2">
        <f>Таблица1[[#This Row],[Дата поступления]]-Таблица1[[#This Row],[Дата рождения]]</f>
        <v>0</v>
      </c>
    </row>
    <row r="1615" spans="22:23" ht="24.95" customHeight="1" x14ac:dyDescent="0.25">
      <c r="V1615" s="2">
        <f>Таблица1[[#This Row],[Дата перевода]]-Таблица1[[#This Row],[Дата поступления]]</f>
        <v>0</v>
      </c>
      <c r="W1615" s="2">
        <f>Таблица1[[#This Row],[Дата поступления]]-Таблица1[[#This Row],[Дата рождения]]</f>
        <v>0</v>
      </c>
    </row>
    <row r="1616" spans="22:23" ht="24.95" customHeight="1" x14ac:dyDescent="0.25">
      <c r="V1616" s="2">
        <f>Таблица1[[#This Row],[Дата перевода]]-Таблица1[[#This Row],[Дата поступления]]</f>
        <v>0</v>
      </c>
      <c r="W1616" s="2">
        <f>Таблица1[[#This Row],[Дата поступления]]-Таблица1[[#This Row],[Дата рождения]]</f>
        <v>0</v>
      </c>
    </row>
    <row r="1617" spans="22:23" ht="24.95" customHeight="1" x14ac:dyDescent="0.25">
      <c r="V1617" s="2">
        <f>Таблица1[[#This Row],[Дата перевода]]-Таблица1[[#This Row],[Дата поступления]]</f>
        <v>0</v>
      </c>
      <c r="W1617" s="2">
        <f>Таблица1[[#This Row],[Дата поступления]]-Таблица1[[#This Row],[Дата рождения]]</f>
        <v>0</v>
      </c>
    </row>
    <row r="1618" spans="22:23" ht="24.95" customHeight="1" x14ac:dyDescent="0.25">
      <c r="V1618" s="2">
        <f>Таблица1[[#This Row],[Дата перевода]]-Таблица1[[#This Row],[Дата поступления]]</f>
        <v>0</v>
      </c>
      <c r="W1618" s="2">
        <f>Таблица1[[#This Row],[Дата поступления]]-Таблица1[[#This Row],[Дата рождения]]</f>
        <v>0</v>
      </c>
    </row>
    <row r="1619" spans="22:23" ht="24.95" customHeight="1" x14ac:dyDescent="0.25">
      <c r="V1619" s="2">
        <f>Таблица1[[#This Row],[Дата перевода]]-Таблица1[[#This Row],[Дата поступления]]</f>
        <v>0</v>
      </c>
      <c r="W1619" s="2">
        <f>Таблица1[[#This Row],[Дата поступления]]-Таблица1[[#This Row],[Дата рождения]]</f>
        <v>0</v>
      </c>
    </row>
    <row r="1620" spans="22:23" ht="24.95" customHeight="1" x14ac:dyDescent="0.25">
      <c r="V1620" s="2">
        <f>Таблица1[[#This Row],[Дата перевода]]-Таблица1[[#This Row],[Дата поступления]]</f>
        <v>0</v>
      </c>
      <c r="W1620" s="2">
        <f>Таблица1[[#This Row],[Дата поступления]]-Таблица1[[#This Row],[Дата рождения]]</f>
        <v>0</v>
      </c>
    </row>
    <row r="1621" spans="22:23" ht="24.95" customHeight="1" x14ac:dyDescent="0.25">
      <c r="V1621" s="2">
        <f>Таблица1[[#This Row],[Дата перевода]]-Таблица1[[#This Row],[Дата поступления]]</f>
        <v>0</v>
      </c>
      <c r="W1621" s="2">
        <f>Таблица1[[#This Row],[Дата поступления]]-Таблица1[[#This Row],[Дата рождения]]</f>
        <v>0</v>
      </c>
    </row>
    <row r="1622" spans="22:23" ht="24.95" customHeight="1" x14ac:dyDescent="0.25">
      <c r="V1622" s="2">
        <f>Таблица1[[#This Row],[Дата перевода]]-Таблица1[[#This Row],[Дата поступления]]</f>
        <v>0</v>
      </c>
      <c r="W1622" s="2">
        <f>Таблица1[[#This Row],[Дата поступления]]-Таблица1[[#This Row],[Дата рождения]]</f>
        <v>0</v>
      </c>
    </row>
    <row r="1623" spans="22:23" ht="24.95" customHeight="1" x14ac:dyDescent="0.25">
      <c r="V1623" s="2">
        <f>Таблица1[[#This Row],[Дата перевода]]-Таблица1[[#This Row],[Дата поступления]]</f>
        <v>0</v>
      </c>
      <c r="W1623" s="2">
        <f>Таблица1[[#This Row],[Дата поступления]]-Таблица1[[#This Row],[Дата рождения]]</f>
        <v>0</v>
      </c>
    </row>
    <row r="1624" spans="22:23" ht="24.95" customHeight="1" x14ac:dyDescent="0.25">
      <c r="V1624" s="2">
        <f>Таблица1[[#This Row],[Дата перевода]]-Таблица1[[#This Row],[Дата поступления]]</f>
        <v>0</v>
      </c>
      <c r="W1624" s="2">
        <f>Таблица1[[#This Row],[Дата поступления]]-Таблица1[[#This Row],[Дата рождения]]</f>
        <v>0</v>
      </c>
    </row>
    <row r="1625" spans="22:23" ht="24.95" customHeight="1" x14ac:dyDescent="0.25">
      <c r="V1625" s="2">
        <f>Таблица1[[#This Row],[Дата перевода]]-Таблица1[[#This Row],[Дата поступления]]</f>
        <v>0</v>
      </c>
      <c r="W1625" s="2">
        <f>Таблица1[[#This Row],[Дата поступления]]-Таблица1[[#This Row],[Дата рождения]]</f>
        <v>0</v>
      </c>
    </row>
    <row r="1626" spans="22:23" ht="24.95" customHeight="1" x14ac:dyDescent="0.25">
      <c r="V1626" s="2">
        <f>Таблица1[[#This Row],[Дата перевода]]-Таблица1[[#This Row],[Дата поступления]]</f>
        <v>0</v>
      </c>
      <c r="W1626" s="2">
        <f>Таблица1[[#This Row],[Дата поступления]]-Таблица1[[#This Row],[Дата рождения]]</f>
        <v>0</v>
      </c>
    </row>
    <row r="1627" spans="22:23" ht="24.95" customHeight="1" x14ac:dyDescent="0.25">
      <c r="V1627" s="2">
        <f>Таблица1[[#This Row],[Дата перевода]]-Таблица1[[#This Row],[Дата поступления]]</f>
        <v>0</v>
      </c>
      <c r="W1627" s="2">
        <f>Таблица1[[#This Row],[Дата поступления]]-Таблица1[[#This Row],[Дата рождения]]</f>
        <v>0</v>
      </c>
    </row>
    <row r="1628" spans="22:23" ht="24.95" customHeight="1" x14ac:dyDescent="0.25">
      <c r="V1628" s="2">
        <f>Таблица1[[#This Row],[Дата перевода]]-Таблица1[[#This Row],[Дата поступления]]</f>
        <v>0</v>
      </c>
      <c r="W1628" s="2">
        <f>Таблица1[[#This Row],[Дата поступления]]-Таблица1[[#This Row],[Дата рождения]]</f>
        <v>0</v>
      </c>
    </row>
    <row r="1629" spans="22:23" ht="24.95" customHeight="1" x14ac:dyDescent="0.25">
      <c r="V1629" s="2">
        <f>Таблица1[[#This Row],[Дата перевода]]-Таблица1[[#This Row],[Дата поступления]]</f>
        <v>0</v>
      </c>
      <c r="W1629" s="2">
        <f>Таблица1[[#This Row],[Дата поступления]]-Таблица1[[#This Row],[Дата рождения]]</f>
        <v>0</v>
      </c>
    </row>
    <row r="1630" spans="22:23" ht="24.95" customHeight="1" x14ac:dyDescent="0.25">
      <c r="V1630" s="2">
        <f>Таблица1[[#This Row],[Дата перевода]]-Таблица1[[#This Row],[Дата поступления]]</f>
        <v>0</v>
      </c>
      <c r="W1630" s="2">
        <f>Таблица1[[#This Row],[Дата поступления]]-Таблица1[[#This Row],[Дата рождения]]</f>
        <v>0</v>
      </c>
    </row>
    <row r="1631" spans="22:23" ht="24.95" customHeight="1" x14ac:dyDescent="0.25">
      <c r="V1631" s="2">
        <f>Таблица1[[#This Row],[Дата перевода]]-Таблица1[[#This Row],[Дата поступления]]</f>
        <v>0</v>
      </c>
      <c r="W1631" s="2">
        <f>Таблица1[[#This Row],[Дата поступления]]-Таблица1[[#This Row],[Дата рождения]]</f>
        <v>0</v>
      </c>
    </row>
    <row r="1632" spans="22:23" ht="24.95" customHeight="1" x14ac:dyDescent="0.25">
      <c r="V1632" s="2">
        <f>Таблица1[[#This Row],[Дата перевода]]-Таблица1[[#This Row],[Дата поступления]]</f>
        <v>0</v>
      </c>
      <c r="W1632" s="2">
        <f>Таблица1[[#This Row],[Дата поступления]]-Таблица1[[#This Row],[Дата рождения]]</f>
        <v>0</v>
      </c>
    </row>
    <row r="1633" spans="22:23" ht="24.95" customHeight="1" x14ac:dyDescent="0.25">
      <c r="V1633" s="2">
        <f>Таблица1[[#This Row],[Дата перевода]]-Таблица1[[#This Row],[Дата поступления]]</f>
        <v>0</v>
      </c>
      <c r="W1633" s="2">
        <f>Таблица1[[#This Row],[Дата поступления]]-Таблица1[[#This Row],[Дата рождения]]</f>
        <v>0</v>
      </c>
    </row>
    <row r="1634" spans="22:23" ht="24.95" customHeight="1" x14ac:dyDescent="0.25">
      <c r="V1634" s="2">
        <f>Таблица1[[#This Row],[Дата перевода]]-Таблица1[[#This Row],[Дата поступления]]</f>
        <v>0</v>
      </c>
      <c r="W1634" s="2">
        <f>Таблица1[[#This Row],[Дата поступления]]-Таблица1[[#This Row],[Дата рождения]]</f>
        <v>0</v>
      </c>
    </row>
    <row r="1635" spans="22:23" ht="24.95" customHeight="1" x14ac:dyDescent="0.25">
      <c r="V1635" s="2">
        <f>Таблица1[[#This Row],[Дата перевода]]-Таблица1[[#This Row],[Дата поступления]]</f>
        <v>0</v>
      </c>
      <c r="W1635" s="2">
        <f>Таблица1[[#This Row],[Дата поступления]]-Таблица1[[#This Row],[Дата рождения]]</f>
        <v>0</v>
      </c>
    </row>
    <row r="1636" spans="22:23" ht="24.95" customHeight="1" x14ac:dyDescent="0.25">
      <c r="V1636" s="2">
        <f>Таблица1[[#This Row],[Дата перевода]]-Таблица1[[#This Row],[Дата поступления]]</f>
        <v>0</v>
      </c>
      <c r="W1636" s="2">
        <f>Таблица1[[#This Row],[Дата поступления]]-Таблица1[[#This Row],[Дата рождения]]</f>
        <v>0</v>
      </c>
    </row>
    <row r="1637" spans="22:23" ht="24.95" customHeight="1" x14ac:dyDescent="0.25">
      <c r="V1637" s="2">
        <f>Таблица1[[#This Row],[Дата перевода]]-Таблица1[[#This Row],[Дата поступления]]</f>
        <v>0</v>
      </c>
      <c r="W1637" s="2">
        <f>Таблица1[[#This Row],[Дата поступления]]-Таблица1[[#This Row],[Дата рождения]]</f>
        <v>0</v>
      </c>
    </row>
    <row r="1638" spans="22:23" ht="24.95" customHeight="1" x14ac:dyDescent="0.25">
      <c r="V1638" s="2">
        <f>Таблица1[[#This Row],[Дата перевода]]-Таблица1[[#This Row],[Дата поступления]]</f>
        <v>0</v>
      </c>
      <c r="W1638" s="2">
        <f>Таблица1[[#This Row],[Дата поступления]]-Таблица1[[#This Row],[Дата рождения]]</f>
        <v>0</v>
      </c>
    </row>
    <row r="1639" spans="22:23" ht="24.95" customHeight="1" x14ac:dyDescent="0.25">
      <c r="V1639" s="2">
        <f>Таблица1[[#This Row],[Дата перевода]]-Таблица1[[#This Row],[Дата поступления]]</f>
        <v>0</v>
      </c>
      <c r="W1639" s="2">
        <f>Таблица1[[#This Row],[Дата поступления]]-Таблица1[[#This Row],[Дата рождения]]</f>
        <v>0</v>
      </c>
    </row>
    <row r="1640" spans="22:23" ht="24.95" customHeight="1" x14ac:dyDescent="0.25">
      <c r="V1640" s="2">
        <f>Таблица1[[#This Row],[Дата перевода]]-Таблица1[[#This Row],[Дата поступления]]</f>
        <v>0</v>
      </c>
      <c r="W1640" s="2">
        <f>Таблица1[[#This Row],[Дата поступления]]-Таблица1[[#This Row],[Дата рождения]]</f>
        <v>0</v>
      </c>
    </row>
    <row r="1641" spans="22:23" ht="24.95" customHeight="1" x14ac:dyDescent="0.25">
      <c r="V1641" s="2">
        <f>Таблица1[[#This Row],[Дата перевода]]-Таблица1[[#This Row],[Дата поступления]]</f>
        <v>0</v>
      </c>
      <c r="W1641" s="2">
        <f>Таблица1[[#This Row],[Дата поступления]]-Таблица1[[#This Row],[Дата рождения]]</f>
        <v>0</v>
      </c>
    </row>
    <row r="1642" spans="22:23" ht="24.95" customHeight="1" x14ac:dyDescent="0.25">
      <c r="V1642" s="2">
        <f>Таблица1[[#This Row],[Дата перевода]]-Таблица1[[#This Row],[Дата поступления]]</f>
        <v>0</v>
      </c>
      <c r="W1642" s="2">
        <f>Таблица1[[#This Row],[Дата поступления]]-Таблица1[[#This Row],[Дата рождения]]</f>
        <v>0</v>
      </c>
    </row>
    <row r="1643" spans="22:23" ht="24.95" customHeight="1" x14ac:dyDescent="0.25">
      <c r="V1643" s="2">
        <f>Таблица1[[#This Row],[Дата перевода]]-Таблица1[[#This Row],[Дата поступления]]</f>
        <v>0</v>
      </c>
      <c r="W1643" s="2">
        <f>Таблица1[[#This Row],[Дата поступления]]-Таблица1[[#This Row],[Дата рождения]]</f>
        <v>0</v>
      </c>
    </row>
    <row r="1644" spans="22:23" ht="24.95" customHeight="1" x14ac:dyDescent="0.25">
      <c r="V1644" s="2">
        <f>Таблица1[[#This Row],[Дата перевода]]-Таблица1[[#This Row],[Дата поступления]]</f>
        <v>0</v>
      </c>
      <c r="W1644" s="2">
        <f>Таблица1[[#This Row],[Дата поступления]]-Таблица1[[#This Row],[Дата рождения]]</f>
        <v>0</v>
      </c>
    </row>
    <row r="1645" spans="22:23" ht="24.95" customHeight="1" x14ac:dyDescent="0.25">
      <c r="V1645" s="2">
        <f>Таблица1[[#This Row],[Дата перевода]]-Таблица1[[#This Row],[Дата поступления]]</f>
        <v>0</v>
      </c>
      <c r="W1645" s="2">
        <f>Таблица1[[#This Row],[Дата поступления]]-Таблица1[[#This Row],[Дата рождения]]</f>
        <v>0</v>
      </c>
    </row>
    <row r="1646" spans="22:23" ht="24.95" customHeight="1" x14ac:dyDescent="0.25">
      <c r="V1646" s="2">
        <f>Таблица1[[#This Row],[Дата перевода]]-Таблица1[[#This Row],[Дата поступления]]</f>
        <v>0</v>
      </c>
      <c r="W1646" s="2">
        <f>Таблица1[[#This Row],[Дата поступления]]-Таблица1[[#This Row],[Дата рождения]]</f>
        <v>0</v>
      </c>
    </row>
    <row r="1647" spans="22:23" ht="24.95" customHeight="1" x14ac:dyDescent="0.25">
      <c r="V1647" s="2">
        <f>Таблица1[[#This Row],[Дата перевода]]-Таблица1[[#This Row],[Дата поступления]]</f>
        <v>0</v>
      </c>
      <c r="W1647" s="2">
        <f>Таблица1[[#This Row],[Дата поступления]]-Таблица1[[#This Row],[Дата рождения]]</f>
        <v>0</v>
      </c>
    </row>
    <row r="1648" spans="22:23" ht="24.95" customHeight="1" x14ac:dyDescent="0.25">
      <c r="V1648" s="2">
        <f>Таблица1[[#This Row],[Дата перевода]]-Таблица1[[#This Row],[Дата поступления]]</f>
        <v>0</v>
      </c>
      <c r="W1648" s="2">
        <f>Таблица1[[#This Row],[Дата поступления]]-Таблица1[[#This Row],[Дата рождения]]</f>
        <v>0</v>
      </c>
    </row>
    <row r="1649" spans="22:23" ht="24.95" customHeight="1" x14ac:dyDescent="0.25">
      <c r="V1649" s="2">
        <f>Таблица1[[#This Row],[Дата перевода]]-Таблица1[[#This Row],[Дата поступления]]</f>
        <v>0</v>
      </c>
      <c r="W1649" s="2">
        <f>Таблица1[[#This Row],[Дата поступления]]-Таблица1[[#This Row],[Дата рождения]]</f>
        <v>0</v>
      </c>
    </row>
    <row r="1650" spans="22:23" ht="24.95" customHeight="1" x14ac:dyDescent="0.25">
      <c r="V1650" s="2">
        <f>Таблица1[[#This Row],[Дата перевода]]-Таблица1[[#This Row],[Дата поступления]]</f>
        <v>0</v>
      </c>
      <c r="W1650" s="2">
        <f>Таблица1[[#This Row],[Дата поступления]]-Таблица1[[#This Row],[Дата рождения]]</f>
        <v>0</v>
      </c>
    </row>
    <row r="1651" spans="22:23" ht="24.95" customHeight="1" x14ac:dyDescent="0.25">
      <c r="V1651" s="2">
        <f>Таблица1[[#This Row],[Дата перевода]]-Таблица1[[#This Row],[Дата поступления]]</f>
        <v>0</v>
      </c>
      <c r="W1651" s="2">
        <f>Таблица1[[#This Row],[Дата поступления]]-Таблица1[[#This Row],[Дата рождения]]</f>
        <v>0</v>
      </c>
    </row>
    <row r="1652" spans="22:23" ht="24.95" customHeight="1" x14ac:dyDescent="0.25">
      <c r="V1652" s="2">
        <f>Таблица1[[#This Row],[Дата перевода]]-Таблица1[[#This Row],[Дата поступления]]</f>
        <v>0</v>
      </c>
      <c r="W1652" s="2">
        <f>Таблица1[[#This Row],[Дата поступления]]-Таблица1[[#This Row],[Дата рождения]]</f>
        <v>0</v>
      </c>
    </row>
    <row r="1653" spans="22:23" ht="24.95" customHeight="1" x14ac:dyDescent="0.25">
      <c r="V1653" s="2">
        <f>Таблица1[[#This Row],[Дата перевода]]-Таблица1[[#This Row],[Дата поступления]]</f>
        <v>0</v>
      </c>
      <c r="W1653" s="2">
        <f>Таблица1[[#This Row],[Дата поступления]]-Таблица1[[#This Row],[Дата рождения]]</f>
        <v>0</v>
      </c>
    </row>
    <row r="1654" spans="22:23" ht="24.95" customHeight="1" x14ac:dyDescent="0.25">
      <c r="V1654" s="2">
        <f>Таблица1[[#This Row],[Дата перевода]]-Таблица1[[#This Row],[Дата поступления]]</f>
        <v>0</v>
      </c>
      <c r="W1654" s="2">
        <f>Таблица1[[#This Row],[Дата поступления]]-Таблица1[[#This Row],[Дата рождения]]</f>
        <v>0</v>
      </c>
    </row>
    <row r="1655" spans="22:23" ht="24.95" customHeight="1" x14ac:dyDescent="0.25">
      <c r="V1655" s="2">
        <f>Таблица1[[#This Row],[Дата перевода]]-Таблица1[[#This Row],[Дата поступления]]</f>
        <v>0</v>
      </c>
      <c r="W1655" s="2">
        <f>Таблица1[[#This Row],[Дата поступления]]-Таблица1[[#This Row],[Дата рождения]]</f>
        <v>0</v>
      </c>
    </row>
    <row r="1656" spans="22:23" ht="24.95" customHeight="1" x14ac:dyDescent="0.25">
      <c r="V1656" s="2">
        <f>Таблица1[[#This Row],[Дата перевода]]-Таблица1[[#This Row],[Дата поступления]]</f>
        <v>0</v>
      </c>
      <c r="W1656" s="2">
        <f>Таблица1[[#This Row],[Дата поступления]]-Таблица1[[#This Row],[Дата рождения]]</f>
        <v>0</v>
      </c>
    </row>
    <row r="1657" spans="22:23" ht="24.95" customHeight="1" x14ac:dyDescent="0.25">
      <c r="V1657" s="2">
        <f>Таблица1[[#This Row],[Дата перевода]]-Таблица1[[#This Row],[Дата поступления]]</f>
        <v>0</v>
      </c>
      <c r="W1657" s="2">
        <f>Таблица1[[#This Row],[Дата поступления]]-Таблица1[[#This Row],[Дата рождения]]</f>
        <v>0</v>
      </c>
    </row>
    <row r="1658" spans="22:23" ht="24.95" customHeight="1" x14ac:dyDescent="0.25">
      <c r="V1658" s="2">
        <f>Таблица1[[#This Row],[Дата перевода]]-Таблица1[[#This Row],[Дата поступления]]</f>
        <v>0</v>
      </c>
      <c r="W1658" s="2">
        <f>Таблица1[[#This Row],[Дата поступления]]-Таблица1[[#This Row],[Дата рождения]]</f>
        <v>0</v>
      </c>
    </row>
    <row r="1659" spans="22:23" ht="24.95" customHeight="1" x14ac:dyDescent="0.25">
      <c r="V1659" s="2">
        <f>Таблица1[[#This Row],[Дата перевода]]-Таблица1[[#This Row],[Дата поступления]]</f>
        <v>0</v>
      </c>
      <c r="W1659" s="2">
        <f>Таблица1[[#This Row],[Дата поступления]]-Таблица1[[#This Row],[Дата рождения]]</f>
        <v>0</v>
      </c>
    </row>
    <row r="1660" spans="22:23" ht="24.95" customHeight="1" x14ac:dyDescent="0.25">
      <c r="V1660" s="2">
        <f>Таблица1[[#This Row],[Дата перевода]]-Таблица1[[#This Row],[Дата поступления]]</f>
        <v>0</v>
      </c>
      <c r="W1660" s="2">
        <f>Таблица1[[#This Row],[Дата поступления]]-Таблица1[[#This Row],[Дата рождения]]</f>
        <v>0</v>
      </c>
    </row>
    <row r="1661" spans="22:23" ht="24.95" customHeight="1" x14ac:dyDescent="0.25">
      <c r="V1661" s="2">
        <f>Таблица1[[#This Row],[Дата перевода]]-Таблица1[[#This Row],[Дата поступления]]</f>
        <v>0</v>
      </c>
      <c r="W1661" s="2">
        <f>Таблица1[[#This Row],[Дата поступления]]-Таблица1[[#This Row],[Дата рождения]]</f>
        <v>0</v>
      </c>
    </row>
    <row r="1662" spans="22:23" ht="24.95" customHeight="1" x14ac:dyDescent="0.25">
      <c r="V1662" s="2">
        <f>Таблица1[[#This Row],[Дата перевода]]-Таблица1[[#This Row],[Дата поступления]]</f>
        <v>0</v>
      </c>
      <c r="W1662" s="2">
        <f>Таблица1[[#This Row],[Дата поступления]]-Таблица1[[#This Row],[Дата рождения]]</f>
        <v>0</v>
      </c>
    </row>
    <row r="1663" spans="22:23" ht="24.95" customHeight="1" x14ac:dyDescent="0.25">
      <c r="V1663" s="2">
        <f>Таблица1[[#This Row],[Дата перевода]]-Таблица1[[#This Row],[Дата поступления]]</f>
        <v>0</v>
      </c>
      <c r="W1663" s="2">
        <f>Таблица1[[#This Row],[Дата поступления]]-Таблица1[[#This Row],[Дата рождения]]</f>
        <v>0</v>
      </c>
    </row>
    <row r="1664" spans="22:23" ht="24.95" customHeight="1" x14ac:dyDescent="0.25">
      <c r="V1664" s="2">
        <f>Таблица1[[#This Row],[Дата перевода]]-Таблица1[[#This Row],[Дата поступления]]</f>
        <v>0</v>
      </c>
      <c r="W1664" s="2">
        <f>Таблица1[[#This Row],[Дата поступления]]-Таблица1[[#This Row],[Дата рождения]]</f>
        <v>0</v>
      </c>
    </row>
    <row r="1665" spans="22:23" ht="24.95" customHeight="1" x14ac:dyDescent="0.25">
      <c r="V1665" s="2">
        <f>Таблица1[[#This Row],[Дата перевода]]-Таблица1[[#This Row],[Дата поступления]]</f>
        <v>0</v>
      </c>
      <c r="W1665" s="2">
        <f>Таблица1[[#This Row],[Дата поступления]]-Таблица1[[#This Row],[Дата рождения]]</f>
        <v>0</v>
      </c>
    </row>
    <row r="1666" spans="22:23" ht="24.95" customHeight="1" x14ac:dyDescent="0.25">
      <c r="V1666" s="2">
        <f>Таблица1[[#This Row],[Дата перевода]]-Таблица1[[#This Row],[Дата поступления]]</f>
        <v>0</v>
      </c>
      <c r="W1666" s="2">
        <f>Таблица1[[#This Row],[Дата поступления]]-Таблица1[[#This Row],[Дата рождения]]</f>
        <v>0</v>
      </c>
    </row>
    <row r="1667" spans="22:23" ht="24.95" customHeight="1" x14ac:dyDescent="0.25">
      <c r="V1667" s="2">
        <f>Таблица1[[#This Row],[Дата перевода]]-Таблица1[[#This Row],[Дата поступления]]</f>
        <v>0</v>
      </c>
      <c r="W1667" s="2">
        <f>Таблица1[[#This Row],[Дата поступления]]-Таблица1[[#This Row],[Дата рождения]]</f>
        <v>0</v>
      </c>
    </row>
    <row r="1668" spans="22:23" ht="24.95" customHeight="1" x14ac:dyDescent="0.25">
      <c r="V1668" s="2">
        <f>Таблица1[[#This Row],[Дата перевода]]-Таблица1[[#This Row],[Дата поступления]]</f>
        <v>0</v>
      </c>
      <c r="W1668" s="2">
        <f>Таблица1[[#This Row],[Дата поступления]]-Таблица1[[#This Row],[Дата рождения]]</f>
        <v>0</v>
      </c>
    </row>
    <row r="1669" spans="22:23" ht="24.95" customHeight="1" x14ac:dyDescent="0.25">
      <c r="V1669" s="2">
        <f>Таблица1[[#This Row],[Дата перевода]]-Таблица1[[#This Row],[Дата поступления]]</f>
        <v>0</v>
      </c>
      <c r="W1669" s="2">
        <f>Таблица1[[#This Row],[Дата поступления]]-Таблица1[[#This Row],[Дата рождения]]</f>
        <v>0</v>
      </c>
    </row>
    <row r="1670" spans="22:23" ht="24.95" customHeight="1" x14ac:dyDescent="0.25">
      <c r="V1670" s="2">
        <f>Таблица1[[#This Row],[Дата перевода]]-Таблица1[[#This Row],[Дата поступления]]</f>
        <v>0</v>
      </c>
      <c r="W1670" s="2">
        <f>Таблица1[[#This Row],[Дата поступления]]-Таблица1[[#This Row],[Дата рождения]]</f>
        <v>0</v>
      </c>
    </row>
    <row r="1671" spans="22:23" ht="24.95" customHeight="1" x14ac:dyDescent="0.25">
      <c r="V1671" s="2">
        <f>Таблица1[[#This Row],[Дата перевода]]-Таблица1[[#This Row],[Дата поступления]]</f>
        <v>0</v>
      </c>
      <c r="W1671" s="2">
        <f>Таблица1[[#This Row],[Дата поступления]]-Таблица1[[#This Row],[Дата рождения]]</f>
        <v>0</v>
      </c>
    </row>
    <row r="1672" spans="22:23" ht="24.95" customHeight="1" x14ac:dyDescent="0.25">
      <c r="V1672" s="2">
        <f>Таблица1[[#This Row],[Дата перевода]]-Таблица1[[#This Row],[Дата поступления]]</f>
        <v>0</v>
      </c>
      <c r="W1672" s="2">
        <f>Таблица1[[#This Row],[Дата поступления]]-Таблица1[[#This Row],[Дата рождения]]</f>
        <v>0</v>
      </c>
    </row>
    <row r="1673" spans="22:23" ht="24.95" customHeight="1" x14ac:dyDescent="0.25">
      <c r="V1673" s="2">
        <f>Таблица1[[#This Row],[Дата перевода]]-Таблица1[[#This Row],[Дата поступления]]</f>
        <v>0</v>
      </c>
      <c r="W1673" s="2">
        <f>Таблица1[[#This Row],[Дата поступления]]-Таблица1[[#This Row],[Дата рождения]]</f>
        <v>0</v>
      </c>
    </row>
    <row r="1674" spans="22:23" ht="24.95" customHeight="1" x14ac:dyDescent="0.25">
      <c r="V1674" s="2">
        <f>Таблица1[[#This Row],[Дата перевода]]-Таблица1[[#This Row],[Дата поступления]]</f>
        <v>0</v>
      </c>
      <c r="W1674" s="2">
        <f>Таблица1[[#This Row],[Дата поступления]]-Таблица1[[#This Row],[Дата рождения]]</f>
        <v>0</v>
      </c>
    </row>
    <row r="1675" spans="22:23" ht="24.95" customHeight="1" x14ac:dyDescent="0.25">
      <c r="V1675" s="2">
        <f>Таблица1[[#This Row],[Дата перевода]]-Таблица1[[#This Row],[Дата поступления]]</f>
        <v>0</v>
      </c>
      <c r="W1675" s="2">
        <f>Таблица1[[#This Row],[Дата поступления]]-Таблица1[[#This Row],[Дата рождения]]</f>
        <v>0</v>
      </c>
    </row>
    <row r="1676" spans="22:23" ht="24.95" customHeight="1" x14ac:dyDescent="0.25">
      <c r="V1676" s="2">
        <f>Таблица1[[#This Row],[Дата перевода]]-Таблица1[[#This Row],[Дата поступления]]</f>
        <v>0</v>
      </c>
      <c r="W1676" s="2">
        <f>Таблица1[[#This Row],[Дата поступления]]-Таблица1[[#This Row],[Дата рождения]]</f>
        <v>0</v>
      </c>
    </row>
    <row r="1677" spans="22:23" ht="24.95" customHeight="1" x14ac:dyDescent="0.25">
      <c r="V1677" s="2">
        <f>Таблица1[[#This Row],[Дата перевода]]-Таблица1[[#This Row],[Дата поступления]]</f>
        <v>0</v>
      </c>
      <c r="W1677" s="2">
        <f>Таблица1[[#This Row],[Дата поступления]]-Таблица1[[#This Row],[Дата рождения]]</f>
        <v>0</v>
      </c>
    </row>
    <row r="1678" spans="22:23" ht="24.95" customHeight="1" x14ac:dyDescent="0.25">
      <c r="V1678" s="2">
        <f>Таблица1[[#This Row],[Дата перевода]]-Таблица1[[#This Row],[Дата поступления]]</f>
        <v>0</v>
      </c>
      <c r="W1678" s="2">
        <f>Таблица1[[#This Row],[Дата поступления]]-Таблица1[[#This Row],[Дата рождения]]</f>
        <v>0</v>
      </c>
    </row>
    <row r="1679" spans="22:23" ht="24.95" customHeight="1" x14ac:dyDescent="0.25">
      <c r="V1679" s="2">
        <f>Таблица1[[#This Row],[Дата перевода]]-Таблица1[[#This Row],[Дата поступления]]</f>
        <v>0</v>
      </c>
      <c r="W1679" s="2">
        <f>Таблица1[[#This Row],[Дата поступления]]-Таблица1[[#This Row],[Дата рождения]]</f>
        <v>0</v>
      </c>
    </row>
    <row r="1680" spans="22:23" ht="24.95" customHeight="1" x14ac:dyDescent="0.25">
      <c r="V1680" s="2">
        <f>Таблица1[[#This Row],[Дата перевода]]-Таблица1[[#This Row],[Дата поступления]]</f>
        <v>0</v>
      </c>
      <c r="W1680" s="2">
        <f>Таблица1[[#This Row],[Дата поступления]]-Таблица1[[#This Row],[Дата рождения]]</f>
        <v>0</v>
      </c>
    </row>
    <row r="1681" spans="22:23" ht="24.95" customHeight="1" x14ac:dyDescent="0.25">
      <c r="V1681" s="2">
        <f>Таблица1[[#This Row],[Дата перевода]]-Таблица1[[#This Row],[Дата поступления]]</f>
        <v>0</v>
      </c>
      <c r="W1681" s="2">
        <f>Таблица1[[#This Row],[Дата поступления]]-Таблица1[[#This Row],[Дата рождения]]</f>
        <v>0</v>
      </c>
    </row>
    <row r="1682" spans="22:23" ht="24.95" customHeight="1" x14ac:dyDescent="0.25">
      <c r="V1682" s="2">
        <f>Таблица1[[#This Row],[Дата перевода]]-Таблица1[[#This Row],[Дата поступления]]</f>
        <v>0</v>
      </c>
      <c r="W1682" s="2">
        <f>Таблица1[[#This Row],[Дата поступления]]-Таблица1[[#This Row],[Дата рождения]]</f>
        <v>0</v>
      </c>
    </row>
    <row r="1683" spans="22:23" ht="24.95" customHeight="1" x14ac:dyDescent="0.25">
      <c r="V1683" s="2">
        <f>Таблица1[[#This Row],[Дата перевода]]-Таблица1[[#This Row],[Дата поступления]]</f>
        <v>0</v>
      </c>
      <c r="W1683" s="2">
        <f>Таблица1[[#This Row],[Дата поступления]]-Таблица1[[#This Row],[Дата рождения]]</f>
        <v>0</v>
      </c>
    </row>
    <row r="1684" spans="22:23" ht="24.95" customHeight="1" x14ac:dyDescent="0.25">
      <c r="V1684" s="2">
        <f>Таблица1[[#This Row],[Дата перевода]]-Таблица1[[#This Row],[Дата поступления]]</f>
        <v>0</v>
      </c>
      <c r="W1684" s="2">
        <f>Таблица1[[#This Row],[Дата поступления]]-Таблица1[[#This Row],[Дата рождения]]</f>
        <v>0</v>
      </c>
    </row>
    <row r="1685" spans="22:23" ht="24.95" customHeight="1" x14ac:dyDescent="0.25">
      <c r="V1685" s="2">
        <f>Таблица1[[#This Row],[Дата перевода]]-Таблица1[[#This Row],[Дата поступления]]</f>
        <v>0</v>
      </c>
      <c r="W1685" s="2">
        <f>Таблица1[[#This Row],[Дата поступления]]-Таблица1[[#This Row],[Дата рождения]]</f>
        <v>0</v>
      </c>
    </row>
    <row r="1686" spans="22:23" ht="24.95" customHeight="1" x14ac:dyDescent="0.25">
      <c r="V1686" s="2">
        <f>Таблица1[[#This Row],[Дата перевода]]-Таблица1[[#This Row],[Дата поступления]]</f>
        <v>0</v>
      </c>
      <c r="W1686" s="2">
        <f>Таблица1[[#This Row],[Дата поступления]]-Таблица1[[#This Row],[Дата рождения]]</f>
        <v>0</v>
      </c>
    </row>
    <row r="1687" spans="22:23" ht="24.95" customHeight="1" x14ac:dyDescent="0.25">
      <c r="V1687" s="2">
        <f>Таблица1[[#This Row],[Дата перевода]]-Таблица1[[#This Row],[Дата поступления]]</f>
        <v>0</v>
      </c>
      <c r="W1687" s="2">
        <f>Таблица1[[#This Row],[Дата поступления]]-Таблица1[[#This Row],[Дата рождения]]</f>
        <v>0</v>
      </c>
    </row>
    <row r="1688" spans="22:23" ht="24.95" customHeight="1" x14ac:dyDescent="0.25">
      <c r="V1688" s="2">
        <f>Таблица1[[#This Row],[Дата перевода]]-Таблица1[[#This Row],[Дата поступления]]</f>
        <v>0</v>
      </c>
      <c r="W1688" s="2">
        <f>Таблица1[[#This Row],[Дата поступления]]-Таблица1[[#This Row],[Дата рождения]]</f>
        <v>0</v>
      </c>
    </row>
    <row r="1689" spans="22:23" ht="24.95" customHeight="1" x14ac:dyDescent="0.25">
      <c r="V1689" s="2">
        <f>Таблица1[[#This Row],[Дата перевода]]-Таблица1[[#This Row],[Дата поступления]]</f>
        <v>0</v>
      </c>
      <c r="W1689" s="2">
        <f>Таблица1[[#This Row],[Дата поступления]]-Таблица1[[#This Row],[Дата рождения]]</f>
        <v>0</v>
      </c>
    </row>
    <row r="1690" spans="22:23" ht="24.95" customHeight="1" x14ac:dyDescent="0.25">
      <c r="V1690" s="2">
        <f>Таблица1[[#This Row],[Дата перевода]]-Таблица1[[#This Row],[Дата поступления]]</f>
        <v>0</v>
      </c>
      <c r="W1690" s="2">
        <f>Таблица1[[#This Row],[Дата поступления]]-Таблица1[[#This Row],[Дата рождения]]</f>
        <v>0</v>
      </c>
    </row>
    <row r="1691" spans="22:23" ht="24.95" customHeight="1" x14ac:dyDescent="0.25">
      <c r="V1691" s="2">
        <f>Таблица1[[#This Row],[Дата перевода]]-Таблица1[[#This Row],[Дата поступления]]</f>
        <v>0</v>
      </c>
      <c r="W1691" s="2">
        <f>Таблица1[[#This Row],[Дата поступления]]-Таблица1[[#This Row],[Дата рождения]]</f>
        <v>0</v>
      </c>
    </row>
    <row r="1692" spans="22:23" ht="24.95" customHeight="1" x14ac:dyDescent="0.25">
      <c r="V1692" s="2">
        <f>Таблица1[[#This Row],[Дата перевода]]-Таблица1[[#This Row],[Дата поступления]]</f>
        <v>0</v>
      </c>
      <c r="W1692" s="2">
        <f>Таблица1[[#This Row],[Дата поступления]]-Таблица1[[#This Row],[Дата рождения]]</f>
        <v>0</v>
      </c>
    </row>
    <row r="1693" spans="22:23" ht="24.95" customHeight="1" x14ac:dyDescent="0.25">
      <c r="V1693" s="2">
        <f>Таблица1[[#This Row],[Дата перевода]]-Таблица1[[#This Row],[Дата поступления]]</f>
        <v>0</v>
      </c>
      <c r="W1693" s="2">
        <f>Таблица1[[#This Row],[Дата поступления]]-Таблица1[[#This Row],[Дата рождения]]</f>
        <v>0</v>
      </c>
    </row>
    <row r="1694" spans="22:23" ht="24.95" customHeight="1" x14ac:dyDescent="0.25">
      <c r="V1694" s="2">
        <f>Таблица1[[#This Row],[Дата перевода]]-Таблица1[[#This Row],[Дата поступления]]</f>
        <v>0</v>
      </c>
      <c r="W1694" s="2">
        <f>Таблица1[[#This Row],[Дата поступления]]-Таблица1[[#This Row],[Дата рождения]]</f>
        <v>0</v>
      </c>
    </row>
    <row r="1695" spans="22:23" ht="24.95" customHeight="1" x14ac:dyDescent="0.25">
      <c r="V1695" s="2">
        <f>Таблица1[[#This Row],[Дата перевода]]-Таблица1[[#This Row],[Дата поступления]]</f>
        <v>0</v>
      </c>
      <c r="W1695" s="2">
        <f>Таблица1[[#This Row],[Дата поступления]]-Таблица1[[#This Row],[Дата рождения]]</f>
        <v>0</v>
      </c>
    </row>
    <row r="1696" spans="22:23" ht="24.95" customHeight="1" x14ac:dyDescent="0.25">
      <c r="V1696" s="2">
        <f>Таблица1[[#This Row],[Дата перевода]]-Таблица1[[#This Row],[Дата поступления]]</f>
        <v>0</v>
      </c>
      <c r="W1696" s="2">
        <f>Таблица1[[#This Row],[Дата поступления]]-Таблица1[[#This Row],[Дата рождения]]</f>
        <v>0</v>
      </c>
    </row>
    <row r="1697" spans="22:23" ht="24.95" customHeight="1" x14ac:dyDescent="0.25">
      <c r="V1697" s="2">
        <f>Таблица1[[#This Row],[Дата перевода]]-Таблица1[[#This Row],[Дата поступления]]</f>
        <v>0</v>
      </c>
      <c r="W1697" s="2">
        <f>Таблица1[[#This Row],[Дата поступления]]-Таблица1[[#This Row],[Дата рождения]]</f>
        <v>0</v>
      </c>
    </row>
    <row r="1698" spans="22:23" ht="24.95" customHeight="1" x14ac:dyDescent="0.25">
      <c r="V1698" s="2">
        <f>Таблица1[[#This Row],[Дата перевода]]-Таблица1[[#This Row],[Дата поступления]]</f>
        <v>0</v>
      </c>
      <c r="W1698" s="2">
        <f>Таблица1[[#This Row],[Дата поступления]]-Таблица1[[#This Row],[Дата рождения]]</f>
        <v>0</v>
      </c>
    </row>
    <row r="1699" spans="22:23" ht="24.95" customHeight="1" x14ac:dyDescent="0.25">
      <c r="V1699" s="2">
        <f>Таблица1[[#This Row],[Дата перевода]]-Таблица1[[#This Row],[Дата поступления]]</f>
        <v>0</v>
      </c>
      <c r="W1699" s="2">
        <f>Таблица1[[#This Row],[Дата поступления]]-Таблица1[[#This Row],[Дата рождения]]</f>
        <v>0</v>
      </c>
    </row>
    <row r="1700" spans="22:23" ht="24.95" customHeight="1" x14ac:dyDescent="0.25">
      <c r="V1700" s="2">
        <f>Таблица1[[#This Row],[Дата перевода]]-Таблица1[[#This Row],[Дата поступления]]</f>
        <v>0</v>
      </c>
      <c r="W1700" s="2">
        <f>Таблица1[[#This Row],[Дата поступления]]-Таблица1[[#This Row],[Дата рождения]]</f>
        <v>0</v>
      </c>
    </row>
    <row r="1701" spans="22:23" ht="24.95" customHeight="1" x14ac:dyDescent="0.25">
      <c r="V1701" s="2">
        <f>Таблица1[[#This Row],[Дата перевода]]-Таблица1[[#This Row],[Дата поступления]]</f>
        <v>0</v>
      </c>
      <c r="W1701" s="2">
        <f>Таблица1[[#This Row],[Дата поступления]]-Таблица1[[#This Row],[Дата рождения]]</f>
        <v>0</v>
      </c>
    </row>
    <row r="1702" spans="22:23" ht="24.95" customHeight="1" x14ac:dyDescent="0.25">
      <c r="V1702" s="2">
        <f>Таблица1[[#This Row],[Дата перевода]]-Таблица1[[#This Row],[Дата поступления]]</f>
        <v>0</v>
      </c>
      <c r="W1702" s="2">
        <f>Таблица1[[#This Row],[Дата поступления]]-Таблица1[[#This Row],[Дата рождения]]</f>
        <v>0</v>
      </c>
    </row>
    <row r="1703" spans="22:23" ht="24.95" customHeight="1" x14ac:dyDescent="0.25">
      <c r="V1703" s="2">
        <f>Таблица1[[#This Row],[Дата перевода]]-Таблица1[[#This Row],[Дата поступления]]</f>
        <v>0</v>
      </c>
      <c r="W1703" s="2">
        <f>Таблица1[[#This Row],[Дата поступления]]-Таблица1[[#This Row],[Дата рождения]]</f>
        <v>0</v>
      </c>
    </row>
    <row r="1704" spans="22:23" ht="24.95" customHeight="1" x14ac:dyDescent="0.25">
      <c r="V1704" s="2">
        <f>Таблица1[[#This Row],[Дата перевода]]-Таблица1[[#This Row],[Дата поступления]]</f>
        <v>0</v>
      </c>
      <c r="W1704" s="2">
        <f>Таблица1[[#This Row],[Дата поступления]]-Таблица1[[#This Row],[Дата рождения]]</f>
        <v>0</v>
      </c>
    </row>
    <row r="1705" spans="22:23" ht="24.95" customHeight="1" x14ac:dyDescent="0.25">
      <c r="V1705" s="2">
        <f>Таблица1[[#This Row],[Дата перевода]]-Таблица1[[#This Row],[Дата поступления]]</f>
        <v>0</v>
      </c>
      <c r="W1705" s="2">
        <f>Таблица1[[#This Row],[Дата поступления]]-Таблица1[[#This Row],[Дата рождения]]</f>
        <v>0</v>
      </c>
    </row>
    <row r="1706" spans="22:23" ht="24.95" customHeight="1" x14ac:dyDescent="0.25">
      <c r="V1706" s="2">
        <f>Таблица1[[#This Row],[Дата перевода]]-Таблица1[[#This Row],[Дата поступления]]</f>
        <v>0</v>
      </c>
      <c r="W1706" s="2">
        <f>Таблица1[[#This Row],[Дата поступления]]-Таблица1[[#This Row],[Дата рождения]]</f>
        <v>0</v>
      </c>
    </row>
    <row r="1707" spans="22:23" ht="24.95" customHeight="1" x14ac:dyDescent="0.25">
      <c r="V1707" s="2">
        <f>Таблица1[[#This Row],[Дата перевода]]-Таблица1[[#This Row],[Дата поступления]]</f>
        <v>0</v>
      </c>
      <c r="W1707" s="2">
        <f>Таблица1[[#This Row],[Дата поступления]]-Таблица1[[#This Row],[Дата рождения]]</f>
        <v>0</v>
      </c>
    </row>
    <row r="1708" spans="22:23" ht="24.95" customHeight="1" x14ac:dyDescent="0.25">
      <c r="V1708" s="2">
        <f>Таблица1[[#This Row],[Дата перевода]]-Таблица1[[#This Row],[Дата поступления]]</f>
        <v>0</v>
      </c>
      <c r="W1708" s="2">
        <f>Таблица1[[#This Row],[Дата поступления]]-Таблица1[[#This Row],[Дата рождения]]</f>
        <v>0</v>
      </c>
    </row>
    <row r="1709" spans="22:23" ht="24.95" customHeight="1" x14ac:dyDescent="0.25">
      <c r="V1709" s="2">
        <f>Таблица1[[#This Row],[Дата перевода]]-Таблица1[[#This Row],[Дата поступления]]</f>
        <v>0</v>
      </c>
      <c r="W1709" s="2">
        <f>Таблица1[[#This Row],[Дата поступления]]-Таблица1[[#This Row],[Дата рождения]]</f>
        <v>0</v>
      </c>
    </row>
    <row r="1710" spans="22:23" ht="24.95" customHeight="1" x14ac:dyDescent="0.25">
      <c r="V1710" s="2">
        <f>Таблица1[[#This Row],[Дата перевода]]-Таблица1[[#This Row],[Дата поступления]]</f>
        <v>0</v>
      </c>
      <c r="W1710" s="2">
        <f>Таблица1[[#This Row],[Дата поступления]]-Таблица1[[#This Row],[Дата рождения]]</f>
        <v>0</v>
      </c>
    </row>
    <row r="1711" spans="22:23" ht="24.95" customHeight="1" x14ac:dyDescent="0.25">
      <c r="V1711" s="2">
        <f>Таблица1[[#This Row],[Дата перевода]]-Таблица1[[#This Row],[Дата поступления]]</f>
        <v>0</v>
      </c>
      <c r="W1711" s="2">
        <f>Таблица1[[#This Row],[Дата поступления]]-Таблица1[[#This Row],[Дата рождения]]</f>
        <v>0</v>
      </c>
    </row>
    <row r="1712" spans="22:23" ht="24.95" customHeight="1" x14ac:dyDescent="0.25">
      <c r="V1712" s="2">
        <f>Таблица1[[#This Row],[Дата перевода]]-Таблица1[[#This Row],[Дата поступления]]</f>
        <v>0</v>
      </c>
      <c r="W1712" s="2">
        <f>Таблица1[[#This Row],[Дата поступления]]-Таблица1[[#This Row],[Дата рождения]]</f>
        <v>0</v>
      </c>
    </row>
    <row r="1713" spans="22:23" ht="24.95" customHeight="1" x14ac:dyDescent="0.25">
      <c r="V1713" s="2">
        <f>Таблица1[[#This Row],[Дата перевода]]-Таблица1[[#This Row],[Дата поступления]]</f>
        <v>0</v>
      </c>
      <c r="W1713" s="2">
        <f>Таблица1[[#This Row],[Дата поступления]]-Таблица1[[#This Row],[Дата рождения]]</f>
        <v>0</v>
      </c>
    </row>
    <row r="1714" spans="22:23" ht="24.95" customHeight="1" x14ac:dyDescent="0.25">
      <c r="V1714" s="2">
        <f>Таблица1[[#This Row],[Дата перевода]]-Таблица1[[#This Row],[Дата поступления]]</f>
        <v>0</v>
      </c>
      <c r="W1714" s="2">
        <f>Таблица1[[#This Row],[Дата поступления]]-Таблица1[[#This Row],[Дата рождения]]</f>
        <v>0</v>
      </c>
    </row>
    <row r="1715" spans="22:23" ht="24.95" customHeight="1" x14ac:dyDescent="0.25">
      <c r="V1715" s="2">
        <f>Таблица1[[#This Row],[Дата перевода]]-Таблица1[[#This Row],[Дата поступления]]</f>
        <v>0</v>
      </c>
      <c r="W1715" s="2">
        <f>Таблица1[[#This Row],[Дата поступления]]-Таблица1[[#This Row],[Дата рождения]]</f>
        <v>0</v>
      </c>
    </row>
    <row r="1716" spans="22:23" ht="24.95" customHeight="1" x14ac:dyDescent="0.25">
      <c r="V1716" s="2">
        <f>Таблица1[[#This Row],[Дата перевода]]-Таблица1[[#This Row],[Дата поступления]]</f>
        <v>0</v>
      </c>
      <c r="W1716" s="2">
        <f>Таблица1[[#This Row],[Дата поступления]]-Таблица1[[#This Row],[Дата рождения]]</f>
        <v>0</v>
      </c>
    </row>
    <row r="1717" spans="22:23" ht="24.95" customHeight="1" x14ac:dyDescent="0.25">
      <c r="V1717" s="2">
        <f>Таблица1[[#This Row],[Дата перевода]]-Таблица1[[#This Row],[Дата поступления]]</f>
        <v>0</v>
      </c>
      <c r="W1717" s="2">
        <f>Таблица1[[#This Row],[Дата поступления]]-Таблица1[[#This Row],[Дата рождения]]</f>
        <v>0</v>
      </c>
    </row>
    <row r="1718" spans="22:23" ht="24.95" customHeight="1" x14ac:dyDescent="0.25">
      <c r="V1718" s="2">
        <f>Таблица1[[#This Row],[Дата перевода]]-Таблица1[[#This Row],[Дата поступления]]</f>
        <v>0</v>
      </c>
      <c r="W1718" s="2">
        <f>Таблица1[[#This Row],[Дата поступления]]-Таблица1[[#This Row],[Дата рождения]]</f>
        <v>0</v>
      </c>
    </row>
    <row r="1719" spans="22:23" ht="24.95" customHeight="1" x14ac:dyDescent="0.25">
      <c r="V1719" s="2">
        <f>Таблица1[[#This Row],[Дата перевода]]-Таблица1[[#This Row],[Дата поступления]]</f>
        <v>0</v>
      </c>
      <c r="W1719" s="2">
        <f>Таблица1[[#This Row],[Дата поступления]]-Таблица1[[#This Row],[Дата рождения]]</f>
        <v>0</v>
      </c>
    </row>
    <row r="1720" spans="22:23" ht="24.95" customHeight="1" x14ac:dyDescent="0.25">
      <c r="V1720" s="2">
        <f>Таблица1[[#This Row],[Дата перевода]]-Таблица1[[#This Row],[Дата поступления]]</f>
        <v>0</v>
      </c>
      <c r="W1720" s="2">
        <f>Таблица1[[#This Row],[Дата поступления]]-Таблица1[[#This Row],[Дата рождения]]</f>
        <v>0</v>
      </c>
    </row>
    <row r="1721" spans="22:23" ht="24.95" customHeight="1" x14ac:dyDescent="0.25">
      <c r="V1721" s="2">
        <f>Таблица1[[#This Row],[Дата перевода]]-Таблица1[[#This Row],[Дата поступления]]</f>
        <v>0</v>
      </c>
      <c r="W1721" s="2">
        <f>Таблица1[[#This Row],[Дата поступления]]-Таблица1[[#This Row],[Дата рождения]]</f>
        <v>0</v>
      </c>
    </row>
    <row r="1722" spans="22:23" ht="24.95" customHeight="1" x14ac:dyDescent="0.25">
      <c r="V1722" s="2">
        <f>Таблица1[[#This Row],[Дата перевода]]-Таблица1[[#This Row],[Дата поступления]]</f>
        <v>0</v>
      </c>
      <c r="W1722" s="2">
        <f>Таблица1[[#This Row],[Дата поступления]]-Таблица1[[#This Row],[Дата рождения]]</f>
        <v>0</v>
      </c>
    </row>
    <row r="1723" spans="22:23" ht="24.95" customHeight="1" x14ac:dyDescent="0.25">
      <c r="V1723" s="2">
        <f>Таблица1[[#This Row],[Дата перевода]]-Таблица1[[#This Row],[Дата поступления]]</f>
        <v>0</v>
      </c>
      <c r="W1723" s="2">
        <f>Таблица1[[#This Row],[Дата поступления]]-Таблица1[[#This Row],[Дата рождения]]</f>
        <v>0</v>
      </c>
    </row>
    <row r="1724" spans="22:23" ht="24.95" customHeight="1" x14ac:dyDescent="0.25">
      <c r="V1724" s="2">
        <f>Таблица1[[#This Row],[Дата перевода]]-Таблица1[[#This Row],[Дата поступления]]</f>
        <v>0</v>
      </c>
      <c r="W1724" s="2">
        <f>Таблица1[[#This Row],[Дата поступления]]-Таблица1[[#This Row],[Дата рождения]]</f>
        <v>0</v>
      </c>
    </row>
    <row r="1725" spans="22:23" ht="24.95" customHeight="1" x14ac:dyDescent="0.25">
      <c r="V1725" s="2">
        <f>Таблица1[[#This Row],[Дата перевода]]-Таблица1[[#This Row],[Дата поступления]]</f>
        <v>0</v>
      </c>
      <c r="W1725" s="2">
        <f>Таблица1[[#This Row],[Дата поступления]]-Таблица1[[#This Row],[Дата рождения]]</f>
        <v>0</v>
      </c>
    </row>
    <row r="1726" spans="22:23" ht="24.95" customHeight="1" x14ac:dyDescent="0.25">
      <c r="V1726" s="2">
        <f>Таблица1[[#This Row],[Дата перевода]]-Таблица1[[#This Row],[Дата поступления]]</f>
        <v>0</v>
      </c>
      <c r="W1726" s="2">
        <f>Таблица1[[#This Row],[Дата поступления]]-Таблица1[[#This Row],[Дата рождения]]</f>
        <v>0</v>
      </c>
    </row>
    <row r="1727" spans="22:23" ht="24.95" customHeight="1" x14ac:dyDescent="0.25">
      <c r="V1727" s="2">
        <f>Таблица1[[#This Row],[Дата перевода]]-Таблица1[[#This Row],[Дата поступления]]</f>
        <v>0</v>
      </c>
      <c r="W1727" s="2">
        <f>Таблица1[[#This Row],[Дата поступления]]-Таблица1[[#This Row],[Дата рождения]]</f>
        <v>0</v>
      </c>
    </row>
    <row r="1728" spans="22:23" ht="24.95" customHeight="1" x14ac:dyDescent="0.25">
      <c r="V1728" s="2">
        <f>Таблица1[[#This Row],[Дата перевода]]-Таблица1[[#This Row],[Дата поступления]]</f>
        <v>0</v>
      </c>
      <c r="W1728" s="2">
        <f>Таблица1[[#This Row],[Дата поступления]]-Таблица1[[#This Row],[Дата рождения]]</f>
        <v>0</v>
      </c>
    </row>
    <row r="1729" spans="22:23" ht="24.95" customHeight="1" x14ac:dyDescent="0.25">
      <c r="V1729" s="2">
        <f>Таблица1[[#This Row],[Дата перевода]]-Таблица1[[#This Row],[Дата поступления]]</f>
        <v>0</v>
      </c>
      <c r="W1729" s="2">
        <f>Таблица1[[#This Row],[Дата поступления]]-Таблица1[[#This Row],[Дата рождения]]</f>
        <v>0</v>
      </c>
    </row>
    <row r="1730" spans="22:23" ht="24.95" customHeight="1" x14ac:dyDescent="0.25">
      <c r="V1730" s="2">
        <f>Таблица1[[#This Row],[Дата перевода]]-Таблица1[[#This Row],[Дата поступления]]</f>
        <v>0</v>
      </c>
      <c r="W1730" s="2">
        <f>Таблица1[[#This Row],[Дата поступления]]-Таблица1[[#This Row],[Дата рождения]]</f>
        <v>0</v>
      </c>
    </row>
    <row r="1731" spans="22:23" ht="24.95" customHeight="1" x14ac:dyDescent="0.25">
      <c r="V1731" s="2">
        <f>Таблица1[[#This Row],[Дата перевода]]-Таблица1[[#This Row],[Дата поступления]]</f>
        <v>0</v>
      </c>
      <c r="W1731" s="2">
        <f>Таблица1[[#This Row],[Дата поступления]]-Таблица1[[#This Row],[Дата рождения]]</f>
        <v>0</v>
      </c>
    </row>
    <row r="1732" spans="22:23" ht="24.95" customHeight="1" x14ac:dyDescent="0.25">
      <c r="V1732" s="2">
        <f>Таблица1[[#This Row],[Дата перевода]]-Таблица1[[#This Row],[Дата поступления]]</f>
        <v>0</v>
      </c>
      <c r="W1732" s="2">
        <f>Таблица1[[#This Row],[Дата поступления]]-Таблица1[[#This Row],[Дата рождения]]</f>
        <v>0</v>
      </c>
    </row>
    <row r="1733" spans="22:23" ht="24.95" customHeight="1" x14ac:dyDescent="0.25">
      <c r="V1733" s="2">
        <f>Таблица1[[#This Row],[Дата перевода]]-Таблица1[[#This Row],[Дата поступления]]</f>
        <v>0</v>
      </c>
      <c r="W1733" s="2">
        <f>Таблица1[[#This Row],[Дата поступления]]-Таблица1[[#This Row],[Дата рождения]]</f>
        <v>0</v>
      </c>
    </row>
    <row r="1734" spans="22:23" ht="24.95" customHeight="1" x14ac:dyDescent="0.25">
      <c r="V1734" s="2">
        <f>Таблица1[[#This Row],[Дата перевода]]-Таблица1[[#This Row],[Дата поступления]]</f>
        <v>0</v>
      </c>
      <c r="W1734" s="2">
        <f>Таблица1[[#This Row],[Дата поступления]]-Таблица1[[#This Row],[Дата рождения]]</f>
        <v>0</v>
      </c>
    </row>
    <row r="1735" spans="22:23" ht="24.95" customHeight="1" x14ac:dyDescent="0.25">
      <c r="V1735" s="2">
        <f>Таблица1[[#This Row],[Дата перевода]]-Таблица1[[#This Row],[Дата поступления]]</f>
        <v>0</v>
      </c>
      <c r="W1735" s="2">
        <f>Таблица1[[#This Row],[Дата поступления]]-Таблица1[[#This Row],[Дата рождения]]</f>
        <v>0</v>
      </c>
    </row>
    <row r="1736" spans="22:23" ht="24.95" customHeight="1" x14ac:dyDescent="0.25">
      <c r="V1736" s="2">
        <f>Таблица1[[#This Row],[Дата перевода]]-Таблица1[[#This Row],[Дата поступления]]</f>
        <v>0</v>
      </c>
      <c r="W1736" s="2">
        <f>Таблица1[[#This Row],[Дата поступления]]-Таблица1[[#This Row],[Дата рождения]]</f>
        <v>0</v>
      </c>
    </row>
    <row r="1737" spans="22:23" ht="24.95" customHeight="1" x14ac:dyDescent="0.25">
      <c r="V1737" s="2">
        <f>Таблица1[[#This Row],[Дата перевода]]-Таблица1[[#This Row],[Дата поступления]]</f>
        <v>0</v>
      </c>
      <c r="W1737" s="2">
        <f>Таблица1[[#This Row],[Дата поступления]]-Таблица1[[#This Row],[Дата рождения]]</f>
        <v>0</v>
      </c>
    </row>
    <row r="1738" spans="22:23" ht="24.95" customHeight="1" x14ac:dyDescent="0.25">
      <c r="V1738" s="2">
        <f>Таблица1[[#This Row],[Дата перевода]]-Таблица1[[#This Row],[Дата поступления]]</f>
        <v>0</v>
      </c>
      <c r="W1738" s="2">
        <f>Таблица1[[#This Row],[Дата поступления]]-Таблица1[[#This Row],[Дата рождения]]</f>
        <v>0</v>
      </c>
    </row>
    <row r="1739" spans="22:23" ht="24.95" customHeight="1" x14ac:dyDescent="0.25">
      <c r="V1739" s="2">
        <f>Таблица1[[#This Row],[Дата перевода]]-Таблица1[[#This Row],[Дата поступления]]</f>
        <v>0</v>
      </c>
      <c r="W1739" s="2">
        <f>Таблица1[[#This Row],[Дата поступления]]-Таблица1[[#This Row],[Дата рождения]]</f>
        <v>0</v>
      </c>
    </row>
    <row r="1740" spans="22:23" ht="24.95" customHeight="1" x14ac:dyDescent="0.25">
      <c r="V1740" s="2">
        <f>Таблица1[[#This Row],[Дата перевода]]-Таблица1[[#This Row],[Дата поступления]]</f>
        <v>0</v>
      </c>
      <c r="W1740" s="2">
        <f>Таблица1[[#This Row],[Дата поступления]]-Таблица1[[#This Row],[Дата рождения]]</f>
        <v>0</v>
      </c>
    </row>
    <row r="1741" spans="22:23" ht="24.95" customHeight="1" x14ac:dyDescent="0.25">
      <c r="V1741" s="2">
        <f>Таблица1[[#This Row],[Дата перевода]]-Таблица1[[#This Row],[Дата поступления]]</f>
        <v>0</v>
      </c>
      <c r="W1741" s="2">
        <f>Таблица1[[#This Row],[Дата поступления]]-Таблица1[[#This Row],[Дата рождения]]</f>
        <v>0</v>
      </c>
    </row>
    <row r="1742" spans="22:23" ht="24.95" customHeight="1" x14ac:dyDescent="0.25">
      <c r="V1742" s="2">
        <f>Таблица1[[#This Row],[Дата перевода]]-Таблица1[[#This Row],[Дата поступления]]</f>
        <v>0</v>
      </c>
      <c r="W1742" s="2">
        <f>Таблица1[[#This Row],[Дата поступления]]-Таблица1[[#This Row],[Дата рождения]]</f>
        <v>0</v>
      </c>
    </row>
    <row r="1743" spans="22:23" ht="24.95" customHeight="1" x14ac:dyDescent="0.25">
      <c r="V1743" s="2">
        <f>Таблица1[[#This Row],[Дата перевода]]-Таблица1[[#This Row],[Дата поступления]]</f>
        <v>0</v>
      </c>
      <c r="W1743" s="2">
        <f>Таблица1[[#This Row],[Дата поступления]]-Таблица1[[#This Row],[Дата рождения]]</f>
        <v>0</v>
      </c>
    </row>
    <row r="1744" spans="22:23" ht="24.95" customHeight="1" x14ac:dyDescent="0.25">
      <c r="V1744" s="2">
        <f>Таблица1[[#This Row],[Дата перевода]]-Таблица1[[#This Row],[Дата поступления]]</f>
        <v>0</v>
      </c>
      <c r="W1744" s="2">
        <f>Таблица1[[#This Row],[Дата поступления]]-Таблица1[[#This Row],[Дата рождения]]</f>
        <v>0</v>
      </c>
    </row>
    <row r="1745" spans="22:23" ht="24.95" customHeight="1" x14ac:dyDescent="0.25">
      <c r="V1745" s="2">
        <f>Таблица1[[#This Row],[Дата перевода]]-Таблица1[[#This Row],[Дата поступления]]</f>
        <v>0</v>
      </c>
      <c r="W1745" s="2">
        <f>Таблица1[[#This Row],[Дата поступления]]-Таблица1[[#This Row],[Дата рождения]]</f>
        <v>0</v>
      </c>
    </row>
    <row r="1746" spans="22:23" ht="24.95" customHeight="1" x14ac:dyDescent="0.25">
      <c r="V1746" s="2">
        <f>Таблица1[[#This Row],[Дата перевода]]-Таблица1[[#This Row],[Дата поступления]]</f>
        <v>0</v>
      </c>
      <c r="W1746" s="2">
        <f>Таблица1[[#This Row],[Дата поступления]]-Таблица1[[#This Row],[Дата рождения]]</f>
        <v>0</v>
      </c>
    </row>
    <row r="1747" spans="22:23" ht="24.95" customHeight="1" x14ac:dyDescent="0.25">
      <c r="V1747" s="2">
        <f>Таблица1[[#This Row],[Дата перевода]]-Таблица1[[#This Row],[Дата поступления]]</f>
        <v>0</v>
      </c>
      <c r="W1747" s="2">
        <f>Таблица1[[#This Row],[Дата поступления]]-Таблица1[[#This Row],[Дата рождения]]</f>
        <v>0</v>
      </c>
    </row>
    <row r="1748" spans="22:23" ht="24.95" customHeight="1" x14ac:dyDescent="0.25">
      <c r="V1748" s="2">
        <f>Таблица1[[#This Row],[Дата перевода]]-Таблица1[[#This Row],[Дата поступления]]</f>
        <v>0</v>
      </c>
      <c r="W1748" s="2">
        <f>Таблица1[[#This Row],[Дата поступления]]-Таблица1[[#This Row],[Дата рождения]]</f>
        <v>0</v>
      </c>
    </row>
    <row r="1749" spans="22:23" ht="24.95" customHeight="1" x14ac:dyDescent="0.25">
      <c r="V1749" s="2">
        <f>Таблица1[[#This Row],[Дата перевода]]-Таблица1[[#This Row],[Дата поступления]]</f>
        <v>0</v>
      </c>
      <c r="W1749" s="2">
        <f>Таблица1[[#This Row],[Дата поступления]]-Таблица1[[#This Row],[Дата рождения]]</f>
        <v>0</v>
      </c>
    </row>
    <row r="1750" spans="22:23" ht="24.95" customHeight="1" x14ac:dyDescent="0.25">
      <c r="V1750" s="2">
        <f>Таблица1[[#This Row],[Дата перевода]]-Таблица1[[#This Row],[Дата поступления]]</f>
        <v>0</v>
      </c>
      <c r="W1750" s="2">
        <f>Таблица1[[#This Row],[Дата поступления]]-Таблица1[[#This Row],[Дата рождения]]</f>
        <v>0</v>
      </c>
    </row>
    <row r="1751" spans="22:23" ht="24.95" customHeight="1" x14ac:dyDescent="0.25">
      <c r="V1751" s="2">
        <f>Таблица1[[#This Row],[Дата перевода]]-Таблица1[[#This Row],[Дата поступления]]</f>
        <v>0</v>
      </c>
      <c r="W1751" s="2">
        <f>Таблица1[[#This Row],[Дата поступления]]-Таблица1[[#This Row],[Дата рождения]]</f>
        <v>0</v>
      </c>
    </row>
    <row r="1752" spans="22:23" ht="24.95" customHeight="1" x14ac:dyDescent="0.25">
      <c r="V1752" s="2">
        <f>Таблица1[[#This Row],[Дата перевода]]-Таблица1[[#This Row],[Дата поступления]]</f>
        <v>0</v>
      </c>
      <c r="W1752" s="2">
        <f>Таблица1[[#This Row],[Дата поступления]]-Таблица1[[#This Row],[Дата рождения]]</f>
        <v>0</v>
      </c>
    </row>
    <row r="1753" spans="22:23" ht="24.95" customHeight="1" x14ac:dyDescent="0.25">
      <c r="V1753" s="2">
        <f>Таблица1[[#This Row],[Дата перевода]]-Таблица1[[#This Row],[Дата поступления]]</f>
        <v>0</v>
      </c>
      <c r="W1753" s="2">
        <f>Таблица1[[#This Row],[Дата поступления]]-Таблица1[[#This Row],[Дата рождения]]</f>
        <v>0</v>
      </c>
    </row>
    <row r="1754" spans="22:23" ht="24.95" customHeight="1" x14ac:dyDescent="0.25">
      <c r="V1754" s="2">
        <f>Таблица1[[#This Row],[Дата перевода]]-Таблица1[[#This Row],[Дата поступления]]</f>
        <v>0</v>
      </c>
      <c r="W1754" s="2">
        <f>Таблица1[[#This Row],[Дата поступления]]-Таблица1[[#This Row],[Дата рождения]]</f>
        <v>0</v>
      </c>
    </row>
    <row r="1755" spans="22:23" ht="24.95" customHeight="1" x14ac:dyDescent="0.25">
      <c r="V1755" s="2">
        <f>Таблица1[[#This Row],[Дата перевода]]-Таблица1[[#This Row],[Дата поступления]]</f>
        <v>0</v>
      </c>
      <c r="W1755" s="2">
        <f>Таблица1[[#This Row],[Дата поступления]]-Таблица1[[#This Row],[Дата рождения]]</f>
        <v>0</v>
      </c>
    </row>
    <row r="1756" spans="22:23" ht="24.95" customHeight="1" x14ac:dyDescent="0.25">
      <c r="V1756" s="2">
        <f>Таблица1[[#This Row],[Дата перевода]]-Таблица1[[#This Row],[Дата поступления]]</f>
        <v>0</v>
      </c>
      <c r="W1756" s="2">
        <f>Таблица1[[#This Row],[Дата поступления]]-Таблица1[[#This Row],[Дата рождения]]</f>
        <v>0</v>
      </c>
    </row>
    <row r="1757" spans="22:23" ht="24.95" customHeight="1" x14ac:dyDescent="0.25">
      <c r="V1757" s="2">
        <f>Таблица1[[#This Row],[Дата перевода]]-Таблица1[[#This Row],[Дата поступления]]</f>
        <v>0</v>
      </c>
      <c r="W1757" s="2">
        <f>Таблица1[[#This Row],[Дата поступления]]-Таблица1[[#This Row],[Дата рождения]]</f>
        <v>0</v>
      </c>
    </row>
    <row r="1758" spans="22:23" ht="24.95" customHeight="1" x14ac:dyDescent="0.25">
      <c r="V1758" s="2">
        <f>Таблица1[[#This Row],[Дата перевода]]-Таблица1[[#This Row],[Дата поступления]]</f>
        <v>0</v>
      </c>
      <c r="W1758" s="2">
        <f>Таблица1[[#This Row],[Дата поступления]]-Таблица1[[#This Row],[Дата рождения]]</f>
        <v>0</v>
      </c>
    </row>
    <row r="1759" spans="22:23" ht="24.95" customHeight="1" x14ac:dyDescent="0.25">
      <c r="V1759" s="2">
        <f>Таблица1[[#This Row],[Дата перевода]]-Таблица1[[#This Row],[Дата поступления]]</f>
        <v>0</v>
      </c>
      <c r="W1759" s="2">
        <f>Таблица1[[#This Row],[Дата поступления]]-Таблица1[[#This Row],[Дата рождения]]</f>
        <v>0</v>
      </c>
    </row>
    <row r="1760" spans="22:23" ht="24.95" customHeight="1" x14ac:dyDescent="0.25">
      <c r="V1760" s="2">
        <f>Таблица1[[#This Row],[Дата перевода]]-Таблица1[[#This Row],[Дата поступления]]</f>
        <v>0</v>
      </c>
      <c r="W1760" s="2">
        <f>Таблица1[[#This Row],[Дата поступления]]-Таблица1[[#This Row],[Дата рождения]]</f>
        <v>0</v>
      </c>
    </row>
    <row r="1761" spans="22:23" ht="24.95" customHeight="1" x14ac:dyDescent="0.25">
      <c r="V1761" s="2">
        <f>Таблица1[[#This Row],[Дата перевода]]-Таблица1[[#This Row],[Дата поступления]]</f>
        <v>0</v>
      </c>
      <c r="W1761" s="2">
        <f>Таблица1[[#This Row],[Дата поступления]]-Таблица1[[#This Row],[Дата рождения]]</f>
        <v>0</v>
      </c>
    </row>
    <row r="1762" spans="22:23" ht="24.95" customHeight="1" x14ac:dyDescent="0.25">
      <c r="V1762" s="2">
        <f>Таблица1[[#This Row],[Дата перевода]]-Таблица1[[#This Row],[Дата поступления]]</f>
        <v>0</v>
      </c>
      <c r="W1762" s="2">
        <f>Таблица1[[#This Row],[Дата поступления]]-Таблица1[[#This Row],[Дата рождения]]</f>
        <v>0</v>
      </c>
    </row>
    <row r="1763" spans="22:23" ht="24.95" customHeight="1" x14ac:dyDescent="0.25">
      <c r="V1763" s="2">
        <f>Таблица1[[#This Row],[Дата перевода]]-Таблица1[[#This Row],[Дата поступления]]</f>
        <v>0</v>
      </c>
      <c r="W1763" s="2">
        <f>Таблица1[[#This Row],[Дата поступления]]-Таблица1[[#This Row],[Дата рождения]]</f>
        <v>0</v>
      </c>
    </row>
    <row r="1764" spans="22:23" ht="24.95" customHeight="1" x14ac:dyDescent="0.25">
      <c r="V1764" s="2">
        <f>Таблица1[[#This Row],[Дата перевода]]-Таблица1[[#This Row],[Дата поступления]]</f>
        <v>0</v>
      </c>
      <c r="W1764" s="2">
        <f>Таблица1[[#This Row],[Дата поступления]]-Таблица1[[#This Row],[Дата рождения]]</f>
        <v>0</v>
      </c>
    </row>
    <row r="1765" spans="22:23" ht="24.95" customHeight="1" x14ac:dyDescent="0.25">
      <c r="V1765" s="2">
        <f>Таблица1[[#This Row],[Дата перевода]]-Таблица1[[#This Row],[Дата поступления]]</f>
        <v>0</v>
      </c>
      <c r="W1765" s="2">
        <f>Таблица1[[#This Row],[Дата поступления]]-Таблица1[[#This Row],[Дата рождения]]</f>
        <v>0</v>
      </c>
    </row>
    <row r="1766" spans="22:23" ht="24.95" customHeight="1" x14ac:dyDescent="0.25">
      <c r="V1766" s="2">
        <f>Таблица1[[#This Row],[Дата перевода]]-Таблица1[[#This Row],[Дата поступления]]</f>
        <v>0</v>
      </c>
      <c r="W1766" s="2">
        <f>Таблица1[[#This Row],[Дата поступления]]-Таблица1[[#This Row],[Дата рождения]]</f>
        <v>0</v>
      </c>
    </row>
    <row r="1767" spans="22:23" ht="24.95" customHeight="1" x14ac:dyDescent="0.25">
      <c r="V1767" s="2">
        <f>Таблица1[[#This Row],[Дата перевода]]-Таблица1[[#This Row],[Дата поступления]]</f>
        <v>0</v>
      </c>
      <c r="W1767" s="2">
        <f>Таблица1[[#This Row],[Дата поступления]]-Таблица1[[#This Row],[Дата рождения]]</f>
        <v>0</v>
      </c>
    </row>
    <row r="1768" spans="22:23" ht="24.95" customHeight="1" x14ac:dyDescent="0.25">
      <c r="V1768" s="2">
        <f>Таблица1[[#This Row],[Дата перевода]]-Таблица1[[#This Row],[Дата поступления]]</f>
        <v>0</v>
      </c>
      <c r="W1768" s="2">
        <f>Таблица1[[#This Row],[Дата поступления]]-Таблица1[[#This Row],[Дата рождения]]</f>
        <v>0</v>
      </c>
    </row>
    <row r="1769" spans="22:23" ht="24.95" customHeight="1" x14ac:dyDescent="0.25">
      <c r="V1769" s="2">
        <f>Таблица1[[#This Row],[Дата перевода]]-Таблица1[[#This Row],[Дата поступления]]</f>
        <v>0</v>
      </c>
      <c r="W1769" s="2">
        <f>Таблица1[[#This Row],[Дата поступления]]-Таблица1[[#This Row],[Дата рождения]]</f>
        <v>0</v>
      </c>
    </row>
    <row r="1770" spans="22:23" ht="24.95" customHeight="1" x14ac:dyDescent="0.25">
      <c r="V1770" s="2">
        <f>Таблица1[[#This Row],[Дата перевода]]-Таблица1[[#This Row],[Дата поступления]]</f>
        <v>0</v>
      </c>
      <c r="W1770" s="2">
        <f>Таблица1[[#This Row],[Дата поступления]]-Таблица1[[#This Row],[Дата рождения]]</f>
        <v>0</v>
      </c>
    </row>
    <row r="1771" spans="22:23" ht="24.95" customHeight="1" x14ac:dyDescent="0.25">
      <c r="V1771" s="2">
        <f>Таблица1[[#This Row],[Дата перевода]]-Таблица1[[#This Row],[Дата поступления]]</f>
        <v>0</v>
      </c>
      <c r="W1771" s="2">
        <f>Таблица1[[#This Row],[Дата поступления]]-Таблица1[[#This Row],[Дата рождения]]</f>
        <v>0</v>
      </c>
    </row>
    <row r="1772" spans="22:23" ht="24.95" customHeight="1" x14ac:dyDescent="0.25">
      <c r="V1772" s="2">
        <f>Таблица1[[#This Row],[Дата перевода]]-Таблица1[[#This Row],[Дата поступления]]</f>
        <v>0</v>
      </c>
      <c r="W1772" s="2">
        <f>Таблица1[[#This Row],[Дата поступления]]-Таблица1[[#This Row],[Дата рождения]]</f>
        <v>0</v>
      </c>
    </row>
    <row r="1773" spans="22:23" ht="24.95" customHeight="1" x14ac:dyDescent="0.25">
      <c r="V1773" s="2">
        <f>Таблица1[[#This Row],[Дата перевода]]-Таблица1[[#This Row],[Дата поступления]]</f>
        <v>0</v>
      </c>
      <c r="W1773" s="2">
        <f>Таблица1[[#This Row],[Дата поступления]]-Таблица1[[#This Row],[Дата рождения]]</f>
        <v>0</v>
      </c>
    </row>
    <row r="1774" spans="22:23" ht="24.95" customHeight="1" x14ac:dyDescent="0.25">
      <c r="V1774" s="2">
        <f>Таблица1[[#This Row],[Дата перевода]]-Таблица1[[#This Row],[Дата поступления]]</f>
        <v>0</v>
      </c>
      <c r="W1774" s="2">
        <f>Таблица1[[#This Row],[Дата поступления]]-Таблица1[[#This Row],[Дата рождения]]</f>
        <v>0</v>
      </c>
    </row>
    <row r="1775" spans="22:23" ht="24.95" customHeight="1" x14ac:dyDescent="0.25">
      <c r="V1775" s="2">
        <f>Таблица1[[#This Row],[Дата перевода]]-Таблица1[[#This Row],[Дата поступления]]</f>
        <v>0</v>
      </c>
      <c r="W1775" s="2">
        <f>Таблица1[[#This Row],[Дата поступления]]-Таблица1[[#This Row],[Дата рождения]]</f>
        <v>0</v>
      </c>
    </row>
    <row r="1776" spans="22:23" ht="24.95" customHeight="1" x14ac:dyDescent="0.25">
      <c r="V1776" s="2">
        <f>Таблица1[[#This Row],[Дата перевода]]-Таблица1[[#This Row],[Дата поступления]]</f>
        <v>0</v>
      </c>
      <c r="W1776" s="2">
        <f>Таблица1[[#This Row],[Дата поступления]]-Таблица1[[#This Row],[Дата рождения]]</f>
        <v>0</v>
      </c>
    </row>
    <row r="1777" spans="22:23" ht="24.95" customHeight="1" x14ac:dyDescent="0.25">
      <c r="V1777" s="2">
        <f>Таблица1[[#This Row],[Дата перевода]]-Таблица1[[#This Row],[Дата поступления]]</f>
        <v>0</v>
      </c>
      <c r="W1777" s="2">
        <f>Таблица1[[#This Row],[Дата поступления]]-Таблица1[[#This Row],[Дата рождения]]</f>
        <v>0</v>
      </c>
    </row>
    <row r="1778" spans="22:23" ht="24.95" customHeight="1" x14ac:dyDescent="0.25">
      <c r="V1778" s="2">
        <f>Таблица1[[#This Row],[Дата перевода]]-Таблица1[[#This Row],[Дата поступления]]</f>
        <v>0</v>
      </c>
      <c r="W1778" s="2">
        <f>Таблица1[[#This Row],[Дата поступления]]-Таблица1[[#This Row],[Дата рождения]]</f>
        <v>0</v>
      </c>
    </row>
    <row r="1779" spans="22:23" ht="24.95" customHeight="1" x14ac:dyDescent="0.25">
      <c r="V1779" s="2">
        <f>Таблица1[[#This Row],[Дата перевода]]-Таблица1[[#This Row],[Дата поступления]]</f>
        <v>0</v>
      </c>
      <c r="W1779" s="2">
        <f>Таблица1[[#This Row],[Дата поступления]]-Таблица1[[#This Row],[Дата рождения]]</f>
        <v>0</v>
      </c>
    </row>
    <row r="1780" spans="22:23" ht="24.95" customHeight="1" x14ac:dyDescent="0.25">
      <c r="V1780" s="2">
        <f>Таблица1[[#This Row],[Дата перевода]]-Таблица1[[#This Row],[Дата поступления]]</f>
        <v>0</v>
      </c>
      <c r="W1780" s="2">
        <f>Таблица1[[#This Row],[Дата поступления]]-Таблица1[[#This Row],[Дата рождения]]</f>
        <v>0</v>
      </c>
    </row>
    <row r="1781" spans="22:23" ht="24.95" customHeight="1" x14ac:dyDescent="0.25">
      <c r="V1781" s="2">
        <f>Таблица1[[#This Row],[Дата перевода]]-Таблица1[[#This Row],[Дата поступления]]</f>
        <v>0</v>
      </c>
      <c r="W1781" s="2">
        <f>Таблица1[[#This Row],[Дата поступления]]-Таблица1[[#This Row],[Дата рождения]]</f>
        <v>0</v>
      </c>
    </row>
    <row r="1782" spans="22:23" ht="24.95" customHeight="1" x14ac:dyDescent="0.25">
      <c r="V1782" s="2">
        <f>Таблица1[[#This Row],[Дата перевода]]-Таблица1[[#This Row],[Дата поступления]]</f>
        <v>0</v>
      </c>
      <c r="W1782" s="2">
        <f>Таблица1[[#This Row],[Дата поступления]]-Таблица1[[#This Row],[Дата рождения]]</f>
        <v>0</v>
      </c>
    </row>
    <row r="1783" spans="22:23" ht="24.95" customHeight="1" x14ac:dyDescent="0.25">
      <c r="V1783" s="2">
        <f>Таблица1[[#This Row],[Дата перевода]]-Таблица1[[#This Row],[Дата поступления]]</f>
        <v>0</v>
      </c>
      <c r="W1783" s="2">
        <f>Таблица1[[#This Row],[Дата поступления]]-Таблица1[[#This Row],[Дата рождения]]</f>
        <v>0</v>
      </c>
    </row>
    <row r="1784" spans="22:23" ht="24.95" customHeight="1" x14ac:dyDescent="0.25">
      <c r="V1784" s="2">
        <f>Таблица1[[#This Row],[Дата перевода]]-Таблица1[[#This Row],[Дата поступления]]</f>
        <v>0</v>
      </c>
      <c r="W1784" s="2">
        <f>Таблица1[[#This Row],[Дата поступления]]-Таблица1[[#This Row],[Дата рождения]]</f>
        <v>0</v>
      </c>
    </row>
    <row r="1785" spans="22:23" ht="24.95" customHeight="1" x14ac:dyDescent="0.25">
      <c r="V1785" s="2">
        <f>Таблица1[[#This Row],[Дата перевода]]-Таблица1[[#This Row],[Дата поступления]]</f>
        <v>0</v>
      </c>
      <c r="W1785" s="2">
        <f>Таблица1[[#This Row],[Дата поступления]]-Таблица1[[#This Row],[Дата рождения]]</f>
        <v>0</v>
      </c>
    </row>
    <row r="1786" spans="22:23" ht="24.95" customHeight="1" x14ac:dyDescent="0.25">
      <c r="V1786" s="2">
        <f>Таблица1[[#This Row],[Дата перевода]]-Таблица1[[#This Row],[Дата поступления]]</f>
        <v>0</v>
      </c>
      <c r="W1786" s="2">
        <f>Таблица1[[#This Row],[Дата поступления]]-Таблица1[[#This Row],[Дата рождения]]</f>
        <v>0</v>
      </c>
    </row>
    <row r="1787" spans="22:23" ht="24.95" customHeight="1" x14ac:dyDescent="0.25">
      <c r="V1787" s="2">
        <f>Таблица1[[#This Row],[Дата перевода]]-Таблица1[[#This Row],[Дата поступления]]</f>
        <v>0</v>
      </c>
      <c r="W1787" s="2">
        <f>Таблица1[[#This Row],[Дата поступления]]-Таблица1[[#This Row],[Дата рождения]]</f>
        <v>0</v>
      </c>
    </row>
    <row r="1788" spans="22:23" ht="24.95" customHeight="1" x14ac:dyDescent="0.25">
      <c r="V1788" s="2">
        <f>Таблица1[[#This Row],[Дата перевода]]-Таблица1[[#This Row],[Дата поступления]]</f>
        <v>0</v>
      </c>
      <c r="W1788" s="2">
        <f>Таблица1[[#This Row],[Дата поступления]]-Таблица1[[#This Row],[Дата рождения]]</f>
        <v>0</v>
      </c>
    </row>
    <row r="1789" spans="22:23" ht="24.95" customHeight="1" x14ac:dyDescent="0.25">
      <c r="V1789" s="2">
        <f>Таблица1[[#This Row],[Дата перевода]]-Таблица1[[#This Row],[Дата поступления]]</f>
        <v>0</v>
      </c>
      <c r="W1789" s="2">
        <f>Таблица1[[#This Row],[Дата поступления]]-Таблица1[[#This Row],[Дата рождения]]</f>
        <v>0</v>
      </c>
    </row>
    <row r="1790" spans="22:23" ht="24.95" customHeight="1" x14ac:dyDescent="0.25">
      <c r="V1790" s="2">
        <f>Таблица1[[#This Row],[Дата перевода]]-Таблица1[[#This Row],[Дата поступления]]</f>
        <v>0</v>
      </c>
      <c r="W1790" s="2">
        <f>Таблица1[[#This Row],[Дата поступления]]-Таблица1[[#This Row],[Дата рождения]]</f>
        <v>0</v>
      </c>
    </row>
    <row r="1791" spans="22:23" ht="24.95" customHeight="1" x14ac:dyDescent="0.25">
      <c r="V1791" s="2">
        <f>Таблица1[[#This Row],[Дата перевода]]-Таблица1[[#This Row],[Дата поступления]]</f>
        <v>0</v>
      </c>
      <c r="W1791" s="2">
        <f>Таблица1[[#This Row],[Дата поступления]]-Таблица1[[#This Row],[Дата рождения]]</f>
        <v>0</v>
      </c>
    </row>
    <row r="1792" spans="22:23" ht="24.95" customHeight="1" x14ac:dyDescent="0.25">
      <c r="V1792" s="2">
        <f>Таблица1[[#This Row],[Дата перевода]]-Таблица1[[#This Row],[Дата поступления]]</f>
        <v>0</v>
      </c>
      <c r="W1792" s="2">
        <f>Таблица1[[#This Row],[Дата поступления]]-Таблица1[[#This Row],[Дата рождения]]</f>
        <v>0</v>
      </c>
    </row>
    <row r="1793" spans="22:23" ht="24.95" customHeight="1" x14ac:dyDescent="0.25">
      <c r="V1793" s="2">
        <f>Таблица1[[#This Row],[Дата перевода]]-Таблица1[[#This Row],[Дата поступления]]</f>
        <v>0</v>
      </c>
      <c r="W1793" s="2">
        <f>Таблица1[[#This Row],[Дата поступления]]-Таблица1[[#This Row],[Дата рождения]]</f>
        <v>0</v>
      </c>
    </row>
    <row r="1794" spans="22:23" ht="24.95" customHeight="1" x14ac:dyDescent="0.25">
      <c r="V1794" s="2">
        <f>Таблица1[[#This Row],[Дата перевода]]-Таблица1[[#This Row],[Дата поступления]]</f>
        <v>0</v>
      </c>
      <c r="W1794" s="2">
        <f>Таблица1[[#This Row],[Дата поступления]]-Таблица1[[#This Row],[Дата рождения]]</f>
        <v>0</v>
      </c>
    </row>
    <row r="1795" spans="22:23" ht="24.95" customHeight="1" x14ac:dyDescent="0.25">
      <c r="V1795" s="2">
        <f>Таблица1[[#This Row],[Дата перевода]]-Таблица1[[#This Row],[Дата поступления]]</f>
        <v>0</v>
      </c>
      <c r="W1795" s="2">
        <f>Таблица1[[#This Row],[Дата поступления]]-Таблица1[[#This Row],[Дата рождения]]</f>
        <v>0</v>
      </c>
    </row>
    <row r="1796" spans="22:23" ht="24.95" customHeight="1" x14ac:dyDescent="0.25">
      <c r="V1796" s="2">
        <f>Таблица1[[#This Row],[Дата перевода]]-Таблица1[[#This Row],[Дата поступления]]</f>
        <v>0</v>
      </c>
      <c r="W1796" s="2">
        <f>Таблица1[[#This Row],[Дата поступления]]-Таблица1[[#This Row],[Дата рождения]]</f>
        <v>0</v>
      </c>
    </row>
    <row r="1797" spans="22:23" ht="24.95" customHeight="1" x14ac:dyDescent="0.25">
      <c r="V1797" s="2">
        <f>Таблица1[[#This Row],[Дата перевода]]-Таблица1[[#This Row],[Дата поступления]]</f>
        <v>0</v>
      </c>
      <c r="W1797" s="2">
        <f>Таблица1[[#This Row],[Дата поступления]]-Таблица1[[#This Row],[Дата рождения]]</f>
        <v>0</v>
      </c>
    </row>
    <row r="1798" spans="22:23" ht="24.95" customHeight="1" x14ac:dyDescent="0.25">
      <c r="V1798" s="2">
        <f>Таблица1[[#This Row],[Дата перевода]]-Таблица1[[#This Row],[Дата поступления]]</f>
        <v>0</v>
      </c>
      <c r="W1798" s="2">
        <f>Таблица1[[#This Row],[Дата поступления]]-Таблица1[[#This Row],[Дата рождения]]</f>
        <v>0</v>
      </c>
    </row>
    <row r="1799" spans="22:23" ht="24.95" customHeight="1" x14ac:dyDescent="0.25">
      <c r="V1799" s="2">
        <f>Таблица1[[#This Row],[Дата перевода]]-Таблица1[[#This Row],[Дата поступления]]</f>
        <v>0</v>
      </c>
      <c r="W1799" s="2">
        <f>Таблица1[[#This Row],[Дата поступления]]-Таблица1[[#This Row],[Дата рождения]]</f>
        <v>0</v>
      </c>
    </row>
    <row r="1800" spans="22:23" ht="24.95" customHeight="1" x14ac:dyDescent="0.25">
      <c r="V1800" s="2">
        <f>Таблица1[[#This Row],[Дата перевода]]-Таблица1[[#This Row],[Дата поступления]]</f>
        <v>0</v>
      </c>
      <c r="W1800" s="2">
        <f>Таблица1[[#This Row],[Дата поступления]]-Таблица1[[#This Row],[Дата рождения]]</f>
        <v>0</v>
      </c>
    </row>
    <row r="1801" spans="22:23" ht="24.95" customHeight="1" x14ac:dyDescent="0.25">
      <c r="V1801" s="2">
        <f>Таблица1[[#This Row],[Дата перевода]]-Таблица1[[#This Row],[Дата поступления]]</f>
        <v>0</v>
      </c>
      <c r="W1801" s="2">
        <f>Таблица1[[#This Row],[Дата поступления]]-Таблица1[[#This Row],[Дата рождения]]</f>
        <v>0</v>
      </c>
    </row>
    <row r="1802" spans="22:23" ht="24.95" customHeight="1" x14ac:dyDescent="0.25">
      <c r="V1802" s="2">
        <f>Таблица1[[#This Row],[Дата перевода]]-Таблица1[[#This Row],[Дата поступления]]</f>
        <v>0</v>
      </c>
      <c r="W1802" s="2">
        <f>Таблица1[[#This Row],[Дата поступления]]-Таблица1[[#This Row],[Дата рождения]]</f>
        <v>0</v>
      </c>
    </row>
    <row r="1803" spans="22:23" ht="24.95" customHeight="1" x14ac:dyDescent="0.25">
      <c r="V1803" s="2">
        <f>Таблица1[[#This Row],[Дата перевода]]-Таблица1[[#This Row],[Дата поступления]]</f>
        <v>0</v>
      </c>
      <c r="W1803" s="2">
        <f>Таблица1[[#This Row],[Дата поступления]]-Таблица1[[#This Row],[Дата рождения]]</f>
        <v>0</v>
      </c>
    </row>
    <row r="1804" spans="22:23" ht="24.95" customHeight="1" x14ac:dyDescent="0.25">
      <c r="V1804" s="2">
        <f>Таблица1[[#This Row],[Дата перевода]]-Таблица1[[#This Row],[Дата поступления]]</f>
        <v>0</v>
      </c>
      <c r="W1804" s="2">
        <f>Таблица1[[#This Row],[Дата поступления]]-Таблица1[[#This Row],[Дата рождения]]</f>
        <v>0</v>
      </c>
    </row>
    <row r="1805" spans="22:23" ht="24.95" customHeight="1" x14ac:dyDescent="0.25">
      <c r="V1805" s="2">
        <f>Таблица1[[#This Row],[Дата перевода]]-Таблица1[[#This Row],[Дата поступления]]</f>
        <v>0</v>
      </c>
      <c r="W1805" s="2">
        <f>Таблица1[[#This Row],[Дата поступления]]-Таблица1[[#This Row],[Дата рождения]]</f>
        <v>0</v>
      </c>
    </row>
    <row r="1806" spans="22:23" ht="24.95" customHeight="1" x14ac:dyDescent="0.25">
      <c r="V1806" s="2">
        <f>Таблица1[[#This Row],[Дата перевода]]-Таблица1[[#This Row],[Дата поступления]]</f>
        <v>0</v>
      </c>
      <c r="W1806" s="2">
        <f>Таблица1[[#This Row],[Дата поступления]]-Таблица1[[#This Row],[Дата рождения]]</f>
        <v>0</v>
      </c>
    </row>
    <row r="1807" spans="22:23" ht="24.95" customHeight="1" x14ac:dyDescent="0.25">
      <c r="V1807" s="2">
        <f>Таблица1[[#This Row],[Дата перевода]]-Таблица1[[#This Row],[Дата поступления]]</f>
        <v>0</v>
      </c>
      <c r="W1807" s="2">
        <f>Таблица1[[#This Row],[Дата поступления]]-Таблица1[[#This Row],[Дата рождения]]</f>
        <v>0</v>
      </c>
    </row>
    <row r="1808" spans="22:23" ht="24.95" customHeight="1" x14ac:dyDescent="0.25">
      <c r="V1808" s="2">
        <f>Таблица1[[#This Row],[Дата перевода]]-Таблица1[[#This Row],[Дата поступления]]</f>
        <v>0</v>
      </c>
      <c r="W1808" s="2">
        <f>Таблица1[[#This Row],[Дата поступления]]-Таблица1[[#This Row],[Дата рождения]]</f>
        <v>0</v>
      </c>
    </row>
    <row r="1809" spans="22:23" ht="24.95" customHeight="1" x14ac:dyDescent="0.25">
      <c r="V1809" s="2">
        <f>Таблица1[[#This Row],[Дата перевода]]-Таблица1[[#This Row],[Дата поступления]]</f>
        <v>0</v>
      </c>
      <c r="W1809" s="2">
        <f>Таблица1[[#This Row],[Дата поступления]]-Таблица1[[#This Row],[Дата рождения]]</f>
        <v>0</v>
      </c>
    </row>
    <row r="1810" spans="22:23" ht="24.95" customHeight="1" x14ac:dyDescent="0.25">
      <c r="V1810" s="2">
        <f>Таблица1[[#This Row],[Дата перевода]]-Таблица1[[#This Row],[Дата поступления]]</f>
        <v>0</v>
      </c>
      <c r="W1810" s="2">
        <f>Таблица1[[#This Row],[Дата поступления]]-Таблица1[[#This Row],[Дата рождения]]</f>
        <v>0</v>
      </c>
    </row>
    <row r="1811" spans="22:23" ht="24.95" customHeight="1" x14ac:dyDescent="0.25">
      <c r="V1811" s="2">
        <f>Таблица1[[#This Row],[Дата перевода]]-Таблица1[[#This Row],[Дата поступления]]</f>
        <v>0</v>
      </c>
      <c r="W1811" s="2">
        <f>Таблица1[[#This Row],[Дата поступления]]-Таблица1[[#This Row],[Дата рождения]]</f>
        <v>0</v>
      </c>
    </row>
    <row r="1812" spans="22:23" ht="24.95" customHeight="1" x14ac:dyDescent="0.25">
      <c r="V1812" s="2">
        <f>Таблица1[[#This Row],[Дата перевода]]-Таблица1[[#This Row],[Дата поступления]]</f>
        <v>0</v>
      </c>
      <c r="W1812" s="2">
        <f>Таблица1[[#This Row],[Дата поступления]]-Таблица1[[#This Row],[Дата рождения]]</f>
        <v>0</v>
      </c>
    </row>
    <row r="1813" spans="22:23" ht="24.95" customHeight="1" x14ac:dyDescent="0.25">
      <c r="V1813" s="2">
        <f>Таблица1[[#This Row],[Дата перевода]]-Таблица1[[#This Row],[Дата поступления]]</f>
        <v>0</v>
      </c>
      <c r="W1813" s="2">
        <f>Таблица1[[#This Row],[Дата поступления]]-Таблица1[[#This Row],[Дата рождения]]</f>
        <v>0</v>
      </c>
    </row>
    <row r="1814" spans="22:23" ht="24.95" customHeight="1" x14ac:dyDescent="0.25">
      <c r="V1814" s="2">
        <f>Таблица1[[#This Row],[Дата перевода]]-Таблица1[[#This Row],[Дата поступления]]</f>
        <v>0</v>
      </c>
      <c r="W1814" s="2">
        <f>Таблица1[[#This Row],[Дата поступления]]-Таблица1[[#This Row],[Дата рождения]]</f>
        <v>0</v>
      </c>
    </row>
    <row r="1815" spans="22:23" ht="24.95" customHeight="1" x14ac:dyDescent="0.25">
      <c r="V1815" s="2">
        <f>Таблица1[[#This Row],[Дата перевода]]-Таблица1[[#This Row],[Дата поступления]]</f>
        <v>0</v>
      </c>
      <c r="W1815" s="2">
        <f>Таблица1[[#This Row],[Дата поступления]]-Таблица1[[#This Row],[Дата рождения]]</f>
        <v>0</v>
      </c>
    </row>
    <row r="1816" spans="22:23" ht="24.95" customHeight="1" x14ac:dyDescent="0.25">
      <c r="V1816" s="2">
        <f>Таблица1[[#This Row],[Дата перевода]]-Таблица1[[#This Row],[Дата поступления]]</f>
        <v>0</v>
      </c>
      <c r="W1816" s="2">
        <f>Таблица1[[#This Row],[Дата поступления]]-Таблица1[[#This Row],[Дата рождения]]</f>
        <v>0</v>
      </c>
    </row>
    <row r="1817" spans="22:23" ht="24.95" customHeight="1" x14ac:dyDescent="0.25">
      <c r="V1817" s="2">
        <f>Таблица1[[#This Row],[Дата перевода]]-Таблица1[[#This Row],[Дата поступления]]</f>
        <v>0</v>
      </c>
      <c r="W1817" s="2">
        <f>Таблица1[[#This Row],[Дата поступления]]-Таблица1[[#This Row],[Дата рождения]]</f>
        <v>0</v>
      </c>
    </row>
    <row r="1818" spans="22:23" ht="24.95" customHeight="1" x14ac:dyDescent="0.25">
      <c r="V1818" s="2">
        <f>Таблица1[[#This Row],[Дата перевода]]-Таблица1[[#This Row],[Дата поступления]]</f>
        <v>0</v>
      </c>
      <c r="W1818" s="2">
        <f>Таблица1[[#This Row],[Дата поступления]]-Таблица1[[#This Row],[Дата рождения]]</f>
        <v>0</v>
      </c>
    </row>
    <row r="1819" spans="22:23" ht="24.95" customHeight="1" x14ac:dyDescent="0.25">
      <c r="V1819" s="2">
        <f>Таблица1[[#This Row],[Дата перевода]]-Таблица1[[#This Row],[Дата поступления]]</f>
        <v>0</v>
      </c>
      <c r="W1819" s="2">
        <f>Таблица1[[#This Row],[Дата поступления]]-Таблица1[[#This Row],[Дата рождения]]</f>
        <v>0</v>
      </c>
    </row>
    <row r="1820" spans="22:23" ht="24.95" customHeight="1" x14ac:dyDescent="0.25">
      <c r="V1820" s="2">
        <f>Таблица1[[#This Row],[Дата перевода]]-Таблица1[[#This Row],[Дата поступления]]</f>
        <v>0</v>
      </c>
      <c r="W1820" s="2">
        <f>Таблица1[[#This Row],[Дата поступления]]-Таблица1[[#This Row],[Дата рождения]]</f>
        <v>0</v>
      </c>
    </row>
    <row r="1821" spans="22:23" ht="24.95" customHeight="1" x14ac:dyDescent="0.25">
      <c r="V1821" s="2">
        <f>Таблица1[[#This Row],[Дата перевода]]-Таблица1[[#This Row],[Дата поступления]]</f>
        <v>0</v>
      </c>
      <c r="W1821" s="2">
        <f>Таблица1[[#This Row],[Дата поступления]]-Таблица1[[#This Row],[Дата рождения]]</f>
        <v>0</v>
      </c>
    </row>
    <row r="1822" spans="22:23" ht="24.95" customHeight="1" x14ac:dyDescent="0.25">
      <c r="V1822" s="2">
        <f>Таблица1[[#This Row],[Дата перевода]]-Таблица1[[#This Row],[Дата поступления]]</f>
        <v>0</v>
      </c>
      <c r="W1822" s="2">
        <f>Таблица1[[#This Row],[Дата поступления]]-Таблица1[[#This Row],[Дата рождения]]</f>
        <v>0</v>
      </c>
    </row>
    <row r="1823" spans="22:23" ht="24.95" customHeight="1" x14ac:dyDescent="0.25">
      <c r="V1823" s="2">
        <f>Таблица1[[#This Row],[Дата перевода]]-Таблица1[[#This Row],[Дата поступления]]</f>
        <v>0</v>
      </c>
      <c r="W1823" s="2">
        <f>Таблица1[[#This Row],[Дата поступления]]-Таблица1[[#This Row],[Дата рождения]]</f>
        <v>0</v>
      </c>
    </row>
    <row r="1824" spans="22:23" ht="24.95" customHeight="1" x14ac:dyDescent="0.25">
      <c r="V1824" s="2">
        <f>Таблица1[[#This Row],[Дата перевода]]-Таблица1[[#This Row],[Дата поступления]]</f>
        <v>0</v>
      </c>
      <c r="W1824" s="2">
        <f>Таблица1[[#This Row],[Дата поступления]]-Таблица1[[#This Row],[Дата рождения]]</f>
        <v>0</v>
      </c>
    </row>
    <row r="1825" spans="22:23" ht="24.95" customHeight="1" x14ac:dyDescent="0.25">
      <c r="V1825" s="2">
        <f>Таблица1[[#This Row],[Дата перевода]]-Таблица1[[#This Row],[Дата поступления]]</f>
        <v>0</v>
      </c>
      <c r="W1825" s="2">
        <f>Таблица1[[#This Row],[Дата поступления]]-Таблица1[[#This Row],[Дата рождения]]</f>
        <v>0</v>
      </c>
    </row>
    <row r="1826" spans="22:23" ht="24.95" customHeight="1" x14ac:dyDescent="0.25">
      <c r="V1826" s="2">
        <f>Таблица1[[#This Row],[Дата перевода]]-Таблица1[[#This Row],[Дата поступления]]</f>
        <v>0</v>
      </c>
      <c r="W1826" s="2">
        <f>Таблица1[[#This Row],[Дата поступления]]-Таблица1[[#This Row],[Дата рождения]]</f>
        <v>0</v>
      </c>
    </row>
    <row r="1827" spans="22:23" ht="24.95" customHeight="1" x14ac:dyDescent="0.25">
      <c r="V1827" s="2">
        <f>Таблица1[[#This Row],[Дата перевода]]-Таблица1[[#This Row],[Дата поступления]]</f>
        <v>0</v>
      </c>
      <c r="W1827" s="2">
        <f>Таблица1[[#This Row],[Дата поступления]]-Таблица1[[#This Row],[Дата рождения]]</f>
        <v>0</v>
      </c>
    </row>
    <row r="1828" spans="22:23" ht="24.95" customHeight="1" x14ac:dyDescent="0.25">
      <c r="V1828" s="2">
        <f>Таблица1[[#This Row],[Дата перевода]]-Таблица1[[#This Row],[Дата поступления]]</f>
        <v>0</v>
      </c>
      <c r="W1828" s="2">
        <f>Таблица1[[#This Row],[Дата поступления]]-Таблица1[[#This Row],[Дата рождения]]</f>
        <v>0</v>
      </c>
    </row>
    <row r="1829" spans="22:23" ht="24.95" customHeight="1" x14ac:dyDescent="0.25">
      <c r="V1829" s="2">
        <f>Таблица1[[#This Row],[Дата перевода]]-Таблица1[[#This Row],[Дата поступления]]</f>
        <v>0</v>
      </c>
      <c r="W1829" s="2">
        <f>Таблица1[[#This Row],[Дата поступления]]-Таблица1[[#This Row],[Дата рождения]]</f>
        <v>0</v>
      </c>
    </row>
    <row r="1830" spans="22:23" ht="24.95" customHeight="1" x14ac:dyDescent="0.25">
      <c r="V1830" s="2">
        <f>Таблица1[[#This Row],[Дата перевода]]-Таблица1[[#This Row],[Дата поступления]]</f>
        <v>0</v>
      </c>
      <c r="W1830" s="2">
        <f>Таблица1[[#This Row],[Дата поступления]]-Таблица1[[#This Row],[Дата рождения]]</f>
        <v>0</v>
      </c>
    </row>
    <row r="1831" spans="22:23" ht="24.95" customHeight="1" x14ac:dyDescent="0.25">
      <c r="V1831" s="2">
        <f>Таблица1[[#This Row],[Дата перевода]]-Таблица1[[#This Row],[Дата поступления]]</f>
        <v>0</v>
      </c>
      <c r="W1831" s="2">
        <f>Таблица1[[#This Row],[Дата поступления]]-Таблица1[[#This Row],[Дата рождения]]</f>
        <v>0</v>
      </c>
    </row>
    <row r="1832" spans="22:23" ht="24.95" customHeight="1" x14ac:dyDescent="0.25">
      <c r="V1832" s="2">
        <f>Таблица1[[#This Row],[Дата перевода]]-Таблица1[[#This Row],[Дата поступления]]</f>
        <v>0</v>
      </c>
      <c r="W1832" s="2">
        <f>Таблица1[[#This Row],[Дата поступления]]-Таблица1[[#This Row],[Дата рождения]]</f>
        <v>0</v>
      </c>
    </row>
    <row r="1833" spans="22:23" ht="24.95" customHeight="1" x14ac:dyDescent="0.25">
      <c r="V1833" s="2">
        <f>Таблица1[[#This Row],[Дата перевода]]-Таблица1[[#This Row],[Дата поступления]]</f>
        <v>0</v>
      </c>
      <c r="W1833" s="2">
        <f>Таблица1[[#This Row],[Дата поступления]]-Таблица1[[#This Row],[Дата рождения]]</f>
        <v>0</v>
      </c>
    </row>
    <row r="1834" spans="22:23" ht="24.95" customHeight="1" x14ac:dyDescent="0.25">
      <c r="V1834" s="2">
        <f>Таблица1[[#This Row],[Дата перевода]]-Таблица1[[#This Row],[Дата поступления]]</f>
        <v>0</v>
      </c>
      <c r="W1834" s="2">
        <f>Таблица1[[#This Row],[Дата поступления]]-Таблица1[[#This Row],[Дата рождения]]</f>
        <v>0</v>
      </c>
    </row>
    <row r="1835" spans="22:23" ht="24.95" customHeight="1" x14ac:dyDescent="0.25">
      <c r="V1835" s="2">
        <f>Таблица1[[#This Row],[Дата перевода]]-Таблица1[[#This Row],[Дата поступления]]</f>
        <v>0</v>
      </c>
      <c r="W1835" s="2">
        <f>Таблица1[[#This Row],[Дата поступления]]-Таблица1[[#This Row],[Дата рождения]]</f>
        <v>0</v>
      </c>
    </row>
    <row r="1836" spans="22:23" ht="24.95" customHeight="1" x14ac:dyDescent="0.25">
      <c r="V1836" s="2">
        <f>Таблица1[[#This Row],[Дата перевода]]-Таблица1[[#This Row],[Дата поступления]]</f>
        <v>0</v>
      </c>
      <c r="W1836" s="2">
        <f>Таблица1[[#This Row],[Дата поступления]]-Таблица1[[#This Row],[Дата рождения]]</f>
        <v>0</v>
      </c>
    </row>
    <row r="1837" spans="22:23" ht="24.95" customHeight="1" x14ac:dyDescent="0.25">
      <c r="V1837" s="2">
        <f>Таблица1[[#This Row],[Дата перевода]]-Таблица1[[#This Row],[Дата поступления]]</f>
        <v>0</v>
      </c>
      <c r="W1837" s="2">
        <f>Таблица1[[#This Row],[Дата поступления]]-Таблица1[[#This Row],[Дата рождения]]</f>
        <v>0</v>
      </c>
    </row>
    <row r="1838" spans="22:23" ht="24.95" customHeight="1" x14ac:dyDescent="0.25">
      <c r="V1838" s="2">
        <f>Таблица1[[#This Row],[Дата перевода]]-Таблица1[[#This Row],[Дата поступления]]</f>
        <v>0</v>
      </c>
      <c r="W1838" s="2">
        <f>Таблица1[[#This Row],[Дата поступления]]-Таблица1[[#This Row],[Дата рождения]]</f>
        <v>0</v>
      </c>
    </row>
    <row r="1839" spans="22:23" ht="24.95" customHeight="1" x14ac:dyDescent="0.25">
      <c r="V1839" s="2">
        <f>Таблица1[[#This Row],[Дата перевода]]-Таблица1[[#This Row],[Дата поступления]]</f>
        <v>0</v>
      </c>
      <c r="W1839" s="2">
        <f>Таблица1[[#This Row],[Дата поступления]]-Таблица1[[#This Row],[Дата рождения]]</f>
        <v>0</v>
      </c>
    </row>
    <row r="1840" spans="22:23" ht="24.95" customHeight="1" x14ac:dyDescent="0.25">
      <c r="V1840" s="2">
        <f>Таблица1[[#This Row],[Дата перевода]]-Таблица1[[#This Row],[Дата поступления]]</f>
        <v>0</v>
      </c>
      <c r="W1840" s="2">
        <f>Таблица1[[#This Row],[Дата поступления]]-Таблица1[[#This Row],[Дата рождения]]</f>
        <v>0</v>
      </c>
    </row>
    <row r="1841" spans="22:23" ht="24.95" customHeight="1" x14ac:dyDescent="0.25">
      <c r="V1841" s="2">
        <f>Таблица1[[#This Row],[Дата перевода]]-Таблица1[[#This Row],[Дата поступления]]</f>
        <v>0</v>
      </c>
      <c r="W1841" s="2">
        <f>Таблица1[[#This Row],[Дата поступления]]-Таблица1[[#This Row],[Дата рождения]]</f>
        <v>0</v>
      </c>
    </row>
    <row r="1842" spans="22:23" ht="24.95" customHeight="1" x14ac:dyDescent="0.25">
      <c r="V1842" s="2">
        <f>Таблица1[[#This Row],[Дата перевода]]-Таблица1[[#This Row],[Дата поступления]]</f>
        <v>0</v>
      </c>
      <c r="W1842" s="2">
        <f>Таблица1[[#This Row],[Дата поступления]]-Таблица1[[#This Row],[Дата рождения]]</f>
        <v>0</v>
      </c>
    </row>
    <row r="1843" spans="22:23" ht="24.95" customHeight="1" x14ac:dyDescent="0.25">
      <c r="V1843" s="2">
        <f>Таблица1[[#This Row],[Дата перевода]]-Таблица1[[#This Row],[Дата поступления]]</f>
        <v>0</v>
      </c>
      <c r="W1843" s="2">
        <f>Таблица1[[#This Row],[Дата поступления]]-Таблица1[[#This Row],[Дата рождения]]</f>
        <v>0</v>
      </c>
    </row>
    <row r="1844" spans="22:23" ht="24.95" customHeight="1" x14ac:dyDescent="0.25">
      <c r="V1844" s="2">
        <f>Таблица1[[#This Row],[Дата перевода]]-Таблица1[[#This Row],[Дата поступления]]</f>
        <v>0</v>
      </c>
      <c r="W1844" s="2">
        <f>Таблица1[[#This Row],[Дата поступления]]-Таблица1[[#This Row],[Дата рождения]]</f>
        <v>0</v>
      </c>
    </row>
    <row r="1845" spans="22:23" ht="24.95" customHeight="1" x14ac:dyDescent="0.25">
      <c r="V1845" s="2">
        <f>Таблица1[[#This Row],[Дата перевода]]-Таблица1[[#This Row],[Дата поступления]]</f>
        <v>0</v>
      </c>
      <c r="W1845" s="2">
        <f>Таблица1[[#This Row],[Дата поступления]]-Таблица1[[#This Row],[Дата рождения]]</f>
        <v>0</v>
      </c>
    </row>
    <row r="1846" spans="22:23" ht="24.95" customHeight="1" x14ac:dyDescent="0.25">
      <c r="V1846" s="2">
        <f>Таблица1[[#This Row],[Дата перевода]]-Таблица1[[#This Row],[Дата поступления]]</f>
        <v>0</v>
      </c>
      <c r="W1846" s="2">
        <f>Таблица1[[#This Row],[Дата поступления]]-Таблица1[[#This Row],[Дата рождения]]</f>
        <v>0</v>
      </c>
    </row>
    <row r="1847" spans="22:23" ht="24.95" customHeight="1" x14ac:dyDescent="0.25">
      <c r="V1847" s="2">
        <f>Таблица1[[#This Row],[Дата перевода]]-Таблица1[[#This Row],[Дата поступления]]</f>
        <v>0</v>
      </c>
      <c r="W1847" s="2">
        <f>Таблица1[[#This Row],[Дата поступления]]-Таблица1[[#This Row],[Дата рождения]]</f>
        <v>0</v>
      </c>
    </row>
    <row r="1848" spans="22:23" ht="24.95" customHeight="1" x14ac:dyDescent="0.25">
      <c r="V1848" s="2">
        <f>Таблица1[[#This Row],[Дата перевода]]-Таблица1[[#This Row],[Дата поступления]]</f>
        <v>0</v>
      </c>
      <c r="W1848" s="2">
        <f>Таблица1[[#This Row],[Дата поступления]]-Таблица1[[#This Row],[Дата рождения]]</f>
        <v>0</v>
      </c>
    </row>
    <row r="1849" spans="22:23" ht="24.95" customHeight="1" x14ac:dyDescent="0.25">
      <c r="V1849" s="2">
        <f>Таблица1[[#This Row],[Дата перевода]]-Таблица1[[#This Row],[Дата поступления]]</f>
        <v>0</v>
      </c>
      <c r="W1849" s="2">
        <f>Таблица1[[#This Row],[Дата поступления]]-Таблица1[[#This Row],[Дата рождения]]</f>
        <v>0</v>
      </c>
    </row>
    <row r="1850" spans="22:23" ht="24.95" customHeight="1" x14ac:dyDescent="0.25">
      <c r="V1850" s="2">
        <f>Таблица1[[#This Row],[Дата перевода]]-Таблица1[[#This Row],[Дата поступления]]</f>
        <v>0</v>
      </c>
      <c r="W1850" s="2">
        <f>Таблица1[[#This Row],[Дата поступления]]-Таблица1[[#This Row],[Дата рождения]]</f>
        <v>0</v>
      </c>
    </row>
    <row r="1851" spans="22:23" ht="24.95" customHeight="1" x14ac:dyDescent="0.25">
      <c r="V1851" s="2">
        <f>Таблица1[[#This Row],[Дата перевода]]-Таблица1[[#This Row],[Дата поступления]]</f>
        <v>0</v>
      </c>
      <c r="W1851" s="2">
        <f>Таблица1[[#This Row],[Дата поступления]]-Таблица1[[#This Row],[Дата рождения]]</f>
        <v>0</v>
      </c>
    </row>
    <row r="1852" spans="22:23" ht="24.95" customHeight="1" x14ac:dyDescent="0.25">
      <c r="V1852" s="2">
        <f>Таблица1[[#This Row],[Дата перевода]]-Таблица1[[#This Row],[Дата поступления]]</f>
        <v>0</v>
      </c>
      <c r="W1852" s="2">
        <f>Таблица1[[#This Row],[Дата поступления]]-Таблица1[[#This Row],[Дата рождения]]</f>
        <v>0</v>
      </c>
    </row>
    <row r="1853" spans="22:23" ht="24.95" customHeight="1" x14ac:dyDescent="0.25">
      <c r="V1853" s="2">
        <f>Таблица1[[#This Row],[Дата перевода]]-Таблица1[[#This Row],[Дата поступления]]</f>
        <v>0</v>
      </c>
      <c r="W1853" s="2">
        <f>Таблица1[[#This Row],[Дата поступления]]-Таблица1[[#This Row],[Дата рождения]]</f>
        <v>0</v>
      </c>
    </row>
    <row r="1854" spans="22:23" ht="24.95" customHeight="1" x14ac:dyDescent="0.25">
      <c r="V1854" s="2">
        <f>Таблица1[[#This Row],[Дата перевода]]-Таблица1[[#This Row],[Дата поступления]]</f>
        <v>0</v>
      </c>
      <c r="W1854" s="2">
        <f>Таблица1[[#This Row],[Дата поступления]]-Таблица1[[#This Row],[Дата рождения]]</f>
        <v>0</v>
      </c>
    </row>
    <row r="1855" spans="22:23" ht="24.95" customHeight="1" x14ac:dyDescent="0.25">
      <c r="V1855" s="2">
        <f>Таблица1[[#This Row],[Дата перевода]]-Таблица1[[#This Row],[Дата поступления]]</f>
        <v>0</v>
      </c>
      <c r="W1855" s="2">
        <f>Таблица1[[#This Row],[Дата поступления]]-Таблица1[[#This Row],[Дата рождения]]</f>
        <v>0</v>
      </c>
    </row>
    <row r="1856" spans="22:23" ht="24.95" customHeight="1" x14ac:dyDescent="0.25">
      <c r="V1856" s="2">
        <f>Таблица1[[#This Row],[Дата перевода]]-Таблица1[[#This Row],[Дата поступления]]</f>
        <v>0</v>
      </c>
      <c r="W1856" s="2">
        <f>Таблица1[[#This Row],[Дата поступления]]-Таблица1[[#This Row],[Дата рождения]]</f>
        <v>0</v>
      </c>
    </row>
    <row r="1857" spans="22:23" ht="24.95" customHeight="1" x14ac:dyDescent="0.25">
      <c r="V1857" s="2">
        <f>Таблица1[[#This Row],[Дата перевода]]-Таблица1[[#This Row],[Дата поступления]]</f>
        <v>0</v>
      </c>
      <c r="W1857" s="2">
        <f>Таблица1[[#This Row],[Дата поступления]]-Таблица1[[#This Row],[Дата рождения]]</f>
        <v>0</v>
      </c>
    </row>
    <row r="1858" spans="22:23" ht="24.95" customHeight="1" x14ac:dyDescent="0.25">
      <c r="V1858" s="2">
        <f>Таблица1[[#This Row],[Дата перевода]]-Таблица1[[#This Row],[Дата поступления]]</f>
        <v>0</v>
      </c>
      <c r="W1858" s="2">
        <f>Таблица1[[#This Row],[Дата поступления]]-Таблица1[[#This Row],[Дата рождения]]</f>
        <v>0</v>
      </c>
    </row>
    <row r="1859" spans="22:23" ht="24.95" customHeight="1" x14ac:dyDescent="0.25">
      <c r="V1859" s="2">
        <f>Таблица1[[#This Row],[Дата перевода]]-Таблица1[[#This Row],[Дата поступления]]</f>
        <v>0</v>
      </c>
      <c r="W1859" s="2">
        <f>Таблица1[[#This Row],[Дата поступления]]-Таблица1[[#This Row],[Дата рождения]]</f>
        <v>0</v>
      </c>
    </row>
    <row r="1860" spans="22:23" ht="24.95" customHeight="1" x14ac:dyDescent="0.25">
      <c r="V1860" s="2">
        <f>Таблица1[[#This Row],[Дата перевода]]-Таблица1[[#This Row],[Дата поступления]]</f>
        <v>0</v>
      </c>
      <c r="W1860" s="2">
        <f>Таблица1[[#This Row],[Дата поступления]]-Таблица1[[#This Row],[Дата рождения]]</f>
        <v>0</v>
      </c>
    </row>
    <row r="1861" spans="22:23" ht="24.95" customHeight="1" x14ac:dyDescent="0.25">
      <c r="V1861" s="2">
        <f>Таблица1[[#This Row],[Дата перевода]]-Таблица1[[#This Row],[Дата поступления]]</f>
        <v>0</v>
      </c>
      <c r="W1861" s="2">
        <f>Таблица1[[#This Row],[Дата поступления]]-Таблица1[[#This Row],[Дата рождения]]</f>
        <v>0</v>
      </c>
    </row>
    <row r="1862" spans="22:23" ht="24.95" customHeight="1" x14ac:dyDescent="0.25">
      <c r="V1862" s="2">
        <f>Таблица1[[#This Row],[Дата перевода]]-Таблица1[[#This Row],[Дата поступления]]</f>
        <v>0</v>
      </c>
      <c r="W1862" s="2">
        <f>Таблица1[[#This Row],[Дата поступления]]-Таблица1[[#This Row],[Дата рождения]]</f>
        <v>0</v>
      </c>
    </row>
    <row r="1863" spans="22:23" ht="24.95" customHeight="1" x14ac:dyDescent="0.25">
      <c r="V1863" s="2">
        <f>Таблица1[[#This Row],[Дата перевода]]-Таблица1[[#This Row],[Дата поступления]]</f>
        <v>0</v>
      </c>
      <c r="W1863" s="2">
        <f>Таблица1[[#This Row],[Дата поступления]]-Таблица1[[#This Row],[Дата рождения]]</f>
        <v>0</v>
      </c>
    </row>
    <row r="1864" spans="22:23" ht="24.95" customHeight="1" x14ac:dyDescent="0.25">
      <c r="V1864" s="2">
        <f>Таблица1[[#This Row],[Дата перевода]]-Таблица1[[#This Row],[Дата поступления]]</f>
        <v>0</v>
      </c>
      <c r="W1864" s="2">
        <f>Таблица1[[#This Row],[Дата поступления]]-Таблица1[[#This Row],[Дата рождения]]</f>
        <v>0</v>
      </c>
    </row>
    <row r="1865" spans="22:23" ht="24.95" customHeight="1" x14ac:dyDescent="0.25">
      <c r="V1865" s="2">
        <f>Таблица1[[#This Row],[Дата перевода]]-Таблица1[[#This Row],[Дата поступления]]</f>
        <v>0</v>
      </c>
      <c r="W1865" s="2">
        <f>Таблица1[[#This Row],[Дата поступления]]-Таблица1[[#This Row],[Дата рождения]]</f>
        <v>0</v>
      </c>
    </row>
    <row r="1866" spans="22:23" ht="24.95" customHeight="1" x14ac:dyDescent="0.25">
      <c r="V1866" s="2">
        <f>Таблица1[[#This Row],[Дата перевода]]-Таблица1[[#This Row],[Дата поступления]]</f>
        <v>0</v>
      </c>
      <c r="W1866" s="2">
        <f>Таблица1[[#This Row],[Дата поступления]]-Таблица1[[#This Row],[Дата рождения]]</f>
        <v>0</v>
      </c>
    </row>
    <row r="1867" spans="22:23" ht="24.95" customHeight="1" x14ac:dyDescent="0.25">
      <c r="V1867" s="2">
        <f>Таблица1[[#This Row],[Дата перевода]]-Таблица1[[#This Row],[Дата поступления]]</f>
        <v>0</v>
      </c>
      <c r="W1867" s="2">
        <f>Таблица1[[#This Row],[Дата поступления]]-Таблица1[[#This Row],[Дата рождения]]</f>
        <v>0</v>
      </c>
    </row>
    <row r="1868" spans="22:23" ht="24.95" customHeight="1" x14ac:dyDescent="0.25">
      <c r="V1868" s="2">
        <f>Таблица1[[#This Row],[Дата перевода]]-Таблица1[[#This Row],[Дата поступления]]</f>
        <v>0</v>
      </c>
      <c r="W1868" s="2">
        <f>Таблица1[[#This Row],[Дата поступления]]-Таблица1[[#This Row],[Дата рождения]]</f>
        <v>0</v>
      </c>
    </row>
    <row r="1869" spans="22:23" ht="24.95" customHeight="1" x14ac:dyDescent="0.25">
      <c r="V1869" s="2">
        <f>Таблица1[[#This Row],[Дата перевода]]-Таблица1[[#This Row],[Дата поступления]]</f>
        <v>0</v>
      </c>
      <c r="W1869" s="2">
        <f>Таблица1[[#This Row],[Дата поступления]]-Таблица1[[#This Row],[Дата рождения]]</f>
        <v>0</v>
      </c>
    </row>
    <row r="1870" spans="22:23" ht="24.95" customHeight="1" x14ac:dyDescent="0.25">
      <c r="V1870" s="2">
        <f>Таблица1[[#This Row],[Дата перевода]]-Таблица1[[#This Row],[Дата поступления]]</f>
        <v>0</v>
      </c>
      <c r="W1870" s="2">
        <f>Таблица1[[#This Row],[Дата поступления]]-Таблица1[[#This Row],[Дата рождения]]</f>
        <v>0</v>
      </c>
    </row>
    <row r="1871" spans="22:23" ht="24.95" customHeight="1" x14ac:dyDescent="0.25">
      <c r="V1871" s="2">
        <f>Таблица1[[#This Row],[Дата перевода]]-Таблица1[[#This Row],[Дата поступления]]</f>
        <v>0</v>
      </c>
      <c r="W1871" s="2">
        <f>Таблица1[[#This Row],[Дата поступления]]-Таблица1[[#This Row],[Дата рождения]]</f>
        <v>0</v>
      </c>
    </row>
    <row r="1872" spans="22:23" ht="24.95" customHeight="1" x14ac:dyDescent="0.25">
      <c r="V1872" s="2">
        <f>Таблица1[[#This Row],[Дата перевода]]-Таблица1[[#This Row],[Дата поступления]]</f>
        <v>0</v>
      </c>
      <c r="W1872" s="2">
        <f>Таблица1[[#This Row],[Дата поступления]]-Таблица1[[#This Row],[Дата рождения]]</f>
        <v>0</v>
      </c>
    </row>
    <row r="1873" spans="22:23" ht="24.95" customHeight="1" x14ac:dyDescent="0.25">
      <c r="V1873" s="2">
        <f>Таблица1[[#This Row],[Дата перевода]]-Таблица1[[#This Row],[Дата поступления]]</f>
        <v>0</v>
      </c>
      <c r="W1873" s="2">
        <f>Таблица1[[#This Row],[Дата поступления]]-Таблица1[[#This Row],[Дата рождения]]</f>
        <v>0</v>
      </c>
    </row>
    <row r="1874" spans="22:23" ht="24.95" customHeight="1" x14ac:dyDescent="0.25">
      <c r="V1874" s="2">
        <f>Таблица1[[#This Row],[Дата перевода]]-Таблица1[[#This Row],[Дата поступления]]</f>
        <v>0</v>
      </c>
      <c r="W1874" s="2">
        <f>Таблица1[[#This Row],[Дата поступления]]-Таблица1[[#This Row],[Дата рождения]]</f>
        <v>0</v>
      </c>
    </row>
    <row r="1875" spans="22:23" ht="24.95" customHeight="1" x14ac:dyDescent="0.25">
      <c r="V1875" s="2">
        <f>Таблица1[[#This Row],[Дата перевода]]-Таблица1[[#This Row],[Дата поступления]]</f>
        <v>0</v>
      </c>
      <c r="W1875" s="2">
        <f>Таблица1[[#This Row],[Дата поступления]]-Таблица1[[#This Row],[Дата рождения]]</f>
        <v>0</v>
      </c>
    </row>
    <row r="1876" spans="22:23" ht="24.95" customHeight="1" x14ac:dyDescent="0.25">
      <c r="V1876" s="2">
        <f>Таблица1[[#This Row],[Дата перевода]]-Таблица1[[#This Row],[Дата поступления]]</f>
        <v>0</v>
      </c>
      <c r="W1876" s="2">
        <f>Таблица1[[#This Row],[Дата поступления]]-Таблица1[[#This Row],[Дата рождения]]</f>
        <v>0</v>
      </c>
    </row>
    <row r="1877" spans="22:23" ht="24.95" customHeight="1" x14ac:dyDescent="0.25">
      <c r="V1877" s="2">
        <f>Таблица1[[#This Row],[Дата перевода]]-Таблица1[[#This Row],[Дата поступления]]</f>
        <v>0</v>
      </c>
      <c r="W1877" s="2">
        <f>Таблица1[[#This Row],[Дата поступления]]-Таблица1[[#This Row],[Дата рождения]]</f>
        <v>0</v>
      </c>
    </row>
    <row r="1878" spans="22:23" ht="24.95" customHeight="1" x14ac:dyDescent="0.25">
      <c r="V1878" s="2">
        <f>Таблица1[[#This Row],[Дата перевода]]-Таблица1[[#This Row],[Дата поступления]]</f>
        <v>0</v>
      </c>
      <c r="W1878" s="2">
        <f>Таблица1[[#This Row],[Дата поступления]]-Таблица1[[#This Row],[Дата рождения]]</f>
        <v>0</v>
      </c>
    </row>
    <row r="1879" spans="22:23" ht="24.95" customHeight="1" x14ac:dyDescent="0.25">
      <c r="V1879" s="2">
        <f>Таблица1[[#This Row],[Дата перевода]]-Таблица1[[#This Row],[Дата поступления]]</f>
        <v>0</v>
      </c>
      <c r="W1879" s="2">
        <f>Таблица1[[#This Row],[Дата поступления]]-Таблица1[[#This Row],[Дата рождения]]</f>
        <v>0</v>
      </c>
    </row>
    <row r="1880" spans="22:23" ht="24.95" customHeight="1" x14ac:dyDescent="0.25">
      <c r="V1880" s="2">
        <f>Таблица1[[#This Row],[Дата перевода]]-Таблица1[[#This Row],[Дата поступления]]</f>
        <v>0</v>
      </c>
      <c r="W1880" s="2">
        <f>Таблица1[[#This Row],[Дата поступления]]-Таблица1[[#This Row],[Дата рождения]]</f>
        <v>0</v>
      </c>
    </row>
    <row r="1881" spans="22:23" ht="24.95" customHeight="1" x14ac:dyDescent="0.25">
      <c r="V1881" s="2">
        <f>Таблица1[[#This Row],[Дата перевода]]-Таблица1[[#This Row],[Дата поступления]]</f>
        <v>0</v>
      </c>
      <c r="W1881" s="2">
        <f>Таблица1[[#This Row],[Дата поступления]]-Таблица1[[#This Row],[Дата рождения]]</f>
        <v>0</v>
      </c>
    </row>
    <row r="1882" spans="22:23" ht="24.95" customHeight="1" x14ac:dyDescent="0.25">
      <c r="V1882" s="2">
        <f>Таблица1[[#This Row],[Дата перевода]]-Таблица1[[#This Row],[Дата поступления]]</f>
        <v>0</v>
      </c>
      <c r="W1882" s="2">
        <f>Таблица1[[#This Row],[Дата поступления]]-Таблица1[[#This Row],[Дата рождения]]</f>
        <v>0</v>
      </c>
    </row>
    <row r="1883" spans="22:23" ht="24.95" customHeight="1" x14ac:dyDescent="0.25">
      <c r="V1883" s="2">
        <f>Таблица1[[#This Row],[Дата перевода]]-Таблица1[[#This Row],[Дата поступления]]</f>
        <v>0</v>
      </c>
      <c r="W1883" s="2">
        <f>Таблица1[[#This Row],[Дата поступления]]-Таблица1[[#This Row],[Дата рождения]]</f>
        <v>0</v>
      </c>
    </row>
    <row r="1884" spans="22:23" ht="24.95" customHeight="1" x14ac:dyDescent="0.25">
      <c r="V1884" s="2">
        <f>Таблица1[[#This Row],[Дата перевода]]-Таблица1[[#This Row],[Дата поступления]]</f>
        <v>0</v>
      </c>
      <c r="W1884" s="2">
        <f>Таблица1[[#This Row],[Дата поступления]]-Таблица1[[#This Row],[Дата рождения]]</f>
        <v>0</v>
      </c>
    </row>
    <row r="1885" spans="22:23" ht="24.95" customHeight="1" x14ac:dyDescent="0.25">
      <c r="V1885" s="2">
        <f>Таблица1[[#This Row],[Дата перевода]]-Таблица1[[#This Row],[Дата поступления]]</f>
        <v>0</v>
      </c>
      <c r="W1885" s="2">
        <f>Таблица1[[#This Row],[Дата поступления]]-Таблица1[[#This Row],[Дата рождения]]</f>
        <v>0</v>
      </c>
    </row>
    <row r="1886" spans="22:23" ht="24.95" customHeight="1" x14ac:dyDescent="0.25">
      <c r="V1886" s="2">
        <f>Таблица1[[#This Row],[Дата перевода]]-Таблица1[[#This Row],[Дата поступления]]</f>
        <v>0</v>
      </c>
      <c r="W1886" s="2">
        <f>Таблица1[[#This Row],[Дата поступления]]-Таблица1[[#This Row],[Дата рождения]]</f>
        <v>0</v>
      </c>
    </row>
    <row r="1887" spans="22:23" ht="24.95" customHeight="1" x14ac:dyDescent="0.25">
      <c r="V1887" s="2">
        <f>Таблица1[[#This Row],[Дата перевода]]-Таблица1[[#This Row],[Дата поступления]]</f>
        <v>0</v>
      </c>
      <c r="W1887" s="2">
        <f>Таблица1[[#This Row],[Дата поступления]]-Таблица1[[#This Row],[Дата рождения]]</f>
        <v>0</v>
      </c>
    </row>
    <row r="1888" spans="22:23" ht="24.95" customHeight="1" x14ac:dyDescent="0.25">
      <c r="V1888" s="2">
        <f>Таблица1[[#This Row],[Дата перевода]]-Таблица1[[#This Row],[Дата поступления]]</f>
        <v>0</v>
      </c>
      <c r="W1888" s="2">
        <f>Таблица1[[#This Row],[Дата поступления]]-Таблица1[[#This Row],[Дата рождения]]</f>
        <v>0</v>
      </c>
    </row>
    <row r="1889" spans="22:23" ht="24.95" customHeight="1" x14ac:dyDescent="0.25">
      <c r="V1889" s="2">
        <f>Таблица1[[#This Row],[Дата перевода]]-Таблица1[[#This Row],[Дата поступления]]</f>
        <v>0</v>
      </c>
      <c r="W1889" s="2">
        <f>Таблица1[[#This Row],[Дата поступления]]-Таблица1[[#This Row],[Дата рождения]]</f>
        <v>0</v>
      </c>
    </row>
    <row r="1890" spans="22:23" ht="24.95" customHeight="1" x14ac:dyDescent="0.25">
      <c r="V1890" s="2">
        <f>Таблица1[[#This Row],[Дата перевода]]-Таблица1[[#This Row],[Дата поступления]]</f>
        <v>0</v>
      </c>
      <c r="W1890" s="2">
        <f>Таблица1[[#This Row],[Дата поступления]]-Таблица1[[#This Row],[Дата рождения]]</f>
        <v>0</v>
      </c>
    </row>
    <row r="1891" spans="22:23" ht="24.95" customHeight="1" x14ac:dyDescent="0.25">
      <c r="V1891" s="2">
        <f>Таблица1[[#This Row],[Дата перевода]]-Таблица1[[#This Row],[Дата поступления]]</f>
        <v>0</v>
      </c>
      <c r="W1891" s="2">
        <f>Таблица1[[#This Row],[Дата поступления]]-Таблица1[[#This Row],[Дата рождения]]</f>
        <v>0</v>
      </c>
    </row>
    <row r="1892" spans="22:23" ht="24.95" customHeight="1" x14ac:dyDescent="0.25">
      <c r="V1892" s="2">
        <f>Таблица1[[#This Row],[Дата перевода]]-Таблица1[[#This Row],[Дата поступления]]</f>
        <v>0</v>
      </c>
      <c r="W1892" s="2">
        <f>Таблица1[[#This Row],[Дата поступления]]-Таблица1[[#This Row],[Дата рождения]]</f>
        <v>0</v>
      </c>
    </row>
    <row r="1893" spans="22:23" ht="24.95" customHeight="1" x14ac:dyDescent="0.25">
      <c r="V1893" s="2">
        <f>Таблица1[[#This Row],[Дата перевода]]-Таблица1[[#This Row],[Дата поступления]]</f>
        <v>0</v>
      </c>
      <c r="W1893" s="2">
        <f>Таблица1[[#This Row],[Дата поступления]]-Таблица1[[#This Row],[Дата рождения]]</f>
        <v>0</v>
      </c>
    </row>
    <row r="1894" spans="22:23" ht="24.95" customHeight="1" x14ac:dyDescent="0.25">
      <c r="V1894" s="2">
        <f>Таблица1[[#This Row],[Дата перевода]]-Таблица1[[#This Row],[Дата поступления]]</f>
        <v>0</v>
      </c>
      <c r="W1894" s="2">
        <f>Таблица1[[#This Row],[Дата поступления]]-Таблица1[[#This Row],[Дата рождения]]</f>
        <v>0</v>
      </c>
    </row>
    <row r="1895" spans="22:23" ht="24.95" customHeight="1" x14ac:dyDescent="0.25">
      <c r="V1895" s="2">
        <f>Таблица1[[#This Row],[Дата перевода]]-Таблица1[[#This Row],[Дата поступления]]</f>
        <v>0</v>
      </c>
      <c r="W1895" s="2">
        <f>Таблица1[[#This Row],[Дата поступления]]-Таблица1[[#This Row],[Дата рождения]]</f>
        <v>0</v>
      </c>
    </row>
    <row r="1896" spans="22:23" ht="24.95" customHeight="1" x14ac:dyDescent="0.25">
      <c r="V1896" s="2">
        <f>Таблица1[[#This Row],[Дата перевода]]-Таблица1[[#This Row],[Дата поступления]]</f>
        <v>0</v>
      </c>
      <c r="W1896" s="2">
        <f>Таблица1[[#This Row],[Дата поступления]]-Таблица1[[#This Row],[Дата рождения]]</f>
        <v>0</v>
      </c>
    </row>
    <row r="1897" spans="22:23" ht="24.95" customHeight="1" x14ac:dyDescent="0.25">
      <c r="V1897" s="2">
        <f>Таблица1[[#This Row],[Дата перевода]]-Таблица1[[#This Row],[Дата поступления]]</f>
        <v>0</v>
      </c>
      <c r="W1897" s="2">
        <f>Таблица1[[#This Row],[Дата поступления]]-Таблица1[[#This Row],[Дата рождения]]</f>
        <v>0</v>
      </c>
    </row>
    <row r="1898" spans="22:23" ht="24.95" customHeight="1" x14ac:dyDescent="0.25">
      <c r="V1898" s="2">
        <f>Таблица1[[#This Row],[Дата перевода]]-Таблица1[[#This Row],[Дата поступления]]</f>
        <v>0</v>
      </c>
      <c r="W1898" s="2">
        <f>Таблица1[[#This Row],[Дата поступления]]-Таблица1[[#This Row],[Дата рождения]]</f>
        <v>0</v>
      </c>
    </row>
    <row r="1899" spans="22:23" ht="24.95" customHeight="1" x14ac:dyDescent="0.25">
      <c r="V1899" s="2">
        <f>Таблица1[[#This Row],[Дата перевода]]-Таблица1[[#This Row],[Дата поступления]]</f>
        <v>0</v>
      </c>
      <c r="W1899" s="2">
        <f>Таблица1[[#This Row],[Дата поступления]]-Таблица1[[#This Row],[Дата рождения]]</f>
        <v>0</v>
      </c>
    </row>
    <row r="1900" spans="22:23" ht="24.95" customHeight="1" x14ac:dyDescent="0.25">
      <c r="V1900" s="2">
        <f>Таблица1[[#This Row],[Дата перевода]]-Таблица1[[#This Row],[Дата поступления]]</f>
        <v>0</v>
      </c>
      <c r="W1900" s="2">
        <f>Таблица1[[#This Row],[Дата поступления]]-Таблица1[[#This Row],[Дата рождения]]</f>
        <v>0</v>
      </c>
    </row>
    <row r="1901" spans="22:23" ht="24.95" customHeight="1" x14ac:dyDescent="0.25">
      <c r="V1901" s="2">
        <f>Таблица1[[#This Row],[Дата перевода]]-Таблица1[[#This Row],[Дата поступления]]</f>
        <v>0</v>
      </c>
      <c r="W1901" s="2">
        <f>Таблица1[[#This Row],[Дата поступления]]-Таблица1[[#This Row],[Дата рождения]]</f>
        <v>0</v>
      </c>
    </row>
    <row r="1902" spans="22:23" ht="24.95" customHeight="1" x14ac:dyDescent="0.25">
      <c r="V1902" s="2">
        <f>Таблица1[[#This Row],[Дата перевода]]-Таблица1[[#This Row],[Дата поступления]]</f>
        <v>0</v>
      </c>
      <c r="W1902" s="2">
        <f>Таблица1[[#This Row],[Дата поступления]]-Таблица1[[#This Row],[Дата рождения]]</f>
        <v>0</v>
      </c>
    </row>
    <row r="1903" spans="22:23" ht="24.95" customHeight="1" x14ac:dyDescent="0.25">
      <c r="V1903" s="2">
        <f>Таблица1[[#This Row],[Дата перевода]]-Таблица1[[#This Row],[Дата поступления]]</f>
        <v>0</v>
      </c>
      <c r="W1903" s="2">
        <f>Таблица1[[#This Row],[Дата поступления]]-Таблица1[[#This Row],[Дата рождения]]</f>
        <v>0</v>
      </c>
    </row>
    <row r="1904" spans="22:23" ht="24.95" customHeight="1" x14ac:dyDescent="0.25">
      <c r="V1904" s="2">
        <f>Таблица1[[#This Row],[Дата перевода]]-Таблица1[[#This Row],[Дата поступления]]</f>
        <v>0</v>
      </c>
      <c r="W1904" s="2">
        <f>Таблица1[[#This Row],[Дата поступления]]-Таблица1[[#This Row],[Дата рождения]]</f>
        <v>0</v>
      </c>
    </row>
    <row r="1905" spans="22:23" ht="24.95" customHeight="1" x14ac:dyDescent="0.25">
      <c r="V1905" s="2">
        <f>Таблица1[[#This Row],[Дата перевода]]-Таблица1[[#This Row],[Дата поступления]]</f>
        <v>0</v>
      </c>
      <c r="W1905" s="2">
        <f>Таблица1[[#This Row],[Дата поступления]]-Таблица1[[#This Row],[Дата рождения]]</f>
        <v>0</v>
      </c>
    </row>
    <row r="1906" spans="22:23" ht="24.95" customHeight="1" x14ac:dyDescent="0.25">
      <c r="V1906" s="2">
        <f>Таблица1[[#This Row],[Дата перевода]]-Таблица1[[#This Row],[Дата поступления]]</f>
        <v>0</v>
      </c>
      <c r="W1906" s="2">
        <f>Таблица1[[#This Row],[Дата поступления]]-Таблица1[[#This Row],[Дата рождения]]</f>
        <v>0</v>
      </c>
    </row>
    <row r="1907" spans="22:23" ht="24.95" customHeight="1" x14ac:dyDescent="0.25">
      <c r="V1907" s="2">
        <f>Таблица1[[#This Row],[Дата перевода]]-Таблица1[[#This Row],[Дата поступления]]</f>
        <v>0</v>
      </c>
      <c r="W1907" s="2">
        <f>Таблица1[[#This Row],[Дата поступления]]-Таблица1[[#This Row],[Дата рождения]]</f>
        <v>0</v>
      </c>
    </row>
    <row r="1908" spans="22:23" ht="24.95" customHeight="1" x14ac:dyDescent="0.25">
      <c r="V1908" s="2">
        <f>Таблица1[[#This Row],[Дата перевода]]-Таблица1[[#This Row],[Дата поступления]]</f>
        <v>0</v>
      </c>
      <c r="W1908" s="2">
        <f>Таблица1[[#This Row],[Дата поступления]]-Таблица1[[#This Row],[Дата рождения]]</f>
        <v>0</v>
      </c>
    </row>
    <row r="1909" spans="22:23" ht="24.95" customHeight="1" x14ac:dyDescent="0.25">
      <c r="V1909" s="2">
        <f>Таблица1[[#This Row],[Дата перевода]]-Таблица1[[#This Row],[Дата поступления]]</f>
        <v>0</v>
      </c>
      <c r="W1909" s="2">
        <f>Таблица1[[#This Row],[Дата поступления]]-Таблица1[[#This Row],[Дата рождения]]</f>
        <v>0</v>
      </c>
    </row>
    <row r="1910" spans="22:23" ht="24.95" customHeight="1" x14ac:dyDescent="0.25">
      <c r="V1910" s="2">
        <f>Таблица1[[#This Row],[Дата перевода]]-Таблица1[[#This Row],[Дата поступления]]</f>
        <v>0</v>
      </c>
      <c r="W1910" s="2">
        <f>Таблица1[[#This Row],[Дата поступления]]-Таблица1[[#This Row],[Дата рождения]]</f>
        <v>0</v>
      </c>
    </row>
    <row r="1911" spans="22:23" ht="24.95" customHeight="1" x14ac:dyDescent="0.25">
      <c r="V1911" s="2">
        <f>Таблица1[[#This Row],[Дата перевода]]-Таблица1[[#This Row],[Дата поступления]]</f>
        <v>0</v>
      </c>
      <c r="W1911" s="2">
        <f>Таблица1[[#This Row],[Дата поступления]]-Таблица1[[#This Row],[Дата рождения]]</f>
        <v>0</v>
      </c>
    </row>
    <row r="1912" spans="22:23" ht="24.95" customHeight="1" x14ac:dyDescent="0.25">
      <c r="V1912" s="2">
        <f>Таблица1[[#This Row],[Дата перевода]]-Таблица1[[#This Row],[Дата поступления]]</f>
        <v>0</v>
      </c>
      <c r="W1912" s="2">
        <f>Таблица1[[#This Row],[Дата поступления]]-Таблица1[[#This Row],[Дата рождения]]</f>
        <v>0</v>
      </c>
    </row>
    <row r="1913" spans="22:23" ht="24.95" customHeight="1" x14ac:dyDescent="0.25">
      <c r="V1913" s="2">
        <f>Таблица1[[#This Row],[Дата перевода]]-Таблица1[[#This Row],[Дата поступления]]</f>
        <v>0</v>
      </c>
      <c r="W1913" s="2">
        <f>Таблица1[[#This Row],[Дата поступления]]-Таблица1[[#This Row],[Дата рождения]]</f>
        <v>0</v>
      </c>
    </row>
    <row r="1914" spans="22:23" ht="24.95" customHeight="1" x14ac:dyDescent="0.25">
      <c r="V1914" s="2">
        <f>Таблица1[[#This Row],[Дата перевода]]-Таблица1[[#This Row],[Дата поступления]]</f>
        <v>0</v>
      </c>
      <c r="W1914" s="2">
        <f>Таблица1[[#This Row],[Дата поступления]]-Таблица1[[#This Row],[Дата рождения]]</f>
        <v>0</v>
      </c>
    </row>
    <row r="1915" spans="22:23" ht="24.95" customHeight="1" x14ac:dyDescent="0.25">
      <c r="V1915" s="2">
        <f>Таблица1[[#This Row],[Дата перевода]]-Таблица1[[#This Row],[Дата поступления]]</f>
        <v>0</v>
      </c>
      <c r="W1915" s="2">
        <f>Таблица1[[#This Row],[Дата поступления]]-Таблица1[[#This Row],[Дата рождения]]</f>
        <v>0</v>
      </c>
    </row>
    <row r="1916" spans="22:23" ht="24.95" customHeight="1" x14ac:dyDescent="0.25">
      <c r="V1916" s="2">
        <f>Таблица1[[#This Row],[Дата перевода]]-Таблица1[[#This Row],[Дата поступления]]</f>
        <v>0</v>
      </c>
      <c r="W1916" s="2">
        <f>Таблица1[[#This Row],[Дата поступления]]-Таблица1[[#This Row],[Дата рождения]]</f>
        <v>0</v>
      </c>
    </row>
    <row r="1917" spans="22:23" ht="24.95" customHeight="1" x14ac:dyDescent="0.25">
      <c r="V1917" s="2">
        <f>Таблица1[[#This Row],[Дата перевода]]-Таблица1[[#This Row],[Дата поступления]]</f>
        <v>0</v>
      </c>
      <c r="W1917" s="2">
        <f>Таблица1[[#This Row],[Дата поступления]]-Таблица1[[#This Row],[Дата рождения]]</f>
        <v>0</v>
      </c>
    </row>
    <row r="1918" spans="22:23" ht="24.95" customHeight="1" x14ac:dyDescent="0.25">
      <c r="V1918" s="2">
        <f>Таблица1[[#This Row],[Дата перевода]]-Таблица1[[#This Row],[Дата поступления]]</f>
        <v>0</v>
      </c>
      <c r="W1918" s="2">
        <f>Таблица1[[#This Row],[Дата поступления]]-Таблица1[[#This Row],[Дата рождения]]</f>
        <v>0</v>
      </c>
    </row>
    <row r="1919" spans="22:23" ht="24.95" customHeight="1" x14ac:dyDescent="0.25">
      <c r="V1919" s="2">
        <f>Таблица1[[#This Row],[Дата перевода]]-Таблица1[[#This Row],[Дата поступления]]</f>
        <v>0</v>
      </c>
      <c r="W1919" s="2">
        <f>Таблица1[[#This Row],[Дата поступления]]-Таблица1[[#This Row],[Дата рождения]]</f>
        <v>0</v>
      </c>
    </row>
    <row r="1920" spans="22:23" ht="24.95" customHeight="1" x14ac:dyDescent="0.25">
      <c r="V1920" s="2">
        <f>Таблица1[[#This Row],[Дата перевода]]-Таблица1[[#This Row],[Дата поступления]]</f>
        <v>0</v>
      </c>
      <c r="W1920" s="2">
        <f>Таблица1[[#This Row],[Дата поступления]]-Таблица1[[#This Row],[Дата рождения]]</f>
        <v>0</v>
      </c>
    </row>
    <row r="1921" spans="22:23" ht="24.95" customHeight="1" x14ac:dyDescent="0.25">
      <c r="V1921" s="2">
        <f>Таблица1[[#This Row],[Дата перевода]]-Таблица1[[#This Row],[Дата поступления]]</f>
        <v>0</v>
      </c>
      <c r="W1921" s="2">
        <f>Таблица1[[#This Row],[Дата поступления]]-Таблица1[[#This Row],[Дата рождения]]</f>
        <v>0</v>
      </c>
    </row>
    <row r="1922" spans="22:23" ht="24.95" customHeight="1" x14ac:dyDescent="0.25">
      <c r="V1922" s="2">
        <f>Таблица1[[#This Row],[Дата перевода]]-Таблица1[[#This Row],[Дата поступления]]</f>
        <v>0</v>
      </c>
      <c r="W1922" s="2">
        <f>Таблица1[[#This Row],[Дата поступления]]-Таблица1[[#This Row],[Дата рождения]]</f>
        <v>0</v>
      </c>
    </row>
    <row r="1923" spans="22:23" ht="24.95" customHeight="1" x14ac:dyDescent="0.25">
      <c r="V1923" s="2">
        <f>Таблица1[[#This Row],[Дата перевода]]-Таблица1[[#This Row],[Дата поступления]]</f>
        <v>0</v>
      </c>
      <c r="W1923" s="2">
        <f>Таблица1[[#This Row],[Дата поступления]]-Таблица1[[#This Row],[Дата рождения]]</f>
        <v>0</v>
      </c>
    </row>
    <row r="1924" spans="22:23" ht="24.95" customHeight="1" x14ac:dyDescent="0.25">
      <c r="V1924" s="2">
        <f>Таблица1[[#This Row],[Дата перевода]]-Таблица1[[#This Row],[Дата поступления]]</f>
        <v>0</v>
      </c>
      <c r="W1924" s="2">
        <f>Таблица1[[#This Row],[Дата поступления]]-Таблица1[[#This Row],[Дата рождения]]</f>
        <v>0</v>
      </c>
    </row>
    <row r="1925" spans="22:23" ht="24.95" customHeight="1" x14ac:dyDescent="0.25">
      <c r="V1925" s="2">
        <f>Таблица1[[#This Row],[Дата перевода]]-Таблица1[[#This Row],[Дата поступления]]</f>
        <v>0</v>
      </c>
      <c r="W1925" s="2">
        <f>Таблица1[[#This Row],[Дата поступления]]-Таблица1[[#This Row],[Дата рождения]]</f>
        <v>0</v>
      </c>
    </row>
    <row r="1926" spans="22:23" ht="24.95" customHeight="1" x14ac:dyDescent="0.25">
      <c r="V1926" s="2">
        <f>Таблица1[[#This Row],[Дата перевода]]-Таблица1[[#This Row],[Дата поступления]]</f>
        <v>0</v>
      </c>
      <c r="W1926" s="2">
        <f>Таблица1[[#This Row],[Дата поступления]]-Таблица1[[#This Row],[Дата рождения]]</f>
        <v>0</v>
      </c>
    </row>
    <row r="1927" spans="22:23" ht="24.95" customHeight="1" x14ac:dyDescent="0.25">
      <c r="V1927" s="2">
        <f>Таблица1[[#This Row],[Дата перевода]]-Таблица1[[#This Row],[Дата поступления]]</f>
        <v>0</v>
      </c>
      <c r="W1927" s="2">
        <f>Таблица1[[#This Row],[Дата поступления]]-Таблица1[[#This Row],[Дата рождения]]</f>
        <v>0</v>
      </c>
    </row>
    <row r="1928" spans="22:23" ht="24.95" customHeight="1" x14ac:dyDescent="0.25">
      <c r="V1928" s="2">
        <f>Таблица1[[#This Row],[Дата перевода]]-Таблица1[[#This Row],[Дата поступления]]</f>
        <v>0</v>
      </c>
      <c r="W1928" s="2">
        <f>Таблица1[[#This Row],[Дата поступления]]-Таблица1[[#This Row],[Дата рождения]]</f>
        <v>0</v>
      </c>
    </row>
    <row r="1929" spans="22:23" ht="24.95" customHeight="1" x14ac:dyDescent="0.25">
      <c r="V1929" s="2">
        <f>Таблица1[[#This Row],[Дата перевода]]-Таблица1[[#This Row],[Дата поступления]]</f>
        <v>0</v>
      </c>
      <c r="W1929" s="2">
        <f>Таблица1[[#This Row],[Дата поступления]]-Таблица1[[#This Row],[Дата рождения]]</f>
        <v>0</v>
      </c>
    </row>
    <row r="1930" spans="22:23" ht="24.95" customHeight="1" x14ac:dyDescent="0.25">
      <c r="V1930" s="2">
        <f>Таблица1[[#This Row],[Дата перевода]]-Таблица1[[#This Row],[Дата поступления]]</f>
        <v>0</v>
      </c>
      <c r="W1930" s="2">
        <f>Таблица1[[#This Row],[Дата поступления]]-Таблица1[[#This Row],[Дата рождения]]</f>
        <v>0</v>
      </c>
    </row>
    <row r="1931" spans="22:23" ht="24.95" customHeight="1" x14ac:dyDescent="0.25">
      <c r="V1931" s="2">
        <f>Таблица1[[#This Row],[Дата перевода]]-Таблица1[[#This Row],[Дата поступления]]</f>
        <v>0</v>
      </c>
      <c r="W1931" s="2">
        <f>Таблица1[[#This Row],[Дата поступления]]-Таблица1[[#This Row],[Дата рождения]]</f>
        <v>0</v>
      </c>
    </row>
    <row r="1932" spans="22:23" ht="24.95" customHeight="1" x14ac:dyDescent="0.25">
      <c r="V1932" s="2">
        <f>Таблица1[[#This Row],[Дата перевода]]-Таблица1[[#This Row],[Дата поступления]]</f>
        <v>0</v>
      </c>
      <c r="W1932" s="2">
        <f>Таблица1[[#This Row],[Дата поступления]]-Таблица1[[#This Row],[Дата рождения]]</f>
        <v>0</v>
      </c>
    </row>
    <row r="1933" spans="22:23" ht="24.95" customHeight="1" x14ac:dyDescent="0.25">
      <c r="V1933" s="2">
        <f>Таблица1[[#This Row],[Дата перевода]]-Таблица1[[#This Row],[Дата поступления]]</f>
        <v>0</v>
      </c>
      <c r="W1933" s="2">
        <f>Таблица1[[#This Row],[Дата поступления]]-Таблица1[[#This Row],[Дата рождения]]</f>
        <v>0</v>
      </c>
    </row>
    <row r="1934" spans="22:23" ht="24.95" customHeight="1" x14ac:dyDescent="0.25">
      <c r="V1934" s="2">
        <f>Таблица1[[#This Row],[Дата перевода]]-Таблица1[[#This Row],[Дата поступления]]</f>
        <v>0</v>
      </c>
      <c r="W1934" s="2">
        <f>Таблица1[[#This Row],[Дата поступления]]-Таблица1[[#This Row],[Дата рождения]]</f>
        <v>0</v>
      </c>
    </row>
    <row r="1935" spans="22:23" ht="24.95" customHeight="1" x14ac:dyDescent="0.25">
      <c r="V1935" s="2">
        <f>Таблица1[[#This Row],[Дата перевода]]-Таблица1[[#This Row],[Дата поступления]]</f>
        <v>0</v>
      </c>
      <c r="W1935" s="2">
        <f>Таблица1[[#This Row],[Дата поступления]]-Таблица1[[#This Row],[Дата рождения]]</f>
        <v>0</v>
      </c>
    </row>
    <row r="1936" spans="22:23" ht="24.95" customHeight="1" x14ac:dyDescent="0.25">
      <c r="V1936" s="2">
        <f>Таблица1[[#This Row],[Дата перевода]]-Таблица1[[#This Row],[Дата поступления]]</f>
        <v>0</v>
      </c>
      <c r="W1936" s="2">
        <f>Таблица1[[#This Row],[Дата поступления]]-Таблица1[[#This Row],[Дата рождения]]</f>
        <v>0</v>
      </c>
    </row>
    <row r="1937" spans="22:23" ht="24.95" customHeight="1" x14ac:dyDescent="0.25">
      <c r="V1937" s="2">
        <f>Таблица1[[#This Row],[Дата перевода]]-Таблица1[[#This Row],[Дата поступления]]</f>
        <v>0</v>
      </c>
      <c r="W1937" s="2">
        <f>Таблица1[[#This Row],[Дата поступления]]-Таблица1[[#This Row],[Дата рождения]]</f>
        <v>0</v>
      </c>
    </row>
    <row r="1938" spans="22:23" ht="24.95" customHeight="1" x14ac:dyDescent="0.25">
      <c r="V1938" s="2">
        <f>Таблица1[[#This Row],[Дата перевода]]-Таблица1[[#This Row],[Дата поступления]]</f>
        <v>0</v>
      </c>
      <c r="W1938" s="2">
        <f>Таблица1[[#This Row],[Дата поступления]]-Таблица1[[#This Row],[Дата рождения]]</f>
        <v>0</v>
      </c>
    </row>
    <row r="1939" spans="22:23" ht="24.95" customHeight="1" x14ac:dyDescent="0.25">
      <c r="V1939" s="2">
        <f>Таблица1[[#This Row],[Дата перевода]]-Таблица1[[#This Row],[Дата поступления]]</f>
        <v>0</v>
      </c>
      <c r="W1939" s="2">
        <f>Таблица1[[#This Row],[Дата поступления]]-Таблица1[[#This Row],[Дата рождения]]</f>
        <v>0</v>
      </c>
    </row>
    <row r="1940" spans="22:23" ht="24.95" customHeight="1" x14ac:dyDescent="0.25">
      <c r="V1940" s="2">
        <f>Таблица1[[#This Row],[Дата перевода]]-Таблица1[[#This Row],[Дата поступления]]</f>
        <v>0</v>
      </c>
      <c r="W1940" s="2">
        <f>Таблица1[[#This Row],[Дата поступления]]-Таблица1[[#This Row],[Дата рождения]]</f>
        <v>0</v>
      </c>
    </row>
    <row r="1941" spans="22:23" ht="24.95" customHeight="1" x14ac:dyDescent="0.25">
      <c r="V1941" s="2">
        <f>Таблица1[[#This Row],[Дата перевода]]-Таблица1[[#This Row],[Дата поступления]]</f>
        <v>0</v>
      </c>
      <c r="W1941" s="2">
        <f>Таблица1[[#This Row],[Дата поступления]]-Таблица1[[#This Row],[Дата рождения]]</f>
        <v>0</v>
      </c>
    </row>
    <row r="1942" spans="22:23" ht="24.95" customHeight="1" x14ac:dyDescent="0.25">
      <c r="V1942" s="2">
        <f>Таблица1[[#This Row],[Дата перевода]]-Таблица1[[#This Row],[Дата поступления]]</f>
        <v>0</v>
      </c>
      <c r="W1942" s="2">
        <f>Таблица1[[#This Row],[Дата поступления]]-Таблица1[[#This Row],[Дата рождения]]</f>
        <v>0</v>
      </c>
    </row>
    <row r="1943" spans="22:23" ht="24.95" customHeight="1" x14ac:dyDescent="0.25">
      <c r="V1943" s="2">
        <f>Таблица1[[#This Row],[Дата перевода]]-Таблица1[[#This Row],[Дата поступления]]</f>
        <v>0</v>
      </c>
      <c r="W1943" s="2">
        <f>Таблица1[[#This Row],[Дата поступления]]-Таблица1[[#This Row],[Дата рождения]]</f>
        <v>0</v>
      </c>
    </row>
    <row r="1944" spans="22:23" ht="24.95" customHeight="1" x14ac:dyDescent="0.25">
      <c r="V1944" s="2">
        <f>Таблица1[[#This Row],[Дата перевода]]-Таблица1[[#This Row],[Дата поступления]]</f>
        <v>0</v>
      </c>
      <c r="W1944" s="2">
        <f>Таблица1[[#This Row],[Дата поступления]]-Таблица1[[#This Row],[Дата рождения]]</f>
        <v>0</v>
      </c>
    </row>
    <row r="1945" spans="22:23" ht="24.95" customHeight="1" x14ac:dyDescent="0.25">
      <c r="V1945" s="2">
        <f>Таблица1[[#This Row],[Дата перевода]]-Таблица1[[#This Row],[Дата поступления]]</f>
        <v>0</v>
      </c>
      <c r="W1945" s="2">
        <f>Таблица1[[#This Row],[Дата поступления]]-Таблица1[[#This Row],[Дата рождения]]</f>
        <v>0</v>
      </c>
    </row>
    <row r="1946" spans="22:23" ht="24.95" customHeight="1" x14ac:dyDescent="0.25">
      <c r="V1946" s="2">
        <f>Таблица1[[#This Row],[Дата перевода]]-Таблица1[[#This Row],[Дата поступления]]</f>
        <v>0</v>
      </c>
      <c r="W1946" s="2">
        <f>Таблица1[[#This Row],[Дата поступления]]-Таблица1[[#This Row],[Дата рождения]]</f>
        <v>0</v>
      </c>
    </row>
    <row r="1947" spans="22:23" ht="24.95" customHeight="1" x14ac:dyDescent="0.25">
      <c r="V1947" s="2">
        <f>Таблица1[[#This Row],[Дата перевода]]-Таблица1[[#This Row],[Дата поступления]]</f>
        <v>0</v>
      </c>
      <c r="W1947" s="2">
        <f>Таблица1[[#This Row],[Дата поступления]]-Таблица1[[#This Row],[Дата рождения]]</f>
        <v>0</v>
      </c>
    </row>
    <row r="1948" spans="22:23" ht="24.95" customHeight="1" x14ac:dyDescent="0.25">
      <c r="V1948" s="2">
        <f>Таблица1[[#This Row],[Дата перевода]]-Таблица1[[#This Row],[Дата поступления]]</f>
        <v>0</v>
      </c>
      <c r="W1948" s="2">
        <f>Таблица1[[#This Row],[Дата поступления]]-Таблица1[[#This Row],[Дата рождения]]</f>
        <v>0</v>
      </c>
    </row>
    <row r="1949" spans="22:23" ht="24.95" customHeight="1" x14ac:dyDescent="0.25">
      <c r="V1949" s="2">
        <f>Таблица1[[#This Row],[Дата перевода]]-Таблица1[[#This Row],[Дата поступления]]</f>
        <v>0</v>
      </c>
      <c r="W1949" s="2">
        <f>Таблица1[[#This Row],[Дата поступления]]-Таблица1[[#This Row],[Дата рождения]]</f>
        <v>0</v>
      </c>
    </row>
    <row r="1950" spans="22:23" ht="24.95" customHeight="1" x14ac:dyDescent="0.25">
      <c r="V1950" s="2">
        <f>Таблица1[[#This Row],[Дата перевода]]-Таблица1[[#This Row],[Дата поступления]]</f>
        <v>0</v>
      </c>
      <c r="W1950" s="2">
        <f>Таблица1[[#This Row],[Дата поступления]]-Таблица1[[#This Row],[Дата рождения]]</f>
        <v>0</v>
      </c>
    </row>
    <row r="1951" spans="22:23" ht="24.95" customHeight="1" x14ac:dyDescent="0.25">
      <c r="V1951" s="2">
        <f>Таблица1[[#This Row],[Дата перевода]]-Таблица1[[#This Row],[Дата поступления]]</f>
        <v>0</v>
      </c>
      <c r="W1951" s="2">
        <f>Таблица1[[#This Row],[Дата поступления]]-Таблица1[[#This Row],[Дата рождения]]</f>
        <v>0</v>
      </c>
    </row>
    <row r="1952" spans="22:23" ht="24.95" customHeight="1" x14ac:dyDescent="0.25">
      <c r="V1952" s="2">
        <f>Таблица1[[#This Row],[Дата перевода]]-Таблица1[[#This Row],[Дата поступления]]</f>
        <v>0</v>
      </c>
      <c r="W1952" s="2">
        <f>Таблица1[[#This Row],[Дата поступления]]-Таблица1[[#This Row],[Дата рождения]]</f>
        <v>0</v>
      </c>
    </row>
    <row r="1953" spans="22:23" ht="24.95" customHeight="1" x14ac:dyDescent="0.25">
      <c r="V1953" s="2">
        <f>Таблица1[[#This Row],[Дата перевода]]-Таблица1[[#This Row],[Дата поступления]]</f>
        <v>0</v>
      </c>
      <c r="W1953" s="2">
        <f>Таблица1[[#This Row],[Дата поступления]]-Таблица1[[#This Row],[Дата рождения]]</f>
        <v>0</v>
      </c>
    </row>
    <row r="1954" spans="22:23" ht="24.95" customHeight="1" x14ac:dyDescent="0.25">
      <c r="V1954" s="2">
        <f>Таблица1[[#This Row],[Дата перевода]]-Таблица1[[#This Row],[Дата поступления]]</f>
        <v>0</v>
      </c>
      <c r="W1954" s="2">
        <f>Таблица1[[#This Row],[Дата поступления]]-Таблица1[[#This Row],[Дата рождения]]</f>
        <v>0</v>
      </c>
    </row>
    <row r="1955" spans="22:23" ht="24.95" customHeight="1" x14ac:dyDescent="0.25">
      <c r="V1955" s="2">
        <f>Таблица1[[#This Row],[Дата перевода]]-Таблица1[[#This Row],[Дата поступления]]</f>
        <v>0</v>
      </c>
      <c r="W1955" s="2">
        <f>Таблица1[[#This Row],[Дата поступления]]-Таблица1[[#This Row],[Дата рождения]]</f>
        <v>0</v>
      </c>
    </row>
    <row r="1956" spans="22:23" ht="24.95" customHeight="1" x14ac:dyDescent="0.25">
      <c r="V1956" s="2">
        <f>Таблица1[[#This Row],[Дата перевода]]-Таблица1[[#This Row],[Дата поступления]]</f>
        <v>0</v>
      </c>
      <c r="W1956" s="2">
        <f>Таблица1[[#This Row],[Дата поступления]]-Таблица1[[#This Row],[Дата рождения]]</f>
        <v>0</v>
      </c>
    </row>
    <row r="1957" spans="22:23" ht="24.95" customHeight="1" x14ac:dyDescent="0.25">
      <c r="V1957" s="2">
        <f>Таблица1[[#This Row],[Дата перевода]]-Таблица1[[#This Row],[Дата поступления]]</f>
        <v>0</v>
      </c>
      <c r="W1957" s="2">
        <f>Таблица1[[#This Row],[Дата поступления]]-Таблица1[[#This Row],[Дата рождения]]</f>
        <v>0</v>
      </c>
    </row>
    <row r="1958" spans="22:23" ht="24.95" customHeight="1" x14ac:dyDescent="0.25">
      <c r="V1958" s="2">
        <f>Таблица1[[#This Row],[Дата перевода]]-Таблица1[[#This Row],[Дата поступления]]</f>
        <v>0</v>
      </c>
      <c r="W1958" s="2">
        <f>Таблица1[[#This Row],[Дата поступления]]-Таблица1[[#This Row],[Дата рождения]]</f>
        <v>0</v>
      </c>
    </row>
    <row r="1959" spans="22:23" ht="24.95" customHeight="1" x14ac:dyDescent="0.25">
      <c r="V1959" s="2">
        <f>Таблица1[[#This Row],[Дата перевода]]-Таблица1[[#This Row],[Дата поступления]]</f>
        <v>0</v>
      </c>
      <c r="W1959" s="2">
        <f>Таблица1[[#This Row],[Дата поступления]]-Таблица1[[#This Row],[Дата рождения]]</f>
        <v>0</v>
      </c>
    </row>
    <row r="1960" spans="22:23" ht="24.95" customHeight="1" x14ac:dyDescent="0.25">
      <c r="V1960" s="2">
        <f>Таблица1[[#This Row],[Дата перевода]]-Таблица1[[#This Row],[Дата поступления]]</f>
        <v>0</v>
      </c>
      <c r="W1960" s="2">
        <f>Таблица1[[#This Row],[Дата поступления]]-Таблица1[[#This Row],[Дата рождения]]</f>
        <v>0</v>
      </c>
    </row>
    <row r="1961" spans="22:23" ht="24.95" customHeight="1" x14ac:dyDescent="0.25">
      <c r="V1961" s="2">
        <f>Таблица1[[#This Row],[Дата перевода]]-Таблица1[[#This Row],[Дата поступления]]</f>
        <v>0</v>
      </c>
      <c r="W1961" s="2">
        <f>Таблица1[[#This Row],[Дата поступления]]-Таблица1[[#This Row],[Дата рождения]]</f>
        <v>0</v>
      </c>
    </row>
    <row r="1962" spans="22:23" ht="24.95" customHeight="1" x14ac:dyDescent="0.25">
      <c r="V1962" s="2">
        <f>Таблица1[[#This Row],[Дата перевода]]-Таблица1[[#This Row],[Дата поступления]]</f>
        <v>0</v>
      </c>
      <c r="W1962" s="2">
        <f>Таблица1[[#This Row],[Дата поступления]]-Таблица1[[#This Row],[Дата рождения]]</f>
        <v>0</v>
      </c>
    </row>
    <row r="1963" spans="22:23" ht="24.95" customHeight="1" x14ac:dyDescent="0.25">
      <c r="V1963" s="2">
        <f>Таблица1[[#This Row],[Дата перевода]]-Таблица1[[#This Row],[Дата поступления]]</f>
        <v>0</v>
      </c>
      <c r="W1963" s="2">
        <f>Таблица1[[#This Row],[Дата поступления]]-Таблица1[[#This Row],[Дата рождения]]</f>
        <v>0</v>
      </c>
    </row>
    <row r="1964" spans="22:23" ht="24.95" customHeight="1" x14ac:dyDescent="0.25">
      <c r="V1964" s="2">
        <f>Таблица1[[#This Row],[Дата перевода]]-Таблица1[[#This Row],[Дата поступления]]</f>
        <v>0</v>
      </c>
      <c r="W1964" s="2">
        <f>Таблица1[[#This Row],[Дата поступления]]-Таблица1[[#This Row],[Дата рождения]]</f>
        <v>0</v>
      </c>
    </row>
    <row r="1965" spans="22:23" ht="24.95" customHeight="1" x14ac:dyDescent="0.25">
      <c r="V1965" s="2">
        <f>Таблица1[[#This Row],[Дата перевода]]-Таблица1[[#This Row],[Дата поступления]]</f>
        <v>0</v>
      </c>
      <c r="W1965" s="2">
        <f>Таблица1[[#This Row],[Дата поступления]]-Таблица1[[#This Row],[Дата рождения]]</f>
        <v>0</v>
      </c>
    </row>
    <row r="1966" spans="22:23" ht="24.95" customHeight="1" x14ac:dyDescent="0.25">
      <c r="V1966" s="2">
        <f>Таблица1[[#This Row],[Дата перевода]]-Таблица1[[#This Row],[Дата поступления]]</f>
        <v>0</v>
      </c>
      <c r="W1966" s="2">
        <f>Таблица1[[#This Row],[Дата поступления]]-Таблица1[[#This Row],[Дата рождения]]</f>
        <v>0</v>
      </c>
    </row>
    <row r="1967" spans="22:23" ht="24.95" customHeight="1" x14ac:dyDescent="0.25">
      <c r="V1967" s="2">
        <f>Таблица1[[#This Row],[Дата перевода]]-Таблица1[[#This Row],[Дата поступления]]</f>
        <v>0</v>
      </c>
      <c r="W1967" s="2">
        <f>Таблица1[[#This Row],[Дата поступления]]-Таблица1[[#This Row],[Дата рождения]]</f>
        <v>0</v>
      </c>
    </row>
    <row r="1968" spans="22:23" ht="24.95" customHeight="1" x14ac:dyDescent="0.25">
      <c r="V1968" s="2">
        <f>Таблица1[[#This Row],[Дата перевода]]-Таблица1[[#This Row],[Дата поступления]]</f>
        <v>0</v>
      </c>
      <c r="W1968" s="2">
        <f>Таблица1[[#This Row],[Дата поступления]]-Таблица1[[#This Row],[Дата рождения]]</f>
        <v>0</v>
      </c>
    </row>
    <row r="1969" spans="22:23" ht="24.95" customHeight="1" x14ac:dyDescent="0.25">
      <c r="V1969" s="2">
        <f>Таблица1[[#This Row],[Дата перевода]]-Таблица1[[#This Row],[Дата поступления]]</f>
        <v>0</v>
      </c>
      <c r="W1969" s="2">
        <f>Таблица1[[#This Row],[Дата поступления]]-Таблица1[[#This Row],[Дата рождения]]</f>
        <v>0</v>
      </c>
    </row>
    <row r="1970" spans="22:23" ht="24.95" customHeight="1" x14ac:dyDescent="0.25">
      <c r="V1970" s="2">
        <f>Таблица1[[#This Row],[Дата перевода]]-Таблица1[[#This Row],[Дата поступления]]</f>
        <v>0</v>
      </c>
      <c r="W1970" s="2">
        <f>Таблица1[[#This Row],[Дата поступления]]-Таблица1[[#This Row],[Дата рождения]]</f>
        <v>0</v>
      </c>
    </row>
    <row r="1971" spans="22:23" ht="24.95" customHeight="1" x14ac:dyDescent="0.25">
      <c r="V1971" s="2">
        <f>Таблица1[[#This Row],[Дата перевода]]-Таблица1[[#This Row],[Дата поступления]]</f>
        <v>0</v>
      </c>
      <c r="W1971" s="2">
        <f>Таблица1[[#This Row],[Дата поступления]]-Таблица1[[#This Row],[Дата рождения]]</f>
        <v>0</v>
      </c>
    </row>
    <row r="1972" spans="22:23" ht="24.95" customHeight="1" x14ac:dyDescent="0.25">
      <c r="V1972" s="2">
        <f>Таблица1[[#This Row],[Дата перевода]]-Таблица1[[#This Row],[Дата поступления]]</f>
        <v>0</v>
      </c>
      <c r="W1972" s="2">
        <f>Таблица1[[#This Row],[Дата поступления]]-Таблица1[[#This Row],[Дата рождения]]</f>
        <v>0</v>
      </c>
    </row>
    <row r="1973" spans="22:23" ht="24.95" customHeight="1" x14ac:dyDescent="0.25">
      <c r="V1973" s="2">
        <f>Таблица1[[#This Row],[Дата перевода]]-Таблица1[[#This Row],[Дата поступления]]</f>
        <v>0</v>
      </c>
      <c r="W1973" s="2">
        <f>Таблица1[[#This Row],[Дата поступления]]-Таблица1[[#This Row],[Дата рождения]]</f>
        <v>0</v>
      </c>
    </row>
    <row r="1974" spans="22:23" ht="24.95" customHeight="1" x14ac:dyDescent="0.25">
      <c r="V1974" s="2">
        <f>Таблица1[[#This Row],[Дата перевода]]-Таблица1[[#This Row],[Дата поступления]]</f>
        <v>0</v>
      </c>
      <c r="W1974" s="2">
        <f>Таблица1[[#This Row],[Дата поступления]]-Таблица1[[#This Row],[Дата рождения]]</f>
        <v>0</v>
      </c>
    </row>
    <row r="1975" spans="22:23" ht="24.95" customHeight="1" x14ac:dyDescent="0.25">
      <c r="V1975" s="2">
        <f>Таблица1[[#This Row],[Дата перевода]]-Таблица1[[#This Row],[Дата поступления]]</f>
        <v>0</v>
      </c>
      <c r="W1975" s="2">
        <f>Таблица1[[#This Row],[Дата поступления]]-Таблица1[[#This Row],[Дата рождения]]</f>
        <v>0</v>
      </c>
    </row>
    <row r="1976" spans="22:23" ht="24.95" customHeight="1" x14ac:dyDescent="0.25">
      <c r="V1976" s="2">
        <f>Таблица1[[#This Row],[Дата перевода]]-Таблица1[[#This Row],[Дата поступления]]</f>
        <v>0</v>
      </c>
      <c r="W1976" s="2">
        <f>Таблица1[[#This Row],[Дата поступления]]-Таблица1[[#This Row],[Дата рождения]]</f>
        <v>0</v>
      </c>
    </row>
    <row r="1977" spans="22:23" ht="24.95" customHeight="1" x14ac:dyDescent="0.25">
      <c r="V1977" s="2">
        <f>Таблица1[[#This Row],[Дата перевода]]-Таблица1[[#This Row],[Дата поступления]]</f>
        <v>0</v>
      </c>
      <c r="W1977" s="2">
        <f>Таблица1[[#This Row],[Дата поступления]]-Таблица1[[#This Row],[Дата рождения]]</f>
        <v>0</v>
      </c>
    </row>
    <row r="1978" spans="22:23" ht="24.95" customHeight="1" x14ac:dyDescent="0.25">
      <c r="V1978" s="2">
        <f>Таблица1[[#This Row],[Дата перевода]]-Таблица1[[#This Row],[Дата поступления]]</f>
        <v>0</v>
      </c>
      <c r="W1978" s="2">
        <f>Таблица1[[#This Row],[Дата поступления]]-Таблица1[[#This Row],[Дата рождения]]</f>
        <v>0</v>
      </c>
    </row>
    <row r="1979" spans="22:23" ht="24.95" customHeight="1" x14ac:dyDescent="0.25">
      <c r="V1979" s="2">
        <f>Таблица1[[#This Row],[Дата перевода]]-Таблица1[[#This Row],[Дата поступления]]</f>
        <v>0</v>
      </c>
      <c r="W1979" s="2">
        <f>Таблица1[[#This Row],[Дата поступления]]-Таблица1[[#This Row],[Дата рождения]]</f>
        <v>0</v>
      </c>
    </row>
    <row r="1980" spans="22:23" ht="24.95" customHeight="1" x14ac:dyDescent="0.25">
      <c r="V1980" s="2">
        <f>Таблица1[[#This Row],[Дата перевода]]-Таблица1[[#This Row],[Дата поступления]]</f>
        <v>0</v>
      </c>
      <c r="W1980" s="2">
        <f>Таблица1[[#This Row],[Дата поступления]]-Таблица1[[#This Row],[Дата рождения]]</f>
        <v>0</v>
      </c>
    </row>
    <row r="1981" spans="22:23" ht="24.95" customHeight="1" x14ac:dyDescent="0.25">
      <c r="V1981" s="2">
        <f>Таблица1[[#This Row],[Дата перевода]]-Таблица1[[#This Row],[Дата поступления]]</f>
        <v>0</v>
      </c>
      <c r="W1981" s="2">
        <f>Таблица1[[#This Row],[Дата поступления]]-Таблица1[[#This Row],[Дата рождения]]</f>
        <v>0</v>
      </c>
    </row>
    <row r="1982" spans="22:23" ht="24.95" customHeight="1" x14ac:dyDescent="0.25">
      <c r="V1982" s="2">
        <f>Таблица1[[#This Row],[Дата перевода]]-Таблица1[[#This Row],[Дата поступления]]</f>
        <v>0</v>
      </c>
      <c r="W1982" s="2">
        <f>Таблица1[[#This Row],[Дата поступления]]-Таблица1[[#This Row],[Дата рождения]]</f>
        <v>0</v>
      </c>
    </row>
    <row r="1983" spans="22:23" ht="24.95" customHeight="1" x14ac:dyDescent="0.25">
      <c r="V1983" s="2">
        <f>Таблица1[[#This Row],[Дата перевода]]-Таблица1[[#This Row],[Дата поступления]]</f>
        <v>0</v>
      </c>
      <c r="W1983" s="2">
        <f>Таблица1[[#This Row],[Дата поступления]]-Таблица1[[#This Row],[Дата рождения]]</f>
        <v>0</v>
      </c>
    </row>
    <row r="1984" spans="22:23" ht="24.95" customHeight="1" x14ac:dyDescent="0.25">
      <c r="V1984" s="2">
        <f>Таблица1[[#This Row],[Дата перевода]]-Таблица1[[#This Row],[Дата поступления]]</f>
        <v>0</v>
      </c>
      <c r="W1984" s="2">
        <f>Таблица1[[#This Row],[Дата поступления]]-Таблица1[[#This Row],[Дата рождения]]</f>
        <v>0</v>
      </c>
    </row>
    <row r="1985" spans="22:23" ht="24.95" customHeight="1" x14ac:dyDescent="0.25">
      <c r="V1985" s="2">
        <f>Таблица1[[#This Row],[Дата перевода]]-Таблица1[[#This Row],[Дата поступления]]</f>
        <v>0</v>
      </c>
      <c r="W1985" s="2">
        <f>Таблица1[[#This Row],[Дата поступления]]-Таблица1[[#This Row],[Дата рождения]]</f>
        <v>0</v>
      </c>
    </row>
    <row r="1986" spans="22:23" ht="24.95" customHeight="1" x14ac:dyDescent="0.25">
      <c r="V1986" s="2">
        <f>Таблица1[[#This Row],[Дата перевода]]-Таблица1[[#This Row],[Дата поступления]]</f>
        <v>0</v>
      </c>
      <c r="W1986" s="2">
        <f>Таблица1[[#This Row],[Дата поступления]]-Таблица1[[#This Row],[Дата рождения]]</f>
        <v>0</v>
      </c>
    </row>
    <row r="1987" spans="22:23" ht="24.95" customHeight="1" x14ac:dyDescent="0.25">
      <c r="V1987" s="2">
        <f>Таблица1[[#This Row],[Дата перевода]]-Таблица1[[#This Row],[Дата поступления]]</f>
        <v>0</v>
      </c>
      <c r="W1987" s="2">
        <f>Таблица1[[#This Row],[Дата поступления]]-Таблица1[[#This Row],[Дата рождения]]</f>
        <v>0</v>
      </c>
    </row>
    <row r="1988" spans="22:23" ht="24.95" customHeight="1" x14ac:dyDescent="0.25">
      <c r="V1988" s="2">
        <f>Таблица1[[#This Row],[Дата перевода]]-Таблица1[[#This Row],[Дата поступления]]</f>
        <v>0</v>
      </c>
      <c r="W1988" s="2">
        <f>Таблица1[[#This Row],[Дата поступления]]-Таблица1[[#This Row],[Дата рождения]]</f>
        <v>0</v>
      </c>
    </row>
    <row r="1989" spans="22:23" ht="24.95" customHeight="1" x14ac:dyDescent="0.25">
      <c r="V1989" s="2">
        <f>Таблица1[[#This Row],[Дата перевода]]-Таблица1[[#This Row],[Дата поступления]]</f>
        <v>0</v>
      </c>
      <c r="W1989" s="2">
        <f>Таблица1[[#This Row],[Дата поступления]]-Таблица1[[#This Row],[Дата рождения]]</f>
        <v>0</v>
      </c>
    </row>
    <row r="1990" spans="22:23" ht="24.95" customHeight="1" x14ac:dyDescent="0.25">
      <c r="V1990" s="2">
        <f>Таблица1[[#This Row],[Дата перевода]]-Таблица1[[#This Row],[Дата поступления]]</f>
        <v>0</v>
      </c>
      <c r="W1990" s="2">
        <f>Таблица1[[#This Row],[Дата поступления]]-Таблица1[[#This Row],[Дата рождения]]</f>
        <v>0</v>
      </c>
    </row>
    <row r="1991" spans="22:23" ht="24.95" customHeight="1" x14ac:dyDescent="0.25">
      <c r="V1991" s="2">
        <f>Таблица1[[#This Row],[Дата перевода]]-Таблица1[[#This Row],[Дата поступления]]</f>
        <v>0</v>
      </c>
      <c r="W1991" s="2">
        <f>Таблица1[[#This Row],[Дата поступления]]-Таблица1[[#This Row],[Дата рождения]]</f>
        <v>0</v>
      </c>
    </row>
    <row r="1992" spans="22:23" ht="24.95" customHeight="1" x14ac:dyDescent="0.25">
      <c r="V1992" s="2">
        <f>Таблица1[[#This Row],[Дата перевода]]-Таблица1[[#This Row],[Дата поступления]]</f>
        <v>0</v>
      </c>
      <c r="W1992" s="2">
        <f>Таблица1[[#This Row],[Дата поступления]]-Таблица1[[#This Row],[Дата рождения]]</f>
        <v>0</v>
      </c>
    </row>
    <row r="1993" spans="22:23" ht="24.95" customHeight="1" x14ac:dyDescent="0.25">
      <c r="V1993" s="2">
        <f>Таблица1[[#This Row],[Дата перевода]]-Таблица1[[#This Row],[Дата поступления]]</f>
        <v>0</v>
      </c>
      <c r="W1993" s="2">
        <f>Таблица1[[#This Row],[Дата поступления]]-Таблица1[[#This Row],[Дата рождения]]</f>
        <v>0</v>
      </c>
    </row>
    <row r="1994" spans="22:23" ht="24.95" customHeight="1" x14ac:dyDescent="0.25">
      <c r="V1994" s="2">
        <f>Таблица1[[#This Row],[Дата перевода]]-Таблица1[[#This Row],[Дата поступления]]</f>
        <v>0</v>
      </c>
      <c r="W1994" s="2">
        <f>Таблица1[[#This Row],[Дата поступления]]-Таблица1[[#This Row],[Дата рождения]]</f>
        <v>0</v>
      </c>
    </row>
    <row r="1995" spans="22:23" ht="24.95" customHeight="1" x14ac:dyDescent="0.25">
      <c r="V1995" s="2">
        <f>Таблица1[[#This Row],[Дата перевода]]-Таблица1[[#This Row],[Дата поступления]]</f>
        <v>0</v>
      </c>
      <c r="W1995" s="2">
        <f>Таблица1[[#This Row],[Дата поступления]]-Таблица1[[#This Row],[Дата рождения]]</f>
        <v>0</v>
      </c>
    </row>
    <row r="1996" spans="22:23" ht="24.95" customHeight="1" x14ac:dyDescent="0.25">
      <c r="V1996" s="2">
        <f>Таблица1[[#This Row],[Дата перевода]]-Таблица1[[#This Row],[Дата поступления]]</f>
        <v>0</v>
      </c>
      <c r="W1996" s="2">
        <f>Таблица1[[#This Row],[Дата поступления]]-Таблица1[[#This Row],[Дата рождения]]</f>
        <v>0</v>
      </c>
    </row>
    <row r="1997" spans="22:23" ht="24.95" customHeight="1" x14ac:dyDescent="0.25">
      <c r="V1997" s="2">
        <f>Таблица1[[#This Row],[Дата перевода]]-Таблица1[[#This Row],[Дата поступления]]</f>
        <v>0</v>
      </c>
      <c r="W1997" s="2">
        <f>Таблица1[[#This Row],[Дата поступления]]-Таблица1[[#This Row],[Дата рождения]]</f>
        <v>0</v>
      </c>
    </row>
    <row r="1998" spans="22:23" ht="24.95" customHeight="1" x14ac:dyDescent="0.25">
      <c r="V1998" s="2">
        <f>Таблица1[[#This Row],[Дата перевода]]-Таблица1[[#This Row],[Дата поступления]]</f>
        <v>0</v>
      </c>
      <c r="W1998" s="2">
        <f>Таблица1[[#This Row],[Дата поступления]]-Таблица1[[#This Row],[Дата рождения]]</f>
        <v>0</v>
      </c>
    </row>
    <row r="1999" spans="22:23" ht="24.95" customHeight="1" x14ac:dyDescent="0.25">
      <c r="V1999" s="2">
        <f>Таблица1[[#This Row],[Дата перевода]]-Таблица1[[#This Row],[Дата поступления]]</f>
        <v>0</v>
      </c>
      <c r="W1999" s="2">
        <f>Таблица1[[#This Row],[Дата поступления]]-Таблица1[[#This Row],[Дата рождения]]</f>
        <v>0</v>
      </c>
    </row>
    <row r="2000" spans="22:23" ht="24.95" customHeight="1" x14ac:dyDescent="0.25">
      <c r="V2000" s="2">
        <f>Таблица1[[#This Row],[Дата перевода]]-Таблица1[[#This Row],[Дата поступления]]</f>
        <v>0</v>
      </c>
      <c r="W2000" s="2">
        <f>Таблица1[[#This Row],[Дата поступления]]-Таблица1[[#This Row],[Дата рождения]]</f>
        <v>0</v>
      </c>
    </row>
    <row r="2001" spans="22:23" ht="24.95" customHeight="1" x14ac:dyDescent="0.25">
      <c r="V2001" s="2">
        <f>Таблица1[[#This Row],[Дата перевода]]-Таблица1[[#This Row],[Дата поступления]]</f>
        <v>0</v>
      </c>
      <c r="W2001" s="2">
        <f>Таблица1[[#This Row],[Дата поступления]]-Таблица1[[#This Row],[Дата рождения]]</f>
        <v>0</v>
      </c>
    </row>
    <row r="2002" spans="22:23" ht="24.95" customHeight="1" x14ac:dyDescent="0.25">
      <c r="V2002" s="2">
        <f>Таблица1[[#This Row],[Дата перевода]]-Таблица1[[#This Row],[Дата поступления]]</f>
        <v>0</v>
      </c>
      <c r="W2002" s="2">
        <f>Таблица1[[#This Row],[Дата поступления]]-Таблица1[[#This Row],[Дата рождения]]</f>
        <v>0</v>
      </c>
    </row>
    <row r="2003" spans="22:23" ht="24.95" customHeight="1" x14ac:dyDescent="0.25">
      <c r="V2003" s="2">
        <f>Таблица1[[#This Row],[Дата перевода]]-Таблица1[[#This Row],[Дата поступления]]</f>
        <v>0</v>
      </c>
      <c r="W2003" s="2">
        <f>Таблица1[[#This Row],[Дата поступления]]-Таблица1[[#This Row],[Дата рождения]]</f>
        <v>0</v>
      </c>
    </row>
    <row r="2004" spans="22:23" ht="24.95" customHeight="1" x14ac:dyDescent="0.25">
      <c r="V2004" s="2">
        <f>Таблица1[[#This Row],[Дата перевода]]-Таблица1[[#This Row],[Дата поступления]]</f>
        <v>0</v>
      </c>
      <c r="W2004" s="2">
        <f>Таблица1[[#This Row],[Дата поступления]]-Таблица1[[#This Row],[Дата рождения]]</f>
        <v>0</v>
      </c>
    </row>
    <row r="2005" spans="22:23" ht="24.95" customHeight="1" x14ac:dyDescent="0.25">
      <c r="V2005" s="2">
        <f>Таблица1[[#This Row],[Дата перевода]]-Таблица1[[#This Row],[Дата поступления]]</f>
        <v>0</v>
      </c>
      <c r="W2005" s="2">
        <f>Таблица1[[#This Row],[Дата поступления]]-Таблица1[[#This Row],[Дата рождения]]</f>
        <v>0</v>
      </c>
    </row>
    <row r="2006" spans="22:23" ht="24.95" customHeight="1" x14ac:dyDescent="0.25">
      <c r="V2006" s="2">
        <f>Таблица1[[#This Row],[Дата перевода]]-Таблица1[[#This Row],[Дата поступления]]</f>
        <v>0</v>
      </c>
      <c r="W2006" s="2">
        <f>Таблица1[[#This Row],[Дата поступления]]-Таблица1[[#This Row],[Дата рождения]]</f>
        <v>0</v>
      </c>
    </row>
    <row r="2007" spans="22:23" ht="24.95" customHeight="1" x14ac:dyDescent="0.25">
      <c r="V2007" s="2">
        <f>Таблица1[[#This Row],[Дата перевода]]-Таблица1[[#This Row],[Дата поступления]]</f>
        <v>0</v>
      </c>
      <c r="W2007" s="2">
        <f>Таблица1[[#This Row],[Дата поступления]]-Таблица1[[#This Row],[Дата рождения]]</f>
        <v>0</v>
      </c>
    </row>
    <row r="2008" spans="22:23" ht="24.95" customHeight="1" x14ac:dyDescent="0.25">
      <c r="V2008" s="2">
        <f>Таблица1[[#This Row],[Дата перевода]]-Таблица1[[#This Row],[Дата поступления]]</f>
        <v>0</v>
      </c>
      <c r="W2008" s="2">
        <f>Таблица1[[#This Row],[Дата поступления]]-Таблица1[[#This Row],[Дата рождения]]</f>
        <v>0</v>
      </c>
    </row>
    <row r="2009" spans="22:23" ht="24.95" customHeight="1" x14ac:dyDescent="0.25">
      <c r="V2009" s="2">
        <f>Таблица1[[#This Row],[Дата перевода]]-Таблица1[[#This Row],[Дата поступления]]</f>
        <v>0</v>
      </c>
      <c r="W2009" s="2">
        <f>Таблица1[[#This Row],[Дата поступления]]-Таблица1[[#This Row],[Дата рождения]]</f>
        <v>0</v>
      </c>
    </row>
    <row r="2010" spans="22:23" ht="24.95" customHeight="1" x14ac:dyDescent="0.25">
      <c r="V2010" s="2">
        <f>Таблица1[[#This Row],[Дата перевода]]-Таблица1[[#This Row],[Дата поступления]]</f>
        <v>0</v>
      </c>
      <c r="W2010" s="2">
        <f>Таблица1[[#This Row],[Дата поступления]]-Таблица1[[#This Row],[Дата рождения]]</f>
        <v>0</v>
      </c>
    </row>
    <row r="2011" spans="22:23" ht="24.95" customHeight="1" x14ac:dyDescent="0.25">
      <c r="V2011" s="2">
        <f>Таблица1[[#This Row],[Дата перевода]]-Таблица1[[#This Row],[Дата поступления]]</f>
        <v>0</v>
      </c>
      <c r="W2011" s="2">
        <f>Таблица1[[#This Row],[Дата поступления]]-Таблица1[[#This Row],[Дата рождения]]</f>
        <v>0</v>
      </c>
    </row>
    <row r="2012" spans="22:23" ht="24.95" customHeight="1" x14ac:dyDescent="0.25">
      <c r="V2012" s="2">
        <f>Таблица1[[#This Row],[Дата перевода]]-Таблица1[[#This Row],[Дата поступления]]</f>
        <v>0</v>
      </c>
      <c r="W2012" s="2">
        <f>Таблица1[[#This Row],[Дата поступления]]-Таблица1[[#This Row],[Дата рождения]]</f>
        <v>0</v>
      </c>
    </row>
    <row r="2013" spans="22:23" ht="24.95" customHeight="1" x14ac:dyDescent="0.25">
      <c r="V2013" s="2">
        <f>Таблица1[[#This Row],[Дата перевода]]-Таблица1[[#This Row],[Дата поступления]]</f>
        <v>0</v>
      </c>
      <c r="W2013" s="2">
        <f>Таблица1[[#This Row],[Дата поступления]]-Таблица1[[#This Row],[Дата рождения]]</f>
        <v>0</v>
      </c>
    </row>
    <row r="2014" spans="22:23" ht="24.95" customHeight="1" x14ac:dyDescent="0.25">
      <c r="V2014" s="2">
        <f>Таблица1[[#This Row],[Дата перевода]]-Таблица1[[#This Row],[Дата поступления]]</f>
        <v>0</v>
      </c>
      <c r="W2014" s="2">
        <f>Таблица1[[#This Row],[Дата поступления]]-Таблица1[[#This Row],[Дата рождения]]</f>
        <v>0</v>
      </c>
    </row>
    <row r="2015" spans="22:23" ht="24.95" customHeight="1" x14ac:dyDescent="0.25">
      <c r="V2015" s="2">
        <f>Таблица1[[#This Row],[Дата перевода]]-Таблица1[[#This Row],[Дата поступления]]</f>
        <v>0</v>
      </c>
      <c r="W2015" s="2">
        <f>Таблица1[[#This Row],[Дата поступления]]-Таблица1[[#This Row],[Дата рождения]]</f>
        <v>0</v>
      </c>
    </row>
    <row r="2016" spans="22:23" ht="24.95" customHeight="1" x14ac:dyDescent="0.25">
      <c r="V2016" s="2">
        <f>Таблица1[[#This Row],[Дата перевода]]-Таблица1[[#This Row],[Дата поступления]]</f>
        <v>0</v>
      </c>
      <c r="W2016" s="2">
        <f>Таблица1[[#This Row],[Дата поступления]]-Таблица1[[#This Row],[Дата рождения]]</f>
        <v>0</v>
      </c>
    </row>
    <row r="2017" spans="22:23" ht="24.95" customHeight="1" x14ac:dyDescent="0.25">
      <c r="V2017" s="2">
        <f>Таблица1[[#This Row],[Дата перевода]]-Таблица1[[#This Row],[Дата поступления]]</f>
        <v>0</v>
      </c>
      <c r="W2017" s="2">
        <f>Таблица1[[#This Row],[Дата поступления]]-Таблица1[[#This Row],[Дата рождения]]</f>
        <v>0</v>
      </c>
    </row>
    <row r="2018" spans="22:23" ht="24.95" customHeight="1" x14ac:dyDescent="0.25">
      <c r="V2018" s="2">
        <f>Таблица1[[#This Row],[Дата перевода]]-Таблица1[[#This Row],[Дата поступления]]</f>
        <v>0</v>
      </c>
      <c r="W2018" s="2">
        <f>Таблица1[[#This Row],[Дата поступления]]-Таблица1[[#This Row],[Дата рождения]]</f>
        <v>0</v>
      </c>
    </row>
    <row r="2019" spans="22:23" ht="24.95" customHeight="1" x14ac:dyDescent="0.25">
      <c r="V2019" s="2">
        <f>Таблица1[[#This Row],[Дата перевода]]-Таблица1[[#This Row],[Дата поступления]]</f>
        <v>0</v>
      </c>
      <c r="W2019" s="2">
        <f>Таблица1[[#This Row],[Дата поступления]]-Таблица1[[#This Row],[Дата рождения]]</f>
        <v>0</v>
      </c>
    </row>
    <row r="2020" spans="22:23" ht="24.95" customHeight="1" x14ac:dyDescent="0.25">
      <c r="V2020" s="2">
        <f>Таблица1[[#This Row],[Дата перевода]]-Таблица1[[#This Row],[Дата поступления]]</f>
        <v>0</v>
      </c>
      <c r="W2020" s="2">
        <f>Таблица1[[#This Row],[Дата поступления]]-Таблица1[[#This Row],[Дата рождения]]</f>
        <v>0</v>
      </c>
    </row>
    <row r="2021" spans="22:23" ht="24.95" customHeight="1" x14ac:dyDescent="0.25">
      <c r="V2021" s="2">
        <f>Таблица1[[#This Row],[Дата перевода]]-Таблица1[[#This Row],[Дата поступления]]</f>
        <v>0</v>
      </c>
      <c r="W2021" s="2">
        <f>Таблица1[[#This Row],[Дата поступления]]-Таблица1[[#This Row],[Дата рождения]]</f>
        <v>0</v>
      </c>
    </row>
    <row r="2022" spans="22:23" ht="24.95" customHeight="1" x14ac:dyDescent="0.25">
      <c r="V2022" s="2">
        <f>Таблица1[[#This Row],[Дата перевода]]-Таблица1[[#This Row],[Дата поступления]]</f>
        <v>0</v>
      </c>
      <c r="W2022" s="2">
        <f>Таблица1[[#This Row],[Дата поступления]]-Таблица1[[#This Row],[Дата рождения]]</f>
        <v>0</v>
      </c>
    </row>
    <row r="2023" spans="22:23" ht="24.95" customHeight="1" x14ac:dyDescent="0.25">
      <c r="V2023" s="2">
        <f>Таблица1[[#This Row],[Дата перевода]]-Таблица1[[#This Row],[Дата поступления]]</f>
        <v>0</v>
      </c>
      <c r="W2023" s="2">
        <f>Таблица1[[#This Row],[Дата поступления]]-Таблица1[[#This Row],[Дата рождения]]</f>
        <v>0</v>
      </c>
    </row>
    <row r="2024" spans="22:23" ht="24.95" customHeight="1" x14ac:dyDescent="0.25">
      <c r="V2024" s="2">
        <f>Таблица1[[#This Row],[Дата перевода]]-Таблица1[[#This Row],[Дата поступления]]</f>
        <v>0</v>
      </c>
      <c r="W2024" s="2">
        <f>Таблица1[[#This Row],[Дата поступления]]-Таблица1[[#This Row],[Дата рождения]]</f>
        <v>0</v>
      </c>
    </row>
    <row r="2025" spans="22:23" ht="24.95" customHeight="1" x14ac:dyDescent="0.25">
      <c r="V2025" s="2">
        <f>Таблица1[[#This Row],[Дата перевода]]-Таблица1[[#This Row],[Дата поступления]]</f>
        <v>0</v>
      </c>
      <c r="W2025" s="2">
        <f>Таблица1[[#This Row],[Дата поступления]]-Таблица1[[#This Row],[Дата рождения]]</f>
        <v>0</v>
      </c>
    </row>
    <row r="2026" spans="22:23" ht="24.95" customHeight="1" x14ac:dyDescent="0.25">
      <c r="V2026" s="2">
        <f>Таблица1[[#This Row],[Дата перевода]]-Таблица1[[#This Row],[Дата поступления]]</f>
        <v>0</v>
      </c>
      <c r="W2026" s="2">
        <f>Таблица1[[#This Row],[Дата поступления]]-Таблица1[[#This Row],[Дата рождения]]</f>
        <v>0</v>
      </c>
    </row>
    <row r="2027" spans="22:23" ht="24.95" customHeight="1" x14ac:dyDescent="0.25">
      <c r="V2027" s="2">
        <f>Таблица1[[#This Row],[Дата перевода]]-Таблица1[[#This Row],[Дата поступления]]</f>
        <v>0</v>
      </c>
      <c r="W2027" s="2">
        <f>Таблица1[[#This Row],[Дата поступления]]-Таблица1[[#This Row],[Дата рождения]]</f>
        <v>0</v>
      </c>
    </row>
    <row r="2028" spans="22:23" ht="24.95" customHeight="1" x14ac:dyDescent="0.25">
      <c r="V2028" s="2">
        <f>Таблица1[[#This Row],[Дата перевода]]-Таблица1[[#This Row],[Дата поступления]]</f>
        <v>0</v>
      </c>
      <c r="W2028" s="2">
        <f>Таблица1[[#This Row],[Дата поступления]]-Таблица1[[#This Row],[Дата рождения]]</f>
        <v>0</v>
      </c>
    </row>
    <row r="2029" spans="22:23" ht="24.95" customHeight="1" x14ac:dyDescent="0.25">
      <c r="V2029" s="2">
        <f>Таблица1[[#This Row],[Дата перевода]]-Таблица1[[#This Row],[Дата поступления]]</f>
        <v>0</v>
      </c>
      <c r="W2029" s="2">
        <f>Таблица1[[#This Row],[Дата поступления]]-Таблица1[[#This Row],[Дата рождения]]</f>
        <v>0</v>
      </c>
    </row>
    <row r="2030" spans="22:23" ht="24.95" customHeight="1" x14ac:dyDescent="0.25">
      <c r="V2030" s="2">
        <f>Таблица1[[#This Row],[Дата перевода]]-Таблица1[[#This Row],[Дата поступления]]</f>
        <v>0</v>
      </c>
      <c r="W2030" s="2">
        <f>Таблица1[[#This Row],[Дата поступления]]-Таблица1[[#This Row],[Дата рождения]]</f>
        <v>0</v>
      </c>
    </row>
    <row r="2031" spans="22:23" ht="24.95" customHeight="1" x14ac:dyDescent="0.25">
      <c r="V2031" s="2">
        <f>Таблица1[[#This Row],[Дата перевода]]-Таблица1[[#This Row],[Дата поступления]]</f>
        <v>0</v>
      </c>
      <c r="W2031" s="2">
        <f>Таблица1[[#This Row],[Дата поступления]]-Таблица1[[#This Row],[Дата рождения]]</f>
        <v>0</v>
      </c>
    </row>
    <row r="2032" spans="22:23" ht="24.95" customHeight="1" x14ac:dyDescent="0.25">
      <c r="V2032" s="2">
        <f>Таблица1[[#This Row],[Дата перевода]]-Таблица1[[#This Row],[Дата поступления]]</f>
        <v>0</v>
      </c>
      <c r="W2032" s="2">
        <f>Таблица1[[#This Row],[Дата поступления]]-Таблица1[[#This Row],[Дата рождения]]</f>
        <v>0</v>
      </c>
    </row>
    <row r="2033" spans="22:23" ht="24.95" customHeight="1" x14ac:dyDescent="0.25">
      <c r="V2033" s="2">
        <f>Таблица1[[#This Row],[Дата перевода]]-Таблица1[[#This Row],[Дата поступления]]</f>
        <v>0</v>
      </c>
      <c r="W2033" s="2">
        <f>Таблица1[[#This Row],[Дата поступления]]-Таблица1[[#This Row],[Дата рождения]]</f>
        <v>0</v>
      </c>
    </row>
    <row r="2034" spans="22:23" ht="24.95" customHeight="1" x14ac:dyDescent="0.25">
      <c r="V2034" s="2">
        <f>Таблица1[[#This Row],[Дата перевода]]-Таблица1[[#This Row],[Дата поступления]]</f>
        <v>0</v>
      </c>
      <c r="W2034" s="2">
        <f>Таблица1[[#This Row],[Дата поступления]]-Таблица1[[#This Row],[Дата рождения]]</f>
        <v>0</v>
      </c>
    </row>
    <row r="2035" spans="22:23" ht="24.95" customHeight="1" x14ac:dyDescent="0.25">
      <c r="V2035" s="2">
        <f>Таблица1[[#This Row],[Дата перевода]]-Таблица1[[#This Row],[Дата поступления]]</f>
        <v>0</v>
      </c>
      <c r="W2035" s="2">
        <f>Таблица1[[#This Row],[Дата поступления]]-Таблица1[[#This Row],[Дата рождения]]</f>
        <v>0</v>
      </c>
    </row>
    <row r="2036" spans="22:23" ht="24.95" customHeight="1" x14ac:dyDescent="0.25">
      <c r="V2036" s="2">
        <f>Таблица1[[#This Row],[Дата перевода]]-Таблица1[[#This Row],[Дата поступления]]</f>
        <v>0</v>
      </c>
      <c r="W2036" s="2">
        <f>Таблица1[[#This Row],[Дата поступления]]-Таблица1[[#This Row],[Дата рождения]]</f>
        <v>0</v>
      </c>
    </row>
    <row r="2037" spans="22:23" ht="24.95" customHeight="1" x14ac:dyDescent="0.25">
      <c r="V2037" s="2">
        <f>Таблица1[[#This Row],[Дата перевода]]-Таблица1[[#This Row],[Дата поступления]]</f>
        <v>0</v>
      </c>
      <c r="W2037" s="2">
        <f>Таблица1[[#This Row],[Дата поступления]]-Таблица1[[#This Row],[Дата рождения]]</f>
        <v>0</v>
      </c>
    </row>
    <row r="2038" spans="22:23" ht="24.95" customHeight="1" x14ac:dyDescent="0.25">
      <c r="V2038" s="2">
        <f>Таблица1[[#This Row],[Дата перевода]]-Таблица1[[#This Row],[Дата поступления]]</f>
        <v>0</v>
      </c>
      <c r="W2038" s="2">
        <f>Таблица1[[#This Row],[Дата поступления]]-Таблица1[[#This Row],[Дата рождения]]</f>
        <v>0</v>
      </c>
    </row>
    <row r="2039" spans="22:23" ht="24.95" customHeight="1" x14ac:dyDescent="0.25">
      <c r="V2039" s="2">
        <f>Таблица1[[#This Row],[Дата перевода]]-Таблица1[[#This Row],[Дата поступления]]</f>
        <v>0</v>
      </c>
      <c r="W2039" s="2">
        <f>Таблица1[[#This Row],[Дата поступления]]-Таблица1[[#This Row],[Дата рождения]]</f>
        <v>0</v>
      </c>
    </row>
    <row r="2040" spans="22:23" ht="24.95" customHeight="1" x14ac:dyDescent="0.25">
      <c r="V2040" s="2">
        <f>Таблица1[[#This Row],[Дата перевода]]-Таблица1[[#This Row],[Дата поступления]]</f>
        <v>0</v>
      </c>
      <c r="W2040" s="2">
        <f>Таблица1[[#This Row],[Дата поступления]]-Таблица1[[#This Row],[Дата рождения]]</f>
        <v>0</v>
      </c>
    </row>
    <row r="2041" spans="22:23" ht="24.95" customHeight="1" x14ac:dyDescent="0.25">
      <c r="V2041" s="2">
        <f>Таблица1[[#This Row],[Дата перевода]]-Таблица1[[#This Row],[Дата поступления]]</f>
        <v>0</v>
      </c>
      <c r="W2041" s="2">
        <f>Таблица1[[#This Row],[Дата поступления]]-Таблица1[[#This Row],[Дата рождения]]</f>
        <v>0</v>
      </c>
    </row>
    <row r="2042" spans="22:23" ht="24.95" customHeight="1" x14ac:dyDescent="0.25">
      <c r="V2042" s="2">
        <f>Таблица1[[#This Row],[Дата перевода]]-Таблица1[[#This Row],[Дата поступления]]</f>
        <v>0</v>
      </c>
      <c r="W2042" s="2">
        <f>Таблица1[[#This Row],[Дата поступления]]-Таблица1[[#This Row],[Дата рождения]]</f>
        <v>0</v>
      </c>
    </row>
    <row r="2043" spans="22:23" ht="24.95" customHeight="1" x14ac:dyDescent="0.25">
      <c r="V2043" s="2">
        <f>Таблица1[[#This Row],[Дата перевода]]-Таблица1[[#This Row],[Дата поступления]]</f>
        <v>0</v>
      </c>
      <c r="W2043" s="2">
        <f>Таблица1[[#This Row],[Дата поступления]]-Таблица1[[#This Row],[Дата рождения]]</f>
        <v>0</v>
      </c>
    </row>
    <row r="2044" spans="22:23" ht="24.95" customHeight="1" x14ac:dyDescent="0.25">
      <c r="V2044" s="2">
        <f>Таблица1[[#This Row],[Дата перевода]]-Таблица1[[#This Row],[Дата поступления]]</f>
        <v>0</v>
      </c>
      <c r="W2044" s="2">
        <f>Таблица1[[#This Row],[Дата поступления]]-Таблица1[[#This Row],[Дата рождения]]</f>
        <v>0</v>
      </c>
    </row>
    <row r="2045" spans="22:23" ht="24.95" customHeight="1" x14ac:dyDescent="0.25">
      <c r="V2045" s="2">
        <f>Таблица1[[#This Row],[Дата перевода]]-Таблица1[[#This Row],[Дата поступления]]</f>
        <v>0</v>
      </c>
      <c r="W2045" s="2">
        <f>Таблица1[[#This Row],[Дата поступления]]-Таблица1[[#This Row],[Дата рождения]]</f>
        <v>0</v>
      </c>
    </row>
    <row r="2046" spans="22:23" ht="24.95" customHeight="1" x14ac:dyDescent="0.25">
      <c r="V2046" s="2">
        <f>Таблица1[[#This Row],[Дата перевода]]-Таблица1[[#This Row],[Дата поступления]]</f>
        <v>0</v>
      </c>
      <c r="W2046" s="2">
        <f>Таблица1[[#This Row],[Дата поступления]]-Таблица1[[#This Row],[Дата рождения]]</f>
        <v>0</v>
      </c>
    </row>
    <row r="2047" spans="22:23" ht="24.95" customHeight="1" x14ac:dyDescent="0.25">
      <c r="V2047" s="2">
        <f>Таблица1[[#This Row],[Дата перевода]]-Таблица1[[#This Row],[Дата поступления]]</f>
        <v>0</v>
      </c>
      <c r="W2047" s="2">
        <f>Таблица1[[#This Row],[Дата поступления]]-Таблица1[[#This Row],[Дата рождения]]</f>
        <v>0</v>
      </c>
    </row>
    <row r="2048" spans="22:23" ht="24.95" customHeight="1" x14ac:dyDescent="0.25">
      <c r="V2048" s="2">
        <f>Таблица1[[#This Row],[Дата перевода]]-Таблица1[[#This Row],[Дата поступления]]</f>
        <v>0</v>
      </c>
      <c r="W2048" s="2">
        <f>Таблица1[[#This Row],[Дата поступления]]-Таблица1[[#This Row],[Дата рождения]]</f>
        <v>0</v>
      </c>
    </row>
    <row r="2049" spans="22:23" ht="24.95" customHeight="1" x14ac:dyDescent="0.25">
      <c r="V2049" s="2">
        <f>Таблица1[[#This Row],[Дата перевода]]-Таблица1[[#This Row],[Дата поступления]]</f>
        <v>0</v>
      </c>
      <c r="W2049" s="2">
        <f>Таблица1[[#This Row],[Дата поступления]]-Таблица1[[#This Row],[Дата рождения]]</f>
        <v>0</v>
      </c>
    </row>
    <row r="2050" spans="22:23" ht="24.95" customHeight="1" x14ac:dyDescent="0.25">
      <c r="V2050" s="2">
        <f>Таблица1[[#This Row],[Дата перевода]]-Таблица1[[#This Row],[Дата поступления]]</f>
        <v>0</v>
      </c>
      <c r="W2050" s="2">
        <f>Таблица1[[#This Row],[Дата поступления]]-Таблица1[[#This Row],[Дата рождения]]</f>
        <v>0</v>
      </c>
    </row>
    <row r="2051" spans="22:23" ht="24.95" customHeight="1" x14ac:dyDescent="0.25">
      <c r="V2051" s="2">
        <f>Таблица1[[#This Row],[Дата перевода]]-Таблица1[[#This Row],[Дата поступления]]</f>
        <v>0</v>
      </c>
      <c r="W2051" s="2">
        <f>Таблица1[[#This Row],[Дата поступления]]-Таблица1[[#This Row],[Дата рождения]]</f>
        <v>0</v>
      </c>
    </row>
    <row r="2052" spans="22:23" ht="24.95" customHeight="1" x14ac:dyDescent="0.25">
      <c r="V2052" s="2">
        <f>Таблица1[[#This Row],[Дата перевода]]-Таблица1[[#This Row],[Дата поступления]]</f>
        <v>0</v>
      </c>
      <c r="W2052" s="2">
        <f>Таблица1[[#This Row],[Дата поступления]]-Таблица1[[#This Row],[Дата рождения]]</f>
        <v>0</v>
      </c>
    </row>
    <row r="2053" spans="22:23" ht="24.95" customHeight="1" x14ac:dyDescent="0.25">
      <c r="V2053" s="2">
        <f>Таблица1[[#This Row],[Дата перевода]]-Таблица1[[#This Row],[Дата поступления]]</f>
        <v>0</v>
      </c>
      <c r="W2053" s="2">
        <f>Таблица1[[#This Row],[Дата поступления]]-Таблица1[[#This Row],[Дата рождения]]</f>
        <v>0</v>
      </c>
    </row>
    <row r="2054" spans="22:23" ht="24.95" customHeight="1" x14ac:dyDescent="0.25">
      <c r="V2054" s="2">
        <f>Таблица1[[#This Row],[Дата перевода]]-Таблица1[[#This Row],[Дата поступления]]</f>
        <v>0</v>
      </c>
      <c r="W2054" s="2">
        <f>Таблица1[[#This Row],[Дата поступления]]-Таблица1[[#This Row],[Дата рождения]]</f>
        <v>0</v>
      </c>
    </row>
    <row r="2055" spans="22:23" ht="24.95" customHeight="1" x14ac:dyDescent="0.25">
      <c r="V2055" s="2">
        <f>Таблица1[[#This Row],[Дата перевода]]-Таблица1[[#This Row],[Дата поступления]]</f>
        <v>0</v>
      </c>
      <c r="W2055" s="2">
        <f>Таблица1[[#This Row],[Дата поступления]]-Таблица1[[#This Row],[Дата рождения]]</f>
        <v>0</v>
      </c>
    </row>
    <row r="2056" spans="22:23" ht="24.95" customHeight="1" x14ac:dyDescent="0.25">
      <c r="V2056" s="2">
        <f>Таблица1[[#This Row],[Дата перевода]]-Таблица1[[#This Row],[Дата поступления]]</f>
        <v>0</v>
      </c>
      <c r="W2056" s="2">
        <f>Таблица1[[#This Row],[Дата поступления]]-Таблица1[[#This Row],[Дата рождения]]</f>
        <v>0</v>
      </c>
    </row>
    <row r="2057" spans="22:23" ht="24.95" customHeight="1" x14ac:dyDescent="0.25">
      <c r="V2057" s="2">
        <f>Таблица1[[#This Row],[Дата перевода]]-Таблица1[[#This Row],[Дата поступления]]</f>
        <v>0</v>
      </c>
      <c r="W2057" s="2">
        <f>Таблица1[[#This Row],[Дата поступления]]-Таблица1[[#This Row],[Дата рождения]]</f>
        <v>0</v>
      </c>
    </row>
    <row r="2058" spans="22:23" ht="24.95" customHeight="1" x14ac:dyDescent="0.25">
      <c r="V2058" s="2">
        <f>Таблица1[[#This Row],[Дата перевода]]-Таблица1[[#This Row],[Дата поступления]]</f>
        <v>0</v>
      </c>
      <c r="W2058" s="2">
        <f>Таблица1[[#This Row],[Дата поступления]]-Таблица1[[#This Row],[Дата рождения]]</f>
        <v>0</v>
      </c>
    </row>
    <row r="2059" spans="22:23" ht="24.95" customHeight="1" x14ac:dyDescent="0.25">
      <c r="V2059" s="2">
        <f>Таблица1[[#This Row],[Дата перевода]]-Таблица1[[#This Row],[Дата поступления]]</f>
        <v>0</v>
      </c>
      <c r="W2059" s="2">
        <f>Таблица1[[#This Row],[Дата поступления]]-Таблица1[[#This Row],[Дата рождения]]</f>
        <v>0</v>
      </c>
    </row>
    <row r="2060" spans="22:23" ht="24.95" customHeight="1" x14ac:dyDescent="0.25">
      <c r="V2060" s="2">
        <f>Таблица1[[#This Row],[Дата перевода]]-Таблица1[[#This Row],[Дата поступления]]</f>
        <v>0</v>
      </c>
      <c r="W2060" s="2">
        <f>Таблица1[[#This Row],[Дата поступления]]-Таблица1[[#This Row],[Дата рождения]]</f>
        <v>0</v>
      </c>
    </row>
    <row r="2061" spans="22:23" ht="24.95" customHeight="1" x14ac:dyDescent="0.25">
      <c r="V2061" s="2">
        <f>Таблица1[[#This Row],[Дата перевода]]-Таблица1[[#This Row],[Дата поступления]]</f>
        <v>0</v>
      </c>
      <c r="W2061" s="2">
        <f>Таблица1[[#This Row],[Дата поступления]]-Таблица1[[#This Row],[Дата рождения]]</f>
        <v>0</v>
      </c>
    </row>
    <row r="2062" spans="22:23" ht="24.95" customHeight="1" x14ac:dyDescent="0.25">
      <c r="V2062" s="2">
        <f>Таблица1[[#This Row],[Дата перевода]]-Таблица1[[#This Row],[Дата поступления]]</f>
        <v>0</v>
      </c>
      <c r="W2062" s="2">
        <f>Таблица1[[#This Row],[Дата поступления]]-Таблица1[[#This Row],[Дата рождения]]</f>
        <v>0</v>
      </c>
    </row>
    <row r="2063" spans="22:23" ht="24.95" customHeight="1" x14ac:dyDescent="0.25">
      <c r="V2063" s="2">
        <f>Таблица1[[#This Row],[Дата перевода]]-Таблица1[[#This Row],[Дата поступления]]</f>
        <v>0</v>
      </c>
      <c r="W2063" s="2">
        <f>Таблица1[[#This Row],[Дата поступления]]-Таблица1[[#This Row],[Дата рождения]]</f>
        <v>0</v>
      </c>
    </row>
    <row r="2064" spans="22:23" ht="24.95" customHeight="1" x14ac:dyDescent="0.25">
      <c r="V2064" s="2">
        <f>Таблица1[[#This Row],[Дата перевода]]-Таблица1[[#This Row],[Дата поступления]]</f>
        <v>0</v>
      </c>
      <c r="W2064" s="2">
        <f>Таблица1[[#This Row],[Дата поступления]]-Таблица1[[#This Row],[Дата рождения]]</f>
        <v>0</v>
      </c>
    </row>
    <row r="2065" spans="22:23" ht="24.95" customHeight="1" x14ac:dyDescent="0.25">
      <c r="V2065" s="2">
        <f>Таблица1[[#This Row],[Дата перевода]]-Таблица1[[#This Row],[Дата поступления]]</f>
        <v>0</v>
      </c>
      <c r="W2065" s="2">
        <f>Таблица1[[#This Row],[Дата поступления]]-Таблица1[[#This Row],[Дата рождения]]</f>
        <v>0</v>
      </c>
    </row>
    <row r="2066" spans="22:23" ht="24.95" customHeight="1" x14ac:dyDescent="0.25">
      <c r="V2066" s="2">
        <f>Таблица1[[#This Row],[Дата перевода]]-Таблица1[[#This Row],[Дата поступления]]</f>
        <v>0</v>
      </c>
      <c r="W2066" s="2">
        <f>Таблица1[[#This Row],[Дата поступления]]-Таблица1[[#This Row],[Дата рождения]]</f>
        <v>0</v>
      </c>
    </row>
    <row r="2067" spans="22:23" ht="24.95" customHeight="1" x14ac:dyDescent="0.25">
      <c r="V2067" s="2">
        <f>Таблица1[[#This Row],[Дата перевода]]-Таблица1[[#This Row],[Дата поступления]]</f>
        <v>0</v>
      </c>
      <c r="W2067" s="2">
        <f>Таблица1[[#This Row],[Дата поступления]]-Таблица1[[#This Row],[Дата рождения]]</f>
        <v>0</v>
      </c>
    </row>
    <row r="2068" spans="22:23" ht="24.95" customHeight="1" x14ac:dyDescent="0.25">
      <c r="V2068" s="2">
        <f>Таблица1[[#This Row],[Дата перевода]]-Таблица1[[#This Row],[Дата поступления]]</f>
        <v>0</v>
      </c>
      <c r="W2068" s="2">
        <f>Таблица1[[#This Row],[Дата поступления]]-Таблица1[[#This Row],[Дата рождения]]</f>
        <v>0</v>
      </c>
    </row>
    <row r="2069" spans="22:23" ht="24.95" customHeight="1" x14ac:dyDescent="0.25">
      <c r="V2069" s="2">
        <f>Таблица1[[#This Row],[Дата перевода]]-Таблица1[[#This Row],[Дата поступления]]</f>
        <v>0</v>
      </c>
      <c r="W2069" s="2">
        <f>Таблица1[[#This Row],[Дата поступления]]-Таблица1[[#This Row],[Дата рождения]]</f>
        <v>0</v>
      </c>
    </row>
    <row r="2070" spans="22:23" ht="24.95" customHeight="1" x14ac:dyDescent="0.25">
      <c r="V2070" s="2">
        <f>Таблица1[[#This Row],[Дата перевода]]-Таблица1[[#This Row],[Дата поступления]]</f>
        <v>0</v>
      </c>
      <c r="W2070" s="2">
        <f>Таблица1[[#This Row],[Дата поступления]]-Таблица1[[#This Row],[Дата рождения]]</f>
        <v>0</v>
      </c>
    </row>
    <row r="2071" spans="22:23" ht="24.95" customHeight="1" x14ac:dyDescent="0.25">
      <c r="V2071" s="2">
        <f>Таблица1[[#This Row],[Дата перевода]]-Таблица1[[#This Row],[Дата поступления]]</f>
        <v>0</v>
      </c>
      <c r="W2071" s="2">
        <f>Таблица1[[#This Row],[Дата поступления]]-Таблица1[[#This Row],[Дата рождения]]</f>
        <v>0</v>
      </c>
    </row>
    <row r="2072" spans="22:23" ht="24.95" customHeight="1" x14ac:dyDescent="0.25">
      <c r="V2072" s="2">
        <f>Таблица1[[#This Row],[Дата перевода]]-Таблица1[[#This Row],[Дата поступления]]</f>
        <v>0</v>
      </c>
      <c r="W2072" s="2">
        <f>Таблица1[[#This Row],[Дата поступления]]-Таблица1[[#This Row],[Дата рождения]]</f>
        <v>0</v>
      </c>
    </row>
    <row r="2073" spans="22:23" ht="24.95" customHeight="1" x14ac:dyDescent="0.25">
      <c r="V2073" s="2">
        <f>Таблица1[[#This Row],[Дата перевода]]-Таблица1[[#This Row],[Дата поступления]]</f>
        <v>0</v>
      </c>
      <c r="W2073" s="2">
        <f>Таблица1[[#This Row],[Дата поступления]]-Таблица1[[#This Row],[Дата рождения]]</f>
        <v>0</v>
      </c>
    </row>
    <row r="2074" spans="22:23" ht="24.95" customHeight="1" x14ac:dyDescent="0.25">
      <c r="V2074" s="2">
        <f>Таблица1[[#This Row],[Дата перевода]]-Таблица1[[#This Row],[Дата поступления]]</f>
        <v>0</v>
      </c>
      <c r="W2074" s="2">
        <f>Таблица1[[#This Row],[Дата поступления]]-Таблица1[[#This Row],[Дата рождения]]</f>
        <v>0</v>
      </c>
    </row>
    <row r="2075" spans="22:23" ht="24.95" customHeight="1" x14ac:dyDescent="0.25">
      <c r="V2075" s="2">
        <f>Таблица1[[#This Row],[Дата перевода]]-Таблица1[[#This Row],[Дата поступления]]</f>
        <v>0</v>
      </c>
      <c r="W2075" s="2">
        <f>Таблица1[[#This Row],[Дата поступления]]-Таблица1[[#This Row],[Дата рождения]]</f>
        <v>0</v>
      </c>
    </row>
    <row r="2076" spans="22:23" ht="24.95" customHeight="1" x14ac:dyDescent="0.25">
      <c r="V2076" s="2">
        <f>Таблица1[[#This Row],[Дата перевода]]-Таблица1[[#This Row],[Дата поступления]]</f>
        <v>0</v>
      </c>
      <c r="W2076" s="2">
        <f>Таблица1[[#This Row],[Дата поступления]]-Таблица1[[#This Row],[Дата рождения]]</f>
        <v>0</v>
      </c>
    </row>
    <row r="2077" spans="22:23" ht="24.95" customHeight="1" x14ac:dyDescent="0.25">
      <c r="V2077" s="2">
        <f>Таблица1[[#This Row],[Дата перевода]]-Таблица1[[#This Row],[Дата поступления]]</f>
        <v>0</v>
      </c>
      <c r="W2077" s="2">
        <f>Таблица1[[#This Row],[Дата поступления]]-Таблица1[[#This Row],[Дата рождения]]</f>
        <v>0</v>
      </c>
    </row>
    <row r="2078" spans="22:23" ht="24.95" customHeight="1" x14ac:dyDescent="0.25">
      <c r="V2078" s="2">
        <f>Таблица1[[#This Row],[Дата перевода]]-Таблица1[[#This Row],[Дата поступления]]</f>
        <v>0</v>
      </c>
      <c r="W2078" s="2">
        <f>Таблица1[[#This Row],[Дата поступления]]-Таблица1[[#This Row],[Дата рождения]]</f>
        <v>0</v>
      </c>
    </row>
    <row r="2079" spans="22:23" ht="24.95" customHeight="1" x14ac:dyDescent="0.25">
      <c r="V2079" s="2">
        <f>Таблица1[[#This Row],[Дата перевода]]-Таблица1[[#This Row],[Дата поступления]]</f>
        <v>0</v>
      </c>
      <c r="W2079" s="2">
        <f>Таблица1[[#This Row],[Дата поступления]]-Таблица1[[#This Row],[Дата рождения]]</f>
        <v>0</v>
      </c>
    </row>
    <row r="2080" spans="22:23" ht="24.95" customHeight="1" x14ac:dyDescent="0.25">
      <c r="V2080" s="2">
        <f>Таблица1[[#This Row],[Дата перевода]]-Таблица1[[#This Row],[Дата поступления]]</f>
        <v>0</v>
      </c>
      <c r="W2080" s="2">
        <f>Таблица1[[#This Row],[Дата поступления]]-Таблица1[[#This Row],[Дата рождения]]</f>
        <v>0</v>
      </c>
    </row>
    <row r="2081" spans="22:23" ht="24.95" customHeight="1" x14ac:dyDescent="0.25">
      <c r="V2081" s="2">
        <f>Таблица1[[#This Row],[Дата перевода]]-Таблица1[[#This Row],[Дата поступления]]</f>
        <v>0</v>
      </c>
      <c r="W2081" s="2">
        <f>Таблица1[[#This Row],[Дата поступления]]-Таблица1[[#This Row],[Дата рождения]]</f>
        <v>0</v>
      </c>
    </row>
    <row r="2082" spans="22:23" ht="24.95" customHeight="1" x14ac:dyDescent="0.25">
      <c r="V2082" s="2">
        <f>Таблица1[[#This Row],[Дата перевода]]-Таблица1[[#This Row],[Дата поступления]]</f>
        <v>0</v>
      </c>
      <c r="W2082" s="2">
        <f>Таблица1[[#This Row],[Дата поступления]]-Таблица1[[#This Row],[Дата рождения]]</f>
        <v>0</v>
      </c>
    </row>
    <row r="2083" spans="22:23" ht="24.95" customHeight="1" x14ac:dyDescent="0.25">
      <c r="V2083" s="2">
        <f>Таблица1[[#This Row],[Дата перевода]]-Таблица1[[#This Row],[Дата поступления]]</f>
        <v>0</v>
      </c>
      <c r="W2083" s="2">
        <f>Таблица1[[#This Row],[Дата поступления]]-Таблица1[[#This Row],[Дата рождения]]</f>
        <v>0</v>
      </c>
    </row>
    <row r="2084" spans="22:23" ht="24.95" customHeight="1" x14ac:dyDescent="0.25">
      <c r="V2084" s="2">
        <f>Таблица1[[#This Row],[Дата перевода]]-Таблица1[[#This Row],[Дата поступления]]</f>
        <v>0</v>
      </c>
      <c r="W2084" s="2">
        <f>Таблица1[[#This Row],[Дата поступления]]-Таблица1[[#This Row],[Дата рождения]]</f>
        <v>0</v>
      </c>
    </row>
    <row r="2085" spans="22:23" ht="24.95" customHeight="1" x14ac:dyDescent="0.25">
      <c r="V2085" s="2">
        <f>Таблица1[[#This Row],[Дата перевода]]-Таблица1[[#This Row],[Дата поступления]]</f>
        <v>0</v>
      </c>
      <c r="W2085" s="2">
        <f>Таблица1[[#This Row],[Дата поступления]]-Таблица1[[#This Row],[Дата рождения]]</f>
        <v>0</v>
      </c>
    </row>
    <row r="2086" spans="22:23" ht="24.95" customHeight="1" x14ac:dyDescent="0.25">
      <c r="V2086" s="2">
        <f>Таблица1[[#This Row],[Дата перевода]]-Таблица1[[#This Row],[Дата поступления]]</f>
        <v>0</v>
      </c>
      <c r="W2086" s="2">
        <f>Таблица1[[#This Row],[Дата поступления]]-Таблица1[[#This Row],[Дата рождения]]</f>
        <v>0</v>
      </c>
    </row>
    <row r="2087" spans="22:23" ht="24.95" customHeight="1" x14ac:dyDescent="0.25">
      <c r="V2087" s="2">
        <f>Таблица1[[#This Row],[Дата перевода]]-Таблица1[[#This Row],[Дата поступления]]</f>
        <v>0</v>
      </c>
      <c r="W2087" s="2">
        <f>Таблица1[[#This Row],[Дата поступления]]-Таблица1[[#This Row],[Дата рождения]]</f>
        <v>0</v>
      </c>
    </row>
    <row r="2088" spans="22:23" ht="24.95" customHeight="1" x14ac:dyDescent="0.25">
      <c r="V2088" s="2">
        <f>Таблица1[[#This Row],[Дата перевода]]-Таблица1[[#This Row],[Дата поступления]]</f>
        <v>0</v>
      </c>
      <c r="W2088" s="2">
        <f>Таблица1[[#This Row],[Дата поступления]]-Таблица1[[#This Row],[Дата рождения]]</f>
        <v>0</v>
      </c>
    </row>
    <row r="2089" spans="22:23" ht="24.95" customHeight="1" x14ac:dyDescent="0.25">
      <c r="V2089" s="2">
        <f>Таблица1[[#This Row],[Дата перевода]]-Таблица1[[#This Row],[Дата поступления]]</f>
        <v>0</v>
      </c>
      <c r="W2089" s="2">
        <f>Таблица1[[#This Row],[Дата поступления]]-Таблица1[[#This Row],[Дата рождения]]</f>
        <v>0</v>
      </c>
    </row>
    <row r="2090" spans="22:23" ht="24.95" customHeight="1" x14ac:dyDescent="0.25">
      <c r="V2090" s="2">
        <f>Таблица1[[#This Row],[Дата перевода]]-Таблица1[[#This Row],[Дата поступления]]</f>
        <v>0</v>
      </c>
      <c r="W2090" s="2">
        <f>Таблица1[[#This Row],[Дата поступления]]-Таблица1[[#This Row],[Дата рождения]]</f>
        <v>0</v>
      </c>
    </row>
    <row r="2091" spans="22:23" ht="24.95" customHeight="1" x14ac:dyDescent="0.25">
      <c r="V2091" s="2">
        <f>Таблица1[[#This Row],[Дата перевода]]-Таблица1[[#This Row],[Дата поступления]]</f>
        <v>0</v>
      </c>
      <c r="W2091" s="2">
        <f>Таблица1[[#This Row],[Дата поступления]]-Таблица1[[#This Row],[Дата рождения]]</f>
        <v>0</v>
      </c>
    </row>
    <row r="2092" spans="22:23" ht="24.95" customHeight="1" x14ac:dyDescent="0.25">
      <c r="V2092" s="2">
        <f>Таблица1[[#This Row],[Дата перевода]]-Таблица1[[#This Row],[Дата поступления]]</f>
        <v>0</v>
      </c>
      <c r="W2092" s="2">
        <f>Таблица1[[#This Row],[Дата поступления]]-Таблица1[[#This Row],[Дата рождения]]</f>
        <v>0</v>
      </c>
    </row>
    <row r="2093" spans="22:23" ht="24.95" customHeight="1" x14ac:dyDescent="0.25">
      <c r="V2093" s="2">
        <f>Таблица1[[#This Row],[Дата перевода]]-Таблица1[[#This Row],[Дата поступления]]</f>
        <v>0</v>
      </c>
      <c r="W2093" s="2">
        <f>Таблица1[[#This Row],[Дата поступления]]-Таблица1[[#This Row],[Дата рождения]]</f>
        <v>0</v>
      </c>
    </row>
    <row r="2094" spans="22:23" ht="24.95" customHeight="1" x14ac:dyDescent="0.25">
      <c r="V2094" s="2">
        <f>Таблица1[[#This Row],[Дата перевода]]-Таблица1[[#This Row],[Дата поступления]]</f>
        <v>0</v>
      </c>
      <c r="W2094" s="2">
        <f>Таблица1[[#This Row],[Дата поступления]]-Таблица1[[#This Row],[Дата рождения]]</f>
        <v>0</v>
      </c>
    </row>
    <row r="2095" spans="22:23" ht="24.95" customHeight="1" x14ac:dyDescent="0.25">
      <c r="V2095" s="2">
        <f>Таблица1[[#This Row],[Дата перевода]]-Таблица1[[#This Row],[Дата поступления]]</f>
        <v>0</v>
      </c>
      <c r="W2095" s="2">
        <f>Таблица1[[#This Row],[Дата поступления]]-Таблица1[[#This Row],[Дата рождения]]</f>
        <v>0</v>
      </c>
    </row>
    <row r="2096" spans="22:23" ht="24.95" customHeight="1" x14ac:dyDescent="0.25">
      <c r="V2096" s="2">
        <f>Таблица1[[#This Row],[Дата перевода]]-Таблица1[[#This Row],[Дата поступления]]</f>
        <v>0</v>
      </c>
      <c r="W2096" s="2">
        <f>Таблица1[[#This Row],[Дата поступления]]-Таблица1[[#This Row],[Дата рождения]]</f>
        <v>0</v>
      </c>
    </row>
    <row r="2097" spans="22:23" ht="24.95" customHeight="1" x14ac:dyDescent="0.25">
      <c r="V2097" s="2">
        <f>Таблица1[[#This Row],[Дата перевода]]-Таблица1[[#This Row],[Дата поступления]]</f>
        <v>0</v>
      </c>
      <c r="W2097" s="2">
        <f>Таблица1[[#This Row],[Дата поступления]]-Таблица1[[#This Row],[Дата рождения]]</f>
        <v>0</v>
      </c>
    </row>
    <row r="2098" spans="22:23" ht="24.95" customHeight="1" x14ac:dyDescent="0.25">
      <c r="V2098" s="2">
        <f>Таблица1[[#This Row],[Дата перевода]]-Таблица1[[#This Row],[Дата поступления]]</f>
        <v>0</v>
      </c>
      <c r="W2098" s="2">
        <f>Таблица1[[#This Row],[Дата поступления]]-Таблица1[[#This Row],[Дата рождения]]</f>
        <v>0</v>
      </c>
    </row>
    <row r="2099" spans="22:23" ht="24.95" customHeight="1" x14ac:dyDescent="0.25">
      <c r="V2099" s="2">
        <f>Таблица1[[#This Row],[Дата перевода]]-Таблица1[[#This Row],[Дата поступления]]</f>
        <v>0</v>
      </c>
      <c r="W2099" s="2">
        <f>Таблица1[[#This Row],[Дата поступления]]-Таблица1[[#This Row],[Дата рождения]]</f>
        <v>0</v>
      </c>
    </row>
    <row r="2100" spans="22:23" ht="24.95" customHeight="1" x14ac:dyDescent="0.25">
      <c r="V2100" s="2">
        <f>Таблица1[[#This Row],[Дата перевода]]-Таблица1[[#This Row],[Дата поступления]]</f>
        <v>0</v>
      </c>
      <c r="W2100" s="2">
        <f>Таблица1[[#This Row],[Дата поступления]]-Таблица1[[#This Row],[Дата рождения]]</f>
        <v>0</v>
      </c>
    </row>
    <row r="2101" spans="22:23" ht="24.95" customHeight="1" x14ac:dyDescent="0.25">
      <c r="V2101" s="2">
        <f>Таблица1[[#This Row],[Дата перевода]]-Таблица1[[#This Row],[Дата поступления]]</f>
        <v>0</v>
      </c>
      <c r="W2101" s="2">
        <f>Таблица1[[#This Row],[Дата поступления]]-Таблица1[[#This Row],[Дата рождения]]</f>
        <v>0</v>
      </c>
    </row>
    <row r="2102" spans="22:23" ht="24.95" customHeight="1" x14ac:dyDescent="0.25">
      <c r="V2102" s="2">
        <f>Таблица1[[#This Row],[Дата перевода]]-Таблица1[[#This Row],[Дата поступления]]</f>
        <v>0</v>
      </c>
      <c r="W2102" s="2">
        <f>Таблица1[[#This Row],[Дата поступления]]-Таблица1[[#This Row],[Дата рождения]]</f>
        <v>0</v>
      </c>
    </row>
    <row r="2103" spans="22:23" ht="24.95" customHeight="1" x14ac:dyDescent="0.25">
      <c r="V2103" s="2">
        <f>Таблица1[[#This Row],[Дата перевода]]-Таблица1[[#This Row],[Дата поступления]]</f>
        <v>0</v>
      </c>
      <c r="W2103" s="2">
        <f>Таблица1[[#This Row],[Дата поступления]]-Таблица1[[#This Row],[Дата рождения]]</f>
        <v>0</v>
      </c>
    </row>
    <row r="2104" spans="22:23" ht="24.95" customHeight="1" x14ac:dyDescent="0.25">
      <c r="V2104" s="2">
        <f>Таблица1[[#This Row],[Дата перевода]]-Таблица1[[#This Row],[Дата поступления]]</f>
        <v>0</v>
      </c>
      <c r="W2104" s="2">
        <f>Таблица1[[#This Row],[Дата поступления]]-Таблица1[[#This Row],[Дата рождения]]</f>
        <v>0</v>
      </c>
    </row>
    <row r="2105" spans="22:23" ht="24.95" customHeight="1" x14ac:dyDescent="0.25">
      <c r="V2105" s="2">
        <f>Таблица1[[#This Row],[Дата перевода]]-Таблица1[[#This Row],[Дата поступления]]</f>
        <v>0</v>
      </c>
      <c r="W2105" s="2">
        <f>Таблица1[[#This Row],[Дата поступления]]-Таблица1[[#This Row],[Дата рождения]]</f>
        <v>0</v>
      </c>
    </row>
    <row r="2106" spans="22:23" ht="24.95" customHeight="1" x14ac:dyDescent="0.25">
      <c r="V2106" s="2">
        <f>Таблица1[[#This Row],[Дата перевода]]-Таблица1[[#This Row],[Дата поступления]]</f>
        <v>0</v>
      </c>
      <c r="W2106" s="2">
        <f>Таблица1[[#This Row],[Дата поступления]]-Таблица1[[#This Row],[Дата рождения]]</f>
        <v>0</v>
      </c>
    </row>
    <row r="2107" spans="22:23" ht="24.95" customHeight="1" x14ac:dyDescent="0.25">
      <c r="V2107" s="2">
        <f>Таблица1[[#This Row],[Дата перевода]]-Таблица1[[#This Row],[Дата поступления]]</f>
        <v>0</v>
      </c>
      <c r="W2107" s="2">
        <f>Таблица1[[#This Row],[Дата поступления]]-Таблица1[[#This Row],[Дата рождения]]</f>
        <v>0</v>
      </c>
    </row>
    <row r="2108" spans="22:23" ht="24.95" customHeight="1" x14ac:dyDescent="0.25">
      <c r="V2108" s="2">
        <f>Таблица1[[#This Row],[Дата перевода]]-Таблица1[[#This Row],[Дата поступления]]</f>
        <v>0</v>
      </c>
      <c r="W2108" s="2">
        <f>Таблица1[[#This Row],[Дата поступления]]-Таблица1[[#This Row],[Дата рождения]]</f>
        <v>0</v>
      </c>
    </row>
    <row r="2109" spans="22:23" ht="24.95" customHeight="1" x14ac:dyDescent="0.25">
      <c r="V2109" s="2">
        <f>Таблица1[[#This Row],[Дата перевода]]-Таблица1[[#This Row],[Дата поступления]]</f>
        <v>0</v>
      </c>
      <c r="W2109" s="2">
        <f>Таблица1[[#This Row],[Дата поступления]]-Таблица1[[#This Row],[Дата рождения]]</f>
        <v>0</v>
      </c>
    </row>
    <row r="2110" spans="22:23" ht="24.95" customHeight="1" x14ac:dyDescent="0.25">
      <c r="V2110" s="2">
        <f>Таблица1[[#This Row],[Дата перевода]]-Таблица1[[#This Row],[Дата поступления]]</f>
        <v>0</v>
      </c>
      <c r="W2110" s="2">
        <f>Таблица1[[#This Row],[Дата поступления]]-Таблица1[[#This Row],[Дата рождения]]</f>
        <v>0</v>
      </c>
    </row>
    <row r="2111" spans="22:23" ht="24.95" customHeight="1" x14ac:dyDescent="0.25">
      <c r="V2111" s="2">
        <f>Таблица1[[#This Row],[Дата перевода]]-Таблица1[[#This Row],[Дата поступления]]</f>
        <v>0</v>
      </c>
      <c r="W2111" s="2">
        <f>Таблица1[[#This Row],[Дата поступления]]-Таблица1[[#This Row],[Дата рождения]]</f>
        <v>0</v>
      </c>
    </row>
    <row r="2112" spans="22:23" ht="24.95" customHeight="1" x14ac:dyDescent="0.25">
      <c r="V2112" s="2">
        <f>Таблица1[[#This Row],[Дата перевода]]-Таблица1[[#This Row],[Дата поступления]]</f>
        <v>0</v>
      </c>
      <c r="W2112" s="2">
        <f>Таблица1[[#This Row],[Дата поступления]]-Таблица1[[#This Row],[Дата рождения]]</f>
        <v>0</v>
      </c>
    </row>
    <row r="2113" spans="22:23" ht="24.95" customHeight="1" x14ac:dyDescent="0.25">
      <c r="V2113" s="2">
        <f>Таблица1[[#This Row],[Дата перевода]]-Таблица1[[#This Row],[Дата поступления]]</f>
        <v>0</v>
      </c>
      <c r="W2113" s="2">
        <f>Таблица1[[#This Row],[Дата поступления]]-Таблица1[[#This Row],[Дата рождения]]</f>
        <v>0</v>
      </c>
    </row>
    <row r="2114" spans="22:23" ht="24.95" customHeight="1" x14ac:dyDescent="0.25">
      <c r="V2114" s="2">
        <f>Таблица1[[#This Row],[Дата перевода]]-Таблица1[[#This Row],[Дата поступления]]</f>
        <v>0</v>
      </c>
      <c r="W2114" s="2">
        <f>Таблица1[[#This Row],[Дата поступления]]-Таблица1[[#This Row],[Дата рождения]]</f>
        <v>0</v>
      </c>
    </row>
    <row r="2115" spans="22:23" ht="24.95" customHeight="1" x14ac:dyDescent="0.25">
      <c r="V2115" s="2">
        <f>Таблица1[[#This Row],[Дата перевода]]-Таблица1[[#This Row],[Дата поступления]]</f>
        <v>0</v>
      </c>
      <c r="W2115" s="2">
        <f>Таблица1[[#This Row],[Дата поступления]]-Таблица1[[#This Row],[Дата рождения]]</f>
        <v>0</v>
      </c>
    </row>
    <row r="2116" spans="22:23" ht="24.95" customHeight="1" x14ac:dyDescent="0.25">
      <c r="V2116" s="2">
        <f>Таблица1[[#This Row],[Дата перевода]]-Таблица1[[#This Row],[Дата поступления]]</f>
        <v>0</v>
      </c>
      <c r="W2116" s="2">
        <f>Таблица1[[#This Row],[Дата поступления]]-Таблица1[[#This Row],[Дата рождения]]</f>
        <v>0</v>
      </c>
    </row>
    <row r="2117" spans="22:23" ht="24.95" customHeight="1" x14ac:dyDescent="0.25">
      <c r="V2117" s="2">
        <f>Таблица1[[#This Row],[Дата перевода]]-Таблица1[[#This Row],[Дата поступления]]</f>
        <v>0</v>
      </c>
      <c r="W2117" s="2">
        <f>Таблица1[[#This Row],[Дата поступления]]-Таблица1[[#This Row],[Дата рождения]]</f>
        <v>0</v>
      </c>
    </row>
    <row r="2118" spans="22:23" ht="24.95" customHeight="1" x14ac:dyDescent="0.25">
      <c r="V2118" s="2">
        <f>Таблица1[[#This Row],[Дата перевода]]-Таблица1[[#This Row],[Дата поступления]]</f>
        <v>0</v>
      </c>
      <c r="W2118" s="2">
        <f>Таблица1[[#This Row],[Дата поступления]]-Таблица1[[#This Row],[Дата рождения]]</f>
        <v>0</v>
      </c>
    </row>
    <row r="2119" spans="22:23" ht="24.95" customHeight="1" x14ac:dyDescent="0.25">
      <c r="V2119" s="2">
        <f>Таблица1[[#This Row],[Дата перевода]]-Таблица1[[#This Row],[Дата поступления]]</f>
        <v>0</v>
      </c>
      <c r="W2119" s="2">
        <f>Таблица1[[#This Row],[Дата поступления]]-Таблица1[[#This Row],[Дата рождения]]</f>
        <v>0</v>
      </c>
    </row>
    <row r="2120" spans="22:23" ht="24.95" customHeight="1" x14ac:dyDescent="0.25">
      <c r="V2120" s="2">
        <f>Таблица1[[#This Row],[Дата перевода]]-Таблица1[[#This Row],[Дата поступления]]</f>
        <v>0</v>
      </c>
      <c r="W2120" s="2">
        <f>Таблица1[[#This Row],[Дата поступления]]-Таблица1[[#This Row],[Дата рождения]]</f>
        <v>0</v>
      </c>
    </row>
    <row r="2121" spans="22:23" ht="24.95" customHeight="1" x14ac:dyDescent="0.25">
      <c r="V2121" s="2">
        <f>Таблица1[[#This Row],[Дата перевода]]-Таблица1[[#This Row],[Дата поступления]]</f>
        <v>0</v>
      </c>
      <c r="W2121" s="2">
        <f>Таблица1[[#This Row],[Дата поступления]]-Таблица1[[#This Row],[Дата рождения]]</f>
        <v>0</v>
      </c>
    </row>
    <row r="2122" spans="22:23" ht="24.95" customHeight="1" x14ac:dyDescent="0.25">
      <c r="V2122" s="2">
        <f>Таблица1[[#This Row],[Дата перевода]]-Таблица1[[#This Row],[Дата поступления]]</f>
        <v>0</v>
      </c>
      <c r="W2122" s="2">
        <f>Таблица1[[#This Row],[Дата поступления]]-Таблица1[[#This Row],[Дата рождения]]</f>
        <v>0</v>
      </c>
    </row>
    <row r="2123" spans="22:23" ht="24.95" customHeight="1" x14ac:dyDescent="0.25">
      <c r="V2123" s="2">
        <f>Таблица1[[#This Row],[Дата перевода]]-Таблица1[[#This Row],[Дата поступления]]</f>
        <v>0</v>
      </c>
      <c r="W2123" s="2">
        <f>Таблица1[[#This Row],[Дата поступления]]-Таблица1[[#This Row],[Дата рождения]]</f>
        <v>0</v>
      </c>
    </row>
    <row r="2124" spans="22:23" ht="24.95" customHeight="1" x14ac:dyDescent="0.25">
      <c r="V2124" s="2">
        <f>Таблица1[[#This Row],[Дата перевода]]-Таблица1[[#This Row],[Дата поступления]]</f>
        <v>0</v>
      </c>
      <c r="W2124" s="2">
        <f>Таблица1[[#This Row],[Дата поступления]]-Таблица1[[#This Row],[Дата рождения]]</f>
        <v>0</v>
      </c>
    </row>
    <row r="2125" spans="22:23" ht="24.95" customHeight="1" x14ac:dyDescent="0.25">
      <c r="V2125" s="2">
        <f>Таблица1[[#This Row],[Дата перевода]]-Таблица1[[#This Row],[Дата поступления]]</f>
        <v>0</v>
      </c>
      <c r="W2125" s="2">
        <f>Таблица1[[#This Row],[Дата поступления]]-Таблица1[[#This Row],[Дата рождения]]</f>
        <v>0</v>
      </c>
    </row>
    <row r="2126" spans="22:23" ht="24.95" customHeight="1" x14ac:dyDescent="0.25">
      <c r="V2126" s="2">
        <f>Таблица1[[#This Row],[Дата перевода]]-Таблица1[[#This Row],[Дата поступления]]</f>
        <v>0</v>
      </c>
      <c r="W2126" s="2">
        <f>Таблица1[[#This Row],[Дата поступления]]-Таблица1[[#This Row],[Дата рождения]]</f>
        <v>0</v>
      </c>
    </row>
    <row r="2127" spans="22:23" ht="24.95" customHeight="1" x14ac:dyDescent="0.25">
      <c r="V2127" s="2">
        <f>Таблица1[[#This Row],[Дата перевода]]-Таблица1[[#This Row],[Дата поступления]]</f>
        <v>0</v>
      </c>
      <c r="W2127" s="2">
        <f>Таблица1[[#This Row],[Дата поступления]]-Таблица1[[#This Row],[Дата рождения]]</f>
        <v>0</v>
      </c>
    </row>
    <row r="2128" spans="22:23" ht="24.95" customHeight="1" x14ac:dyDescent="0.25">
      <c r="V2128" s="2">
        <f>Таблица1[[#This Row],[Дата перевода]]-Таблица1[[#This Row],[Дата поступления]]</f>
        <v>0</v>
      </c>
      <c r="W2128" s="2">
        <f>Таблица1[[#This Row],[Дата поступления]]-Таблица1[[#This Row],[Дата рождения]]</f>
        <v>0</v>
      </c>
    </row>
    <row r="2129" spans="22:23" ht="24.95" customHeight="1" x14ac:dyDescent="0.25">
      <c r="V2129" s="2">
        <f>Таблица1[[#This Row],[Дата перевода]]-Таблица1[[#This Row],[Дата поступления]]</f>
        <v>0</v>
      </c>
      <c r="W2129" s="2">
        <f>Таблица1[[#This Row],[Дата поступления]]-Таблица1[[#This Row],[Дата рождения]]</f>
        <v>0</v>
      </c>
    </row>
    <row r="2130" spans="22:23" ht="24.95" customHeight="1" x14ac:dyDescent="0.25">
      <c r="V2130" s="2">
        <f>Таблица1[[#This Row],[Дата перевода]]-Таблица1[[#This Row],[Дата поступления]]</f>
        <v>0</v>
      </c>
      <c r="W2130" s="2">
        <f>Таблица1[[#This Row],[Дата поступления]]-Таблица1[[#This Row],[Дата рождения]]</f>
        <v>0</v>
      </c>
    </row>
    <row r="2131" spans="22:23" ht="24.95" customHeight="1" x14ac:dyDescent="0.25">
      <c r="V2131" s="2">
        <f>Таблица1[[#This Row],[Дата перевода]]-Таблица1[[#This Row],[Дата поступления]]</f>
        <v>0</v>
      </c>
      <c r="W2131" s="2">
        <f>Таблица1[[#This Row],[Дата поступления]]-Таблица1[[#This Row],[Дата рождения]]</f>
        <v>0</v>
      </c>
    </row>
    <row r="2132" spans="22:23" ht="24.95" customHeight="1" x14ac:dyDescent="0.25">
      <c r="V2132" s="2">
        <f>Таблица1[[#This Row],[Дата перевода]]-Таблица1[[#This Row],[Дата поступления]]</f>
        <v>0</v>
      </c>
      <c r="W2132" s="2">
        <f>Таблица1[[#This Row],[Дата поступления]]-Таблица1[[#This Row],[Дата рождения]]</f>
        <v>0</v>
      </c>
    </row>
    <row r="2133" spans="22:23" ht="24.95" customHeight="1" x14ac:dyDescent="0.25">
      <c r="V2133" s="2">
        <f>Таблица1[[#This Row],[Дата перевода]]-Таблица1[[#This Row],[Дата поступления]]</f>
        <v>0</v>
      </c>
      <c r="W2133" s="2">
        <f>Таблица1[[#This Row],[Дата поступления]]-Таблица1[[#This Row],[Дата рождения]]</f>
        <v>0</v>
      </c>
    </row>
    <row r="2134" spans="22:23" ht="24.95" customHeight="1" x14ac:dyDescent="0.25">
      <c r="V2134" s="2">
        <f>Таблица1[[#This Row],[Дата перевода]]-Таблица1[[#This Row],[Дата поступления]]</f>
        <v>0</v>
      </c>
      <c r="W2134" s="2">
        <f>Таблица1[[#This Row],[Дата поступления]]-Таблица1[[#This Row],[Дата рождения]]</f>
        <v>0</v>
      </c>
    </row>
    <row r="2135" spans="22:23" ht="24.95" customHeight="1" x14ac:dyDescent="0.25">
      <c r="V2135" s="2">
        <f>Таблица1[[#This Row],[Дата перевода]]-Таблица1[[#This Row],[Дата поступления]]</f>
        <v>0</v>
      </c>
      <c r="W2135" s="2">
        <f>Таблица1[[#This Row],[Дата поступления]]-Таблица1[[#This Row],[Дата рождения]]</f>
        <v>0</v>
      </c>
    </row>
    <row r="2136" spans="22:23" ht="24.95" customHeight="1" x14ac:dyDescent="0.25">
      <c r="V2136" s="2">
        <f>Таблица1[[#This Row],[Дата перевода]]-Таблица1[[#This Row],[Дата поступления]]</f>
        <v>0</v>
      </c>
      <c r="W2136" s="2">
        <f>Таблица1[[#This Row],[Дата поступления]]-Таблица1[[#This Row],[Дата рождения]]</f>
        <v>0</v>
      </c>
    </row>
    <row r="2137" spans="22:23" ht="24.95" customHeight="1" x14ac:dyDescent="0.25">
      <c r="V2137" s="2">
        <f>Таблица1[[#This Row],[Дата перевода]]-Таблица1[[#This Row],[Дата поступления]]</f>
        <v>0</v>
      </c>
      <c r="W2137" s="2">
        <f>Таблица1[[#This Row],[Дата поступления]]-Таблица1[[#This Row],[Дата рождения]]</f>
        <v>0</v>
      </c>
    </row>
    <row r="2138" spans="22:23" ht="24.95" customHeight="1" x14ac:dyDescent="0.25">
      <c r="V2138" s="2">
        <f>Таблица1[[#This Row],[Дата перевода]]-Таблица1[[#This Row],[Дата поступления]]</f>
        <v>0</v>
      </c>
      <c r="W2138" s="2">
        <f>Таблица1[[#This Row],[Дата поступления]]-Таблица1[[#This Row],[Дата рождения]]</f>
        <v>0</v>
      </c>
    </row>
    <row r="2139" spans="22:23" ht="24.95" customHeight="1" x14ac:dyDescent="0.25">
      <c r="V2139" s="2">
        <f>Таблица1[[#This Row],[Дата перевода]]-Таблица1[[#This Row],[Дата поступления]]</f>
        <v>0</v>
      </c>
      <c r="W2139" s="2">
        <f>Таблица1[[#This Row],[Дата поступления]]-Таблица1[[#This Row],[Дата рождения]]</f>
        <v>0</v>
      </c>
    </row>
    <row r="2140" spans="22:23" ht="24.95" customHeight="1" x14ac:dyDescent="0.25">
      <c r="V2140" s="2">
        <f>Таблица1[[#This Row],[Дата перевода]]-Таблица1[[#This Row],[Дата поступления]]</f>
        <v>0</v>
      </c>
      <c r="W2140" s="2">
        <f>Таблица1[[#This Row],[Дата поступления]]-Таблица1[[#This Row],[Дата рождения]]</f>
        <v>0</v>
      </c>
    </row>
    <row r="2141" spans="22:23" ht="24.95" customHeight="1" x14ac:dyDescent="0.25">
      <c r="V2141" s="2">
        <f>Таблица1[[#This Row],[Дата перевода]]-Таблица1[[#This Row],[Дата поступления]]</f>
        <v>0</v>
      </c>
      <c r="W2141" s="2">
        <f>Таблица1[[#This Row],[Дата поступления]]-Таблица1[[#This Row],[Дата рождения]]</f>
        <v>0</v>
      </c>
    </row>
    <row r="2142" spans="22:23" ht="24.95" customHeight="1" x14ac:dyDescent="0.25">
      <c r="V2142" s="2">
        <f>Таблица1[[#This Row],[Дата перевода]]-Таблица1[[#This Row],[Дата поступления]]</f>
        <v>0</v>
      </c>
      <c r="W2142" s="2">
        <f>Таблица1[[#This Row],[Дата поступления]]-Таблица1[[#This Row],[Дата рождения]]</f>
        <v>0</v>
      </c>
    </row>
    <row r="2143" spans="22:23" ht="24.95" customHeight="1" x14ac:dyDescent="0.25">
      <c r="V2143" s="2">
        <f>Таблица1[[#This Row],[Дата перевода]]-Таблица1[[#This Row],[Дата поступления]]</f>
        <v>0</v>
      </c>
      <c r="W2143" s="2">
        <f>Таблица1[[#This Row],[Дата поступления]]-Таблица1[[#This Row],[Дата рождения]]</f>
        <v>0</v>
      </c>
    </row>
    <row r="2144" spans="22:23" ht="24.95" customHeight="1" x14ac:dyDescent="0.25">
      <c r="V2144" s="2">
        <f>Таблица1[[#This Row],[Дата перевода]]-Таблица1[[#This Row],[Дата поступления]]</f>
        <v>0</v>
      </c>
      <c r="W2144" s="2">
        <f>Таблица1[[#This Row],[Дата поступления]]-Таблица1[[#This Row],[Дата рождения]]</f>
        <v>0</v>
      </c>
    </row>
    <row r="2145" spans="22:23" ht="24.95" customHeight="1" x14ac:dyDescent="0.25">
      <c r="V2145" s="2">
        <f>Таблица1[[#This Row],[Дата перевода]]-Таблица1[[#This Row],[Дата поступления]]</f>
        <v>0</v>
      </c>
      <c r="W2145" s="2">
        <f>Таблица1[[#This Row],[Дата поступления]]-Таблица1[[#This Row],[Дата рождения]]</f>
        <v>0</v>
      </c>
    </row>
    <row r="2146" spans="22:23" ht="24.95" customHeight="1" x14ac:dyDescent="0.25">
      <c r="V2146" s="2">
        <f>Таблица1[[#This Row],[Дата перевода]]-Таблица1[[#This Row],[Дата поступления]]</f>
        <v>0</v>
      </c>
      <c r="W2146" s="2">
        <f>Таблица1[[#This Row],[Дата поступления]]-Таблица1[[#This Row],[Дата рождения]]</f>
        <v>0</v>
      </c>
    </row>
    <row r="2147" spans="22:23" ht="24.95" customHeight="1" x14ac:dyDescent="0.25">
      <c r="V2147" s="2">
        <f>Таблица1[[#This Row],[Дата перевода]]-Таблица1[[#This Row],[Дата поступления]]</f>
        <v>0</v>
      </c>
      <c r="W2147" s="2">
        <f>Таблица1[[#This Row],[Дата поступления]]-Таблица1[[#This Row],[Дата рождения]]</f>
        <v>0</v>
      </c>
    </row>
    <row r="2148" spans="22:23" ht="24.95" customHeight="1" x14ac:dyDescent="0.25">
      <c r="V2148" s="2">
        <f>Таблица1[[#This Row],[Дата перевода]]-Таблица1[[#This Row],[Дата поступления]]</f>
        <v>0</v>
      </c>
      <c r="W2148" s="2">
        <f>Таблица1[[#This Row],[Дата поступления]]-Таблица1[[#This Row],[Дата рождения]]</f>
        <v>0</v>
      </c>
    </row>
    <row r="2149" spans="22:23" ht="24.95" customHeight="1" x14ac:dyDescent="0.25">
      <c r="V2149" s="2">
        <f>Таблица1[[#This Row],[Дата перевода]]-Таблица1[[#This Row],[Дата поступления]]</f>
        <v>0</v>
      </c>
      <c r="W2149" s="2">
        <f>Таблица1[[#This Row],[Дата поступления]]-Таблица1[[#This Row],[Дата рождения]]</f>
        <v>0</v>
      </c>
    </row>
    <row r="2150" spans="22:23" ht="24.95" customHeight="1" x14ac:dyDescent="0.25">
      <c r="V2150" s="2">
        <f>Таблица1[[#This Row],[Дата перевода]]-Таблица1[[#This Row],[Дата поступления]]</f>
        <v>0</v>
      </c>
      <c r="W2150" s="2">
        <f>Таблица1[[#This Row],[Дата поступления]]-Таблица1[[#This Row],[Дата рождения]]</f>
        <v>0</v>
      </c>
    </row>
    <row r="2151" spans="22:23" ht="24.95" customHeight="1" x14ac:dyDescent="0.25">
      <c r="V2151" s="2">
        <f>Таблица1[[#This Row],[Дата перевода]]-Таблица1[[#This Row],[Дата поступления]]</f>
        <v>0</v>
      </c>
      <c r="W2151" s="2">
        <f>Таблица1[[#This Row],[Дата поступления]]-Таблица1[[#This Row],[Дата рождения]]</f>
        <v>0</v>
      </c>
    </row>
    <row r="2152" spans="22:23" ht="24.95" customHeight="1" x14ac:dyDescent="0.25">
      <c r="V2152" s="2">
        <f>Таблица1[[#This Row],[Дата перевода]]-Таблица1[[#This Row],[Дата поступления]]</f>
        <v>0</v>
      </c>
      <c r="W2152" s="2">
        <f>Таблица1[[#This Row],[Дата поступления]]-Таблица1[[#This Row],[Дата рождения]]</f>
        <v>0</v>
      </c>
    </row>
    <row r="2153" spans="22:23" ht="24.95" customHeight="1" x14ac:dyDescent="0.25">
      <c r="V2153" s="2">
        <f>Таблица1[[#This Row],[Дата перевода]]-Таблица1[[#This Row],[Дата поступления]]</f>
        <v>0</v>
      </c>
      <c r="W2153" s="2">
        <f>Таблица1[[#This Row],[Дата поступления]]-Таблица1[[#This Row],[Дата рождения]]</f>
        <v>0</v>
      </c>
    </row>
    <row r="2154" spans="22:23" ht="24.95" customHeight="1" x14ac:dyDescent="0.25">
      <c r="V2154" s="2">
        <f>Таблица1[[#This Row],[Дата перевода]]-Таблица1[[#This Row],[Дата поступления]]</f>
        <v>0</v>
      </c>
      <c r="W2154" s="2">
        <f>Таблица1[[#This Row],[Дата поступления]]-Таблица1[[#This Row],[Дата рождения]]</f>
        <v>0</v>
      </c>
    </row>
    <row r="2155" spans="22:23" ht="24.95" customHeight="1" x14ac:dyDescent="0.25">
      <c r="V2155" s="2">
        <f>Таблица1[[#This Row],[Дата перевода]]-Таблица1[[#This Row],[Дата поступления]]</f>
        <v>0</v>
      </c>
      <c r="W2155" s="2">
        <f>Таблица1[[#This Row],[Дата поступления]]-Таблица1[[#This Row],[Дата рождения]]</f>
        <v>0</v>
      </c>
    </row>
    <row r="2156" spans="22:23" ht="24.95" customHeight="1" x14ac:dyDescent="0.25">
      <c r="V2156" s="2">
        <f>Таблица1[[#This Row],[Дата перевода]]-Таблица1[[#This Row],[Дата поступления]]</f>
        <v>0</v>
      </c>
      <c r="W2156" s="2">
        <f>Таблица1[[#This Row],[Дата поступления]]-Таблица1[[#This Row],[Дата рождения]]</f>
        <v>0</v>
      </c>
    </row>
    <row r="2157" spans="22:23" ht="24.95" customHeight="1" x14ac:dyDescent="0.25">
      <c r="V2157" s="2">
        <f>Таблица1[[#This Row],[Дата перевода]]-Таблица1[[#This Row],[Дата поступления]]</f>
        <v>0</v>
      </c>
      <c r="W2157" s="2">
        <f>Таблица1[[#This Row],[Дата поступления]]-Таблица1[[#This Row],[Дата рождения]]</f>
        <v>0</v>
      </c>
    </row>
    <row r="2158" spans="22:23" ht="24.95" customHeight="1" x14ac:dyDescent="0.25">
      <c r="V2158" s="2">
        <f>Таблица1[[#This Row],[Дата перевода]]-Таблица1[[#This Row],[Дата поступления]]</f>
        <v>0</v>
      </c>
      <c r="W2158" s="2">
        <f>Таблица1[[#This Row],[Дата поступления]]-Таблица1[[#This Row],[Дата рождения]]</f>
        <v>0</v>
      </c>
    </row>
    <row r="2159" spans="22:23" ht="24.95" customHeight="1" x14ac:dyDescent="0.25">
      <c r="V2159" s="2">
        <f>Таблица1[[#This Row],[Дата перевода]]-Таблица1[[#This Row],[Дата поступления]]</f>
        <v>0</v>
      </c>
      <c r="W2159" s="2">
        <f>Таблица1[[#This Row],[Дата поступления]]-Таблица1[[#This Row],[Дата рождения]]</f>
        <v>0</v>
      </c>
    </row>
    <row r="2160" spans="22:23" ht="24.95" customHeight="1" x14ac:dyDescent="0.25">
      <c r="V2160" s="2">
        <f>Таблица1[[#This Row],[Дата перевода]]-Таблица1[[#This Row],[Дата поступления]]</f>
        <v>0</v>
      </c>
      <c r="W2160" s="2">
        <f>Таблица1[[#This Row],[Дата поступления]]-Таблица1[[#This Row],[Дата рождения]]</f>
        <v>0</v>
      </c>
    </row>
    <row r="2161" spans="22:23" ht="24.95" customHeight="1" x14ac:dyDescent="0.25">
      <c r="V2161" s="2">
        <f>Таблица1[[#This Row],[Дата перевода]]-Таблица1[[#This Row],[Дата поступления]]</f>
        <v>0</v>
      </c>
      <c r="W2161" s="2">
        <f>Таблица1[[#This Row],[Дата поступления]]-Таблица1[[#This Row],[Дата рождения]]</f>
        <v>0</v>
      </c>
    </row>
    <row r="2162" spans="22:23" ht="24.95" customHeight="1" x14ac:dyDescent="0.25">
      <c r="V2162" s="2">
        <f>Таблица1[[#This Row],[Дата перевода]]-Таблица1[[#This Row],[Дата поступления]]</f>
        <v>0</v>
      </c>
      <c r="W2162" s="2">
        <f>Таблица1[[#This Row],[Дата поступления]]-Таблица1[[#This Row],[Дата рождения]]</f>
        <v>0</v>
      </c>
    </row>
    <row r="2163" spans="22:23" ht="24.95" customHeight="1" x14ac:dyDescent="0.25">
      <c r="V2163" s="2">
        <f>Таблица1[[#This Row],[Дата перевода]]-Таблица1[[#This Row],[Дата поступления]]</f>
        <v>0</v>
      </c>
      <c r="W2163" s="2">
        <f>Таблица1[[#This Row],[Дата поступления]]-Таблица1[[#This Row],[Дата рождения]]</f>
        <v>0</v>
      </c>
    </row>
    <row r="2164" spans="22:23" ht="24.95" customHeight="1" x14ac:dyDescent="0.25">
      <c r="V2164" s="2">
        <f>Таблица1[[#This Row],[Дата перевода]]-Таблица1[[#This Row],[Дата поступления]]</f>
        <v>0</v>
      </c>
      <c r="W2164" s="2">
        <f>Таблица1[[#This Row],[Дата поступления]]-Таблица1[[#This Row],[Дата рождения]]</f>
        <v>0</v>
      </c>
    </row>
    <row r="2165" spans="22:23" ht="24.95" customHeight="1" x14ac:dyDescent="0.25">
      <c r="V2165" s="2">
        <f>Таблица1[[#This Row],[Дата перевода]]-Таблица1[[#This Row],[Дата поступления]]</f>
        <v>0</v>
      </c>
      <c r="W2165" s="2">
        <f>Таблица1[[#This Row],[Дата поступления]]-Таблица1[[#This Row],[Дата рождения]]</f>
        <v>0</v>
      </c>
    </row>
    <row r="2166" spans="22:23" ht="24.95" customHeight="1" x14ac:dyDescent="0.25">
      <c r="V2166" s="2">
        <f>Таблица1[[#This Row],[Дата перевода]]-Таблица1[[#This Row],[Дата поступления]]</f>
        <v>0</v>
      </c>
      <c r="W2166" s="2">
        <f>Таблица1[[#This Row],[Дата поступления]]-Таблица1[[#This Row],[Дата рождения]]</f>
        <v>0</v>
      </c>
    </row>
    <row r="2167" spans="22:23" ht="24.95" customHeight="1" x14ac:dyDescent="0.25">
      <c r="V2167" s="2">
        <f>Таблица1[[#This Row],[Дата перевода]]-Таблица1[[#This Row],[Дата поступления]]</f>
        <v>0</v>
      </c>
      <c r="W2167" s="2">
        <f>Таблица1[[#This Row],[Дата поступления]]-Таблица1[[#This Row],[Дата рождения]]</f>
        <v>0</v>
      </c>
    </row>
    <row r="2168" spans="22:23" ht="24.95" customHeight="1" x14ac:dyDescent="0.25">
      <c r="V2168" s="2">
        <f>Таблица1[[#This Row],[Дата перевода]]-Таблица1[[#This Row],[Дата поступления]]</f>
        <v>0</v>
      </c>
      <c r="W2168" s="2">
        <f>Таблица1[[#This Row],[Дата поступления]]-Таблица1[[#This Row],[Дата рождения]]</f>
        <v>0</v>
      </c>
    </row>
    <row r="2169" spans="22:23" ht="24.95" customHeight="1" x14ac:dyDescent="0.25">
      <c r="V2169" s="2">
        <f>Таблица1[[#This Row],[Дата перевода]]-Таблица1[[#This Row],[Дата поступления]]</f>
        <v>0</v>
      </c>
      <c r="W2169" s="2">
        <f>Таблица1[[#This Row],[Дата поступления]]-Таблица1[[#This Row],[Дата рождения]]</f>
        <v>0</v>
      </c>
    </row>
    <row r="2170" spans="22:23" ht="24.95" customHeight="1" x14ac:dyDescent="0.25">
      <c r="V2170" s="2">
        <f>Таблица1[[#This Row],[Дата перевода]]-Таблица1[[#This Row],[Дата поступления]]</f>
        <v>0</v>
      </c>
      <c r="W2170" s="2">
        <f>Таблица1[[#This Row],[Дата поступления]]-Таблица1[[#This Row],[Дата рождения]]</f>
        <v>0</v>
      </c>
    </row>
    <row r="2171" spans="22:23" ht="24.95" customHeight="1" x14ac:dyDescent="0.25">
      <c r="V2171" s="2">
        <f>Таблица1[[#This Row],[Дата перевода]]-Таблица1[[#This Row],[Дата поступления]]</f>
        <v>0</v>
      </c>
      <c r="W2171" s="2">
        <f>Таблица1[[#This Row],[Дата поступления]]-Таблица1[[#This Row],[Дата рождения]]</f>
        <v>0</v>
      </c>
    </row>
    <row r="2172" spans="22:23" ht="24.95" customHeight="1" x14ac:dyDescent="0.25">
      <c r="V2172" s="2">
        <f>Таблица1[[#This Row],[Дата перевода]]-Таблица1[[#This Row],[Дата поступления]]</f>
        <v>0</v>
      </c>
      <c r="W2172" s="2">
        <f>Таблица1[[#This Row],[Дата поступления]]-Таблица1[[#This Row],[Дата рождения]]</f>
        <v>0</v>
      </c>
    </row>
    <row r="2173" spans="22:23" ht="24.95" customHeight="1" x14ac:dyDescent="0.25">
      <c r="V2173" s="2">
        <f>Таблица1[[#This Row],[Дата перевода]]-Таблица1[[#This Row],[Дата поступления]]</f>
        <v>0</v>
      </c>
      <c r="W2173" s="2">
        <f>Таблица1[[#This Row],[Дата поступления]]-Таблица1[[#This Row],[Дата рождения]]</f>
        <v>0</v>
      </c>
    </row>
    <row r="2174" spans="22:23" ht="24.95" customHeight="1" x14ac:dyDescent="0.25">
      <c r="V2174" s="2">
        <f>Таблица1[[#This Row],[Дата перевода]]-Таблица1[[#This Row],[Дата поступления]]</f>
        <v>0</v>
      </c>
      <c r="W2174" s="2">
        <f>Таблица1[[#This Row],[Дата поступления]]-Таблица1[[#This Row],[Дата рождения]]</f>
        <v>0</v>
      </c>
    </row>
    <row r="2175" spans="22:23" ht="24.95" customHeight="1" x14ac:dyDescent="0.25">
      <c r="V2175" s="2">
        <f>Таблица1[[#This Row],[Дата перевода]]-Таблица1[[#This Row],[Дата поступления]]</f>
        <v>0</v>
      </c>
      <c r="W2175" s="2">
        <f>Таблица1[[#This Row],[Дата поступления]]-Таблица1[[#This Row],[Дата рождения]]</f>
        <v>0</v>
      </c>
    </row>
    <row r="2176" spans="22:23" ht="24.95" customHeight="1" x14ac:dyDescent="0.25">
      <c r="V2176" s="2">
        <f>Таблица1[[#This Row],[Дата перевода]]-Таблица1[[#This Row],[Дата поступления]]</f>
        <v>0</v>
      </c>
      <c r="W2176" s="2">
        <f>Таблица1[[#This Row],[Дата поступления]]-Таблица1[[#This Row],[Дата рождения]]</f>
        <v>0</v>
      </c>
    </row>
    <row r="2177" spans="22:23" ht="24.95" customHeight="1" x14ac:dyDescent="0.25">
      <c r="V2177" s="2">
        <f>Таблица1[[#This Row],[Дата перевода]]-Таблица1[[#This Row],[Дата поступления]]</f>
        <v>0</v>
      </c>
      <c r="W2177" s="2">
        <f>Таблица1[[#This Row],[Дата поступления]]-Таблица1[[#This Row],[Дата рождения]]</f>
        <v>0</v>
      </c>
    </row>
    <row r="2178" spans="22:23" ht="24.95" customHeight="1" x14ac:dyDescent="0.25">
      <c r="V2178" s="2">
        <f>Таблица1[[#This Row],[Дата перевода]]-Таблица1[[#This Row],[Дата поступления]]</f>
        <v>0</v>
      </c>
      <c r="W2178" s="2">
        <f>Таблица1[[#This Row],[Дата поступления]]-Таблица1[[#This Row],[Дата рождения]]</f>
        <v>0</v>
      </c>
    </row>
    <row r="2179" spans="22:23" ht="24.95" customHeight="1" x14ac:dyDescent="0.25">
      <c r="V2179" s="2">
        <f>Таблица1[[#This Row],[Дата перевода]]-Таблица1[[#This Row],[Дата поступления]]</f>
        <v>0</v>
      </c>
      <c r="W2179" s="2">
        <f>Таблица1[[#This Row],[Дата поступления]]-Таблица1[[#This Row],[Дата рождения]]</f>
        <v>0</v>
      </c>
    </row>
    <row r="2180" spans="22:23" ht="24.95" customHeight="1" x14ac:dyDescent="0.25">
      <c r="V2180" s="2">
        <f>Таблица1[[#This Row],[Дата перевода]]-Таблица1[[#This Row],[Дата поступления]]</f>
        <v>0</v>
      </c>
      <c r="W2180" s="2">
        <f>Таблица1[[#This Row],[Дата поступления]]-Таблица1[[#This Row],[Дата рождения]]</f>
        <v>0</v>
      </c>
    </row>
    <row r="2181" spans="22:23" ht="24.95" customHeight="1" x14ac:dyDescent="0.25">
      <c r="V2181" s="2">
        <f>Таблица1[[#This Row],[Дата перевода]]-Таблица1[[#This Row],[Дата поступления]]</f>
        <v>0</v>
      </c>
      <c r="W2181" s="2">
        <f>Таблица1[[#This Row],[Дата поступления]]-Таблица1[[#This Row],[Дата рождения]]</f>
        <v>0</v>
      </c>
    </row>
    <row r="2182" spans="22:23" ht="24.95" customHeight="1" x14ac:dyDescent="0.25">
      <c r="V2182" s="2">
        <f>Таблица1[[#This Row],[Дата перевода]]-Таблица1[[#This Row],[Дата поступления]]</f>
        <v>0</v>
      </c>
      <c r="W2182" s="2">
        <f>Таблица1[[#This Row],[Дата поступления]]-Таблица1[[#This Row],[Дата рождения]]</f>
        <v>0</v>
      </c>
    </row>
    <row r="2183" spans="22:23" ht="24.95" customHeight="1" x14ac:dyDescent="0.25">
      <c r="V2183" s="2">
        <f>Таблица1[[#This Row],[Дата перевода]]-Таблица1[[#This Row],[Дата поступления]]</f>
        <v>0</v>
      </c>
      <c r="W2183" s="2">
        <f>Таблица1[[#This Row],[Дата поступления]]-Таблица1[[#This Row],[Дата рождения]]</f>
        <v>0</v>
      </c>
    </row>
    <row r="2184" spans="22:23" ht="24.95" customHeight="1" x14ac:dyDescent="0.25">
      <c r="V2184" s="2">
        <f>Таблица1[[#This Row],[Дата перевода]]-Таблица1[[#This Row],[Дата поступления]]</f>
        <v>0</v>
      </c>
      <c r="W2184" s="2">
        <f>Таблица1[[#This Row],[Дата поступления]]-Таблица1[[#This Row],[Дата рождения]]</f>
        <v>0</v>
      </c>
    </row>
    <row r="2185" spans="22:23" ht="24.95" customHeight="1" x14ac:dyDescent="0.25">
      <c r="V2185" s="2">
        <f>Таблица1[[#This Row],[Дата перевода]]-Таблица1[[#This Row],[Дата поступления]]</f>
        <v>0</v>
      </c>
      <c r="W2185" s="2">
        <f>Таблица1[[#This Row],[Дата поступления]]-Таблица1[[#This Row],[Дата рождения]]</f>
        <v>0</v>
      </c>
    </row>
    <row r="2186" spans="22:23" ht="24.95" customHeight="1" x14ac:dyDescent="0.25">
      <c r="V2186" s="2">
        <f>Таблица1[[#This Row],[Дата перевода]]-Таблица1[[#This Row],[Дата поступления]]</f>
        <v>0</v>
      </c>
      <c r="W2186" s="2">
        <f>Таблица1[[#This Row],[Дата поступления]]-Таблица1[[#This Row],[Дата рождения]]</f>
        <v>0</v>
      </c>
    </row>
    <row r="2187" spans="22:23" ht="24.95" customHeight="1" x14ac:dyDescent="0.25">
      <c r="V2187" s="2">
        <f>Таблица1[[#This Row],[Дата перевода]]-Таблица1[[#This Row],[Дата поступления]]</f>
        <v>0</v>
      </c>
      <c r="W2187" s="2">
        <f>Таблица1[[#This Row],[Дата поступления]]-Таблица1[[#This Row],[Дата рождения]]</f>
        <v>0</v>
      </c>
    </row>
    <row r="2188" spans="22:23" ht="24.95" customHeight="1" x14ac:dyDescent="0.25">
      <c r="V2188" s="2">
        <f>Таблица1[[#This Row],[Дата перевода]]-Таблица1[[#This Row],[Дата поступления]]</f>
        <v>0</v>
      </c>
      <c r="W2188" s="2">
        <f>Таблица1[[#This Row],[Дата поступления]]-Таблица1[[#This Row],[Дата рождения]]</f>
        <v>0</v>
      </c>
    </row>
    <row r="2189" spans="22:23" ht="24.95" customHeight="1" x14ac:dyDescent="0.25">
      <c r="V2189" s="2">
        <f>Таблица1[[#This Row],[Дата перевода]]-Таблица1[[#This Row],[Дата поступления]]</f>
        <v>0</v>
      </c>
      <c r="W2189" s="2">
        <f>Таблица1[[#This Row],[Дата поступления]]-Таблица1[[#This Row],[Дата рождения]]</f>
        <v>0</v>
      </c>
    </row>
    <row r="2190" spans="22:23" ht="24.95" customHeight="1" x14ac:dyDescent="0.25">
      <c r="V2190" s="2">
        <f>Таблица1[[#This Row],[Дата перевода]]-Таблица1[[#This Row],[Дата поступления]]</f>
        <v>0</v>
      </c>
      <c r="W2190" s="2">
        <f>Таблица1[[#This Row],[Дата поступления]]-Таблица1[[#This Row],[Дата рождения]]</f>
        <v>0</v>
      </c>
    </row>
    <row r="2191" spans="22:23" ht="24.95" customHeight="1" x14ac:dyDescent="0.25">
      <c r="V2191" s="2">
        <f>Таблица1[[#This Row],[Дата перевода]]-Таблица1[[#This Row],[Дата поступления]]</f>
        <v>0</v>
      </c>
      <c r="W2191" s="2">
        <f>Таблица1[[#This Row],[Дата поступления]]-Таблица1[[#This Row],[Дата рождения]]</f>
        <v>0</v>
      </c>
    </row>
    <row r="2192" spans="22:23" ht="24.95" customHeight="1" x14ac:dyDescent="0.25">
      <c r="V2192" s="2">
        <f>Таблица1[[#This Row],[Дата перевода]]-Таблица1[[#This Row],[Дата поступления]]</f>
        <v>0</v>
      </c>
      <c r="W2192" s="2">
        <f>Таблица1[[#This Row],[Дата поступления]]-Таблица1[[#This Row],[Дата рождения]]</f>
        <v>0</v>
      </c>
    </row>
    <row r="2193" spans="22:23" ht="24.95" customHeight="1" x14ac:dyDescent="0.25">
      <c r="V2193" s="2">
        <f>Таблица1[[#This Row],[Дата перевода]]-Таблица1[[#This Row],[Дата поступления]]</f>
        <v>0</v>
      </c>
      <c r="W2193" s="2">
        <f>Таблица1[[#This Row],[Дата поступления]]-Таблица1[[#This Row],[Дата рождения]]</f>
        <v>0</v>
      </c>
    </row>
    <row r="2194" spans="22:23" ht="24.95" customHeight="1" x14ac:dyDescent="0.25">
      <c r="V2194" s="2">
        <f>Таблица1[[#This Row],[Дата перевода]]-Таблица1[[#This Row],[Дата поступления]]</f>
        <v>0</v>
      </c>
      <c r="W2194" s="2">
        <f>Таблица1[[#This Row],[Дата поступления]]-Таблица1[[#This Row],[Дата рождения]]</f>
        <v>0</v>
      </c>
    </row>
    <row r="2195" spans="22:23" ht="24.95" customHeight="1" x14ac:dyDescent="0.25">
      <c r="V2195" s="2">
        <f>Таблица1[[#This Row],[Дата перевода]]-Таблица1[[#This Row],[Дата поступления]]</f>
        <v>0</v>
      </c>
      <c r="W2195" s="2">
        <f>Таблица1[[#This Row],[Дата поступления]]-Таблица1[[#This Row],[Дата рождения]]</f>
        <v>0</v>
      </c>
    </row>
    <row r="2196" spans="22:23" ht="24.95" customHeight="1" x14ac:dyDescent="0.25">
      <c r="V2196" s="2">
        <f>Таблица1[[#This Row],[Дата перевода]]-Таблица1[[#This Row],[Дата поступления]]</f>
        <v>0</v>
      </c>
      <c r="W2196" s="2">
        <f>Таблица1[[#This Row],[Дата поступления]]-Таблица1[[#This Row],[Дата рождения]]</f>
        <v>0</v>
      </c>
    </row>
    <row r="2197" spans="22:23" ht="24.95" customHeight="1" x14ac:dyDescent="0.25">
      <c r="V2197" s="2">
        <f>Таблица1[[#This Row],[Дата перевода]]-Таблица1[[#This Row],[Дата поступления]]</f>
        <v>0</v>
      </c>
      <c r="W2197" s="2">
        <f>Таблица1[[#This Row],[Дата поступления]]-Таблица1[[#This Row],[Дата рождения]]</f>
        <v>0</v>
      </c>
    </row>
    <row r="2198" spans="22:23" ht="24.95" customHeight="1" x14ac:dyDescent="0.25">
      <c r="V2198" s="2">
        <f>Таблица1[[#This Row],[Дата перевода]]-Таблица1[[#This Row],[Дата поступления]]</f>
        <v>0</v>
      </c>
      <c r="W2198" s="2">
        <f>Таблица1[[#This Row],[Дата поступления]]-Таблица1[[#This Row],[Дата рождения]]</f>
        <v>0</v>
      </c>
    </row>
    <row r="2199" spans="22:23" ht="24.95" customHeight="1" x14ac:dyDescent="0.25">
      <c r="V2199" s="2">
        <f>Таблица1[[#This Row],[Дата перевода]]-Таблица1[[#This Row],[Дата поступления]]</f>
        <v>0</v>
      </c>
      <c r="W2199" s="2">
        <f>Таблица1[[#This Row],[Дата поступления]]-Таблица1[[#This Row],[Дата рождения]]</f>
        <v>0</v>
      </c>
    </row>
    <row r="2200" spans="22:23" ht="24.95" customHeight="1" x14ac:dyDescent="0.25">
      <c r="V2200" s="2">
        <f>Таблица1[[#This Row],[Дата перевода]]-Таблица1[[#This Row],[Дата поступления]]</f>
        <v>0</v>
      </c>
      <c r="W2200" s="2">
        <f>Таблица1[[#This Row],[Дата поступления]]-Таблица1[[#This Row],[Дата рождения]]</f>
        <v>0</v>
      </c>
    </row>
    <row r="2201" spans="22:23" ht="24.95" customHeight="1" x14ac:dyDescent="0.25">
      <c r="V2201" s="2">
        <f>Таблица1[[#This Row],[Дата перевода]]-Таблица1[[#This Row],[Дата поступления]]</f>
        <v>0</v>
      </c>
      <c r="W2201" s="2">
        <f>Таблица1[[#This Row],[Дата поступления]]-Таблица1[[#This Row],[Дата рождения]]</f>
        <v>0</v>
      </c>
    </row>
    <row r="2202" spans="22:23" ht="24.95" customHeight="1" x14ac:dyDescent="0.25">
      <c r="V2202" s="2">
        <f>Таблица1[[#This Row],[Дата перевода]]-Таблица1[[#This Row],[Дата поступления]]</f>
        <v>0</v>
      </c>
      <c r="W2202" s="2">
        <f>Таблица1[[#This Row],[Дата поступления]]-Таблица1[[#This Row],[Дата рождения]]</f>
        <v>0</v>
      </c>
    </row>
    <row r="2203" spans="22:23" ht="24.95" customHeight="1" x14ac:dyDescent="0.25">
      <c r="V2203" s="2">
        <f>Таблица1[[#This Row],[Дата перевода]]-Таблица1[[#This Row],[Дата поступления]]</f>
        <v>0</v>
      </c>
      <c r="W2203" s="2">
        <f>Таблица1[[#This Row],[Дата поступления]]-Таблица1[[#This Row],[Дата рождения]]</f>
        <v>0</v>
      </c>
    </row>
    <row r="2204" spans="22:23" ht="24.95" customHeight="1" x14ac:dyDescent="0.25">
      <c r="V2204" s="2">
        <f>Таблица1[[#This Row],[Дата перевода]]-Таблица1[[#This Row],[Дата поступления]]</f>
        <v>0</v>
      </c>
      <c r="W2204" s="2">
        <f>Таблица1[[#This Row],[Дата поступления]]-Таблица1[[#This Row],[Дата рождения]]</f>
        <v>0</v>
      </c>
    </row>
    <row r="2205" spans="22:23" ht="24.95" customHeight="1" x14ac:dyDescent="0.25">
      <c r="V2205" s="2">
        <f>Таблица1[[#This Row],[Дата перевода]]-Таблица1[[#This Row],[Дата поступления]]</f>
        <v>0</v>
      </c>
      <c r="W2205" s="2">
        <f>Таблица1[[#This Row],[Дата поступления]]-Таблица1[[#This Row],[Дата рождения]]</f>
        <v>0</v>
      </c>
    </row>
    <row r="2206" spans="22:23" ht="24.95" customHeight="1" x14ac:dyDescent="0.25">
      <c r="V2206" s="2">
        <f>Таблица1[[#This Row],[Дата перевода]]-Таблица1[[#This Row],[Дата поступления]]</f>
        <v>0</v>
      </c>
      <c r="W2206" s="2">
        <f>Таблица1[[#This Row],[Дата поступления]]-Таблица1[[#This Row],[Дата рождения]]</f>
        <v>0</v>
      </c>
    </row>
    <row r="2207" spans="22:23" ht="24.95" customHeight="1" x14ac:dyDescent="0.25">
      <c r="V2207" s="2">
        <f>Таблица1[[#This Row],[Дата перевода]]-Таблица1[[#This Row],[Дата поступления]]</f>
        <v>0</v>
      </c>
      <c r="W2207" s="2">
        <f>Таблица1[[#This Row],[Дата поступления]]-Таблица1[[#This Row],[Дата рождения]]</f>
        <v>0</v>
      </c>
    </row>
    <row r="2208" spans="22:23" ht="24.95" customHeight="1" x14ac:dyDescent="0.25">
      <c r="V2208" s="2">
        <f>Таблица1[[#This Row],[Дата перевода]]-Таблица1[[#This Row],[Дата поступления]]</f>
        <v>0</v>
      </c>
      <c r="W2208" s="2">
        <f>Таблица1[[#This Row],[Дата поступления]]-Таблица1[[#This Row],[Дата рождения]]</f>
        <v>0</v>
      </c>
    </row>
    <row r="2209" spans="22:23" ht="24.95" customHeight="1" x14ac:dyDescent="0.25">
      <c r="V2209" s="2">
        <f>Таблица1[[#This Row],[Дата перевода]]-Таблица1[[#This Row],[Дата поступления]]</f>
        <v>0</v>
      </c>
      <c r="W2209" s="2">
        <f>Таблица1[[#This Row],[Дата поступления]]-Таблица1[[#This Row],[Дата рождения]]</f>
        <v>0</v>
      </c>
    </row>
    <row r="2210" spans="22:23" ht="24.95" customHeight="1" x14ac:dyDescent="0.25">
      <c r="V2210" s="2">
        <f>Таблица1[[#This Row],[Дата перевода]]-Таблица1[[#This Row],[Дата поступления]]</f>
        <v>0</v>
      </c>
      <c r="W2210" s="2">
        <f>Таблица1[[#This Row],[Дата поступления]]-Таблица1[[#This Row],[Дата рождения]]</f>
        <v>0</v>
      </c>
    </row>
    <row r="2211" spans="22:23" ht="24.95" customHeight="1" x14ac:dyDescent="0.25">
      <c r="V2211" s="2">
        <f>Таблица1[[#This Row],[Дата перевода]]-Таблица1[[#This Row],[Дата поступления]]</f>
        <v>0</v>
      </c>
      <c r="W2211" s="2">
        <f>Таблица1[[#This Row],[Дата поступления]]-Таблица1[[#This Row],[Дата рождения]]</f>
        <v>0</v>
      </c>
    </row>
    <row r="2212" spans="22:23" ht="24.95" customHeight="1" x14ac:dyDescent="0.25">
      <c r="V2212" s="2">
        <f>Таблица1[[#This Row],[Дата перевода]]-Таблица1[[#This Row],[Дата поступления]]</f>
        <v>0</v>
      </c>
      <c r="W2212" s="2">
        <f>Таблица1[[#This Row],[Дата поступления]]-Таблица1[[#This Row],[Дата рождения]]</f>
        <v>0</v>
      </c>
    </row>
    <row r="2213" spans="22:23" ht="24.95" customHeight="1" x14ac:dyDescent="0.25">
      <c r="V2213" s="2">
        <f>Таблица1[[#This Row],[Дата перевода]]-Таблица1[[#This Row],[Дата поступления]]</f>
        <v>0</v>
      </c>
      <c r="W2213" s="2">
        <f>Таблица1[[#This Row],[Дата поступления]]-Таблица1[[#This Row],[Дата рождения]]</f>
        <v>0</v>
      </c>
    </row>
    <row r="2214" spans="22:23" ht="24.95" customHeight="1" x14ac:dyDescent="0.25">
      <c r="V2214" s="2">
        <f>Таблица1[[#This Row],[Дата перевода]]-Таблица1[[#This Row],[Дата поступления]]</f>
        <v>0</v>
      </c>
      <c r="W2214" s="2">
        <f>Таблица1[[#This Row],[Дата поступления]]-Таблица1[[#This Row],[Дата рождения]]</f>
        <v>0</v>
      </c>
    </row>
    <row r="2215" spans="22:23" ht="24.95" customHeight="1" x14ac:dyDescent="0.25">
      <c r="V2215" s="2">
        <f>Таблица1[[#This Row],[Дата перевода]]-Таблица1[[#This Row],[Дата поступления]]</f>
        <v>0</v>
      </c>
      <c r="W2215" s="2">
        <f>Таблица1[[#This Row],[Дата поступления]]-Таблица1[[#This Row],[Дата рождения]]</f>
        <v>0</v>
      </c>
    </row>
    <row r="2216" spans="22:23" ht="24.95" customHeight="1" x14ac:dyDescent="0.25">
      <c r="V2216" s="2">
        <f>Таблица1[[#This Row],[Дата перевода]]-Таблица1[[#This Row],[Дата поступления]]</f>
        <v>0</v>
      </c>
      <c r="W2216" s="2">
        <f>Таблица1[[#This Row],[Дата поступления]]-Таблица1[[#This Row],[Дата рождения]]</f>
        <v>0</v>
      </c>
    </row>
    <row r="2217" spans="22:23" ht="24.95" customHeight="1" x14ac:dyDescent="0.25">
      <c r="V2217" s="2">
        <f>Таблица1[[#This Row],[Дата перевода]]-Таблица1[[#This Row],[Дата поступления]]</f>
        <v>0</v>
      </c>
      <c r="W2217" s="2">
        <f>Таблица1[[#This Row],[Дата поступления]]-Таблица1[[#This Row],[Дата рождения]]</f>
        <v>0</v>
      </c>
    </row>
    <row r="2218" spans="22:23" ht="24.95" customHeight="1" x14ac:dyDescent="0.25">
      <c r="V2218" s="2">
        <f>Таблица1[[#This Row],[Дата перевода]]-Таблица1[[#This Row],[Дата поступления]]</f>
        <v>0</v>
      </c>
      <c r="W2218" s="2">
        <f>Таблица1[[#This Row],[Дата поступления]]-Таблица1[[#This Row],[Дата рождения]]</f>
        <v>0</v>
      </c>
    </row>
    <row r="2219" spans="22:23" ht="24.95" customHeight="1" x14ac:dyDescent="0.25">
      <c r="V2219" s="2">
        <f>Таблица1[[#This Row],[Дата перевода]]-Таблица1[[#This Row],[Дата поступления]]</f>
        <v>0</v>
      </c>
      <c r="W2219" s="2">
        <f>Таблица1[[#This Row],[Дата поступления]]-Таблица1[[#This Row],[Дата рождения]]</f>
        <v>0</v>
      </c>
    </row>
    <row r="2220" spans="22:23" ht="24.95" customHeight="1" x14ac:dyDescent="0.25">
      <c r="V2220" s="2">
        <f>Таблица1[[#This Row],[Дата перевода]]-Таблица1[[#This Row],[Дата поступления]]</f>
        <v>0</v>
      </c>
      <c r="W2220" s="2">
        <f>Таблица1[[#This Row],[Дата поступления]]-Таблица1[[#This Row],[Дата рождения]]</f>
        <v>0</v>
      </c>
    </row>
    <row r="2221" spans="22:23" ht="24.95" customHeight="1" x14ac:dyDescent="0.25">
      <c r="V2221" s="2">
        <f>Таблица1[[#This Row],[Дата перевода]]-Таблица1[[#This Row],[Дата поступления]]</f>
        <v>0</v>
      </c>
      <c r="W2221" s="2">
        <f>Таблица1[[#This Row],[Дата поступления]]-Таблица1[[#This Row],[Дата рождения]]</f>
        <v>0</v>
      </c>
    </row>
    <row r="2222" spans="22:23" ht="24.95" customHeight="1" x14ac:dyDescent="0.25">
      <c r="V2222" s="2">
        <f>Таблица1[[#This Row],[Дата перевода]]-Таблица1[[#This Row],[Дата поступления]]</f>
        <v>0</v>
      </c>
      <c r="W2222" s="2">
        <f>Таблица1[[#This Row],[Дата поступления]]-Таблица1[[#This Row],[Дата рождения]]</f>
        <v>0</v>
      </c>
    </row>
    <row r="2223" spans="22:23" ht="24.95" customHeight="1" x14ac:dyDescent="0.25">
      <c r="V2223" s="2">
        <f>Таблица1[[#This Row],[Дата перевода]]-Таблица1[[#This Row],[Дата поступления]]</f>
        <v>0</v>
      </c>
      <c r="W2223" s="2">
        <f>Таблица1[[#This Row],[Дата поступления]]-Таблица1[[#This Row],[Дата рождения]]</f>
        <v>0</v>
      </c>
    </row>
    <row r="2224" spans="22:23" ht="24.95" customHeight="1" x14ac:dyDescent="0.25">
      <c r="V2224" s="2">
        <f>Таблица1[[#This Row],[Дата перевода]]-Таблица1[[#This Row],[Дата поступления]]</f>
        <v>0</v>
      </c>
      <c r="W2224" s="2">
        <f>Таблица1[[#This Row],[Дата поступления]]-Таблица1[[#This Row],[Дата рождения]]</f>
        <v>0</v>
      </c>
    </row>
    <row r="2225" spans="22:23" ht="24.95" customHeight="1" x14ac:dyDescent="0.25">
      <c r="V2225" s="2">
        <f>Таблица1[[#This Row],[Дата перевода]]-Таблица1[[#This Row],[Дата поступления]]</f>
        <v>0</v>
      </c>
      <c r="W2225" s="2">
        <f>Таблица1[[#This Row],[Дата поступления]]-Таблица1[[#This Row],[Дата рождения]]</f>
        <v>0</v>
      </c>
    </row>
    <row r="2226" spans="22:23" ht="24.95" customHeight="1" x14ac:dyDescent="0.25">
      <c r="V2226" s="2">
        <f>Таблица1[[#This Row],[Дата перевода]]-Таблица1[[#This Row],[Дата поступления]]</f>
        <v>0</v>
      </c>
      <c r="W2226" s="2">
        <f>Таблица1[[#This Row],[Дата поступления]]-Таблица1[[#This Row],[Дата рождения]]</f>
        <v>0</v>
      </c>
    </row>
    <row r="2227" spans="22:23" ht="24.95" customHeight="1" x14ac:dyDescent="0.25">
      <c r="V2227" s="2">
        <f>Таблица1[[#This Row],[Дата перевода]]-Таблица1[[#This Row],[Дата поступления]]</f>
        <v>0</v>
      </c>
      <c r="W2227" s="2">
        <f>Таблица1[[#This Row],[Дата поступления]]-Таблица1[[#This Row],[Дата рождения]]</f>
        <v>0</v>
      </c>
    </row>
    <row r="2228" spans="22:23" ht="24.95" customHeight="1" x14ac:dyDescent="0.25">
      <c r="V2228" s="2">
        <f>Таблица1[[#This Row],[Дата перевода]]-Таблица1[[#This Row],[Дата поступления]]</f>
        <v>0</v>
      </c>
      <c r="W2228" s="2">
        <f>Таблица1[[#This Row],[Дата поступления]]-Таблица1[[#This Row],[Дата рождения]]</f>
        <v>0</v>
      </c>
    </row>
    <row r="2229" spans="22:23" ht="24.95" customHeight="1" x14ac:dyDescent="0.25">
      <c r="V2229" s="2">
        <f>Таблица1[[#This Row],[Дата перевода]]-Таблица1[[#This Row],[Дата поступления]]</f>
        <v>0</v>
      </c>
      <c r="W2229" s="2">
        <f>Таблица1[[#This Row],[Дата поступления]]-Таблица1[[#This Row],[Дата рождения]]</f>
        <v>0</v>
      </c>
    </row>
    <row r="2230" spans="22:23" ht="24.95" customHeight="1" x14ac:dyDescent="0.25">
      <c r="V2230" s="2">
        <f>Таблица1[[#This Row],[Дата перевода]]-Таблица1[[#This Row],[Дата поступления]]</f>
        <v>0</v>
      </c>
      <c r="W2230" s="2">
        <f>Таблица1[[#This Row],[Дата поступления]]-Таблица1[[#This Row],[Дата рождения]]</f>
        <v>0</v>
      </c>
    </row>
    <row r="2231" spans="22:23" ht="24.95" customHeight="1" x14ac:dyDescent="0.25">
      <c r="V2231" s="2">
        <f>Таблица1[[#This Row],[Дата перевода]]-Таблица1[[#This Row],[Дата поступления]]</f>
        <v>0</v>
      </c>
      <c r="W2231" s="2">
        <f>Таблица1[[#This Row],[Дата поступления]]-Таблица1[[#This Row],[Дата рождения]]</f>
        <v>0</v>
      </c>
    </row>
    <row r="2232" spans="22:23" ht="24.95" customHeight="1" x14ac:dyDescent="0.25">
      <c r="V2232" s="2">
        <f>Таблица1[[#This Row],[Дата перевода]]-Таблица1[[#This Row],[Дата поступления]]</f>
        <v>0</v>
      </c>
      <c r="W2232" s="2">
        <f>Таблица1[[#This Row],[Дата поступления]]-Таблица1[[#This Row],[Дата рождения]]</f>
        <v>0</v>
      </c>
    </row>
    <row r="2233" spans="22:23" ht="24.95" customHeight="1" x14ac:dyDescent="0.25">
      <c r="V2233" s="2">
        <f>Таблица1[[#This Row],[Дата перевода]]-Таблица1[[#This Row],[Дата поступления]]</f>
        <v>0</v>
      </c>
      <c r="W2233" s="2">
        <f>Таблица1[[#This Row],[Дата поступления]]-Таблица1[[#This Row],[Дата рождения]]</f>
        <v>0</v>
      </c>
    </row>
    <row r="2234" spans="22:23" ht="24.95" customHeight="1" x14ac:dyDescent="0.25">
      <c r="V2234" s="2">
        <f>Таблица1[[#This Row],[Дата перевода]]-Таблица1[[#This Row],[Дата поступления]]</f>
        <v>0</v>
      </c>
      <c r="W2234" s="2">
        <f>Таблица1[[#This Row],[Дата поступления]]-Таблица1[[#This Row],[Дата рождения]]</f>
        <v>0</v>
      </c>
    </row>
    <row r="2235" spans="22:23" ht="24.95" customHeight="1" x14ac:dyDescent="0.25">
      <c r="V2235" s="2">
        <f>Таблица1[[#This Row],[Дата перевода]]-Таблица1[[#This Row],[Дата поступления]]</f>
        <v>0</v>
      </c>
      <c r="W2235" s="2">
        <f>Таблица1[[#This Row],[Дата поступления]]-Таблица1[[#This Row],[Дата рождения]]</f>
        <v>0</v>
      </c>
    </row>
    <row r="2236" spans="22:23" ht="24.95" customHeight="1" x14ac:dyDescent="0.25">
      <c r="V2236" s="2">
        <f>Таблица1[[#This Row],[Дата перевода]]-Таблица1[[#This Row],[Дата поступления]]</f>
        <v>0</v>
      </c>
      <c r="W2236" s="2">
        <f>Таблица1[[#This Row],[Дата поступления]]-Таблица1[[#This Row],[Дата рождения]]</f>
        <v>0</v>
      </c>
    </row>
    <row r="2237" spans="22:23" ht="24.95" customHeight="1" x14ac:dyDescent="0.25">
      <c r="V2237" s="2">
        <f>Таблица1[[#This Row],[Дата перевода]]-Таблица1[[#This Row],[Дата поступления]]</f>
        <v>0</v>
      </c>
      <c r="W2237" s="2">
        <f>Таблица1[[#This Row],[Дата поступления]]-Таблица1[[#This Row],[Дата рождения]]</f>
        <v>0</v>
      </c>
    </row>
    <row r="2238" spans="22:23" ht="24.95" customHeight="1" x14ac:dyDescent="0.25">
      <c r="V2238" s="2">
        <f>Таблица1[[#This Row],[Дата перевода]]-Таблица1[[#This Row],[Дата поступления]]</f>
        <v>0</v>
      </c>
      <c r="W2238" s="2">
        <f>Таблица1[[#This Row],[Дата поступления]]-Таблица1[[#This Row],[Дата рождения]]</f>
        <v>0</v>
      </c>
    </row>
    <row r="2239" spans="22:23" ht="24.95" customHeight="1" x14ac:dyDescent="0.25">
      <c r="V2239" s="2">
        <f>Таблица1[[#This Row],[Дата перевода]]-Таблица1[[#This Row],[Дата поступления]]</f>
        <v>0</v>
      </c>
      <c r="W2239" s="2">
        <f>Таблица1[[#This Row],[Дата поступления]]-Таблица1[[#This Row],[Дата рождения]]</f>
        <v>0</v>
      </c>
    </row>
    <row r="2240" spans="22:23" ht="24.95" customHeight="1" x14ac:dyDescent="0.25">
      <c r="V2240" s="2">
        <f>Таблица1[[#This Row],[Дата перевода]]-Таблица1[[#This Row],[Дата поступления]]</f>
        <v>0</v>
      </c>
      <c r="W2240" s="2">
        <f>Таблица1[[#This Row],[Дата поступления]]-Таблица1[[#This Row],[Дата рождения]]</f>
        <v>0</v>
      </c>
    </row>
    <row r="2241" spans="22:23" ht="24.95" customHeight="1" x14ac:dyDescent="0.25">
      <c r="V2241" s="2">
        <f>Таблица1[[#This Row],[Дата перевода]]-Таблица1[[#This Row],[Дата поступления]]</f>
        <v>0</v>
      </c>
      <c r="W2241" s="2">
        <f>Таблица1[[#This Row],[Дата поступления]]-Таблица1[[#This Row],[Дата рождения]]</f>
        <v>0</v>
      </c>
    </row>
    <row r="2242" spans="22:23" ht="24.95" customHeight="1" x14ac:dyDescent="0.25">
      <c r="V2242" s="2">
        <f>Таблица1[[#This Row],[Дата перевода]]-Таблица1[[#This Row],[Дата поступления]]</f>
        <v>0</v>
      </c>
      <c r="W2242" s="2">
        <f>Таблица1[[#This Row],[Дата поступления]]-Таблица1[[#This Row],[Дата рождения]]</f>
        <v>0</v>
      </c>
    </row>
    <row r="2243" spans="22:23" ht="24.95" customHeight="1" x14ac:dyDescent="0.25">
      <c r="V2243" s="2">
        <f>Таблица1[[#This Row],[Дата перевода]]-Таблица1[[#This Row],[Дата поступления]]</f>
        <v>0</v>
      </c>
      <c r="W2243" s="2">
        <f>Таблица1[[#This Row],[Дата поступления]]-Таблица1[[#This Row],[Дата рождения]]</f>
        <v>0</v>
      </c>
    </row>
    <row r="2244" spans="22:23" ht="24.95" customHeight="1" x14ac:dyDescent="0.25">
      <c r="V2244" s="2">
        <f>Таблица1[[#This Row],[Дата перевода]]-Таблица1[[#This Row],[Дата поступления]]</f>
        <v>0</v>
      </c>
      <c r="W2244" s="2">
        <f>Таблица1[[#This Row],[Дата поступления]]-Таблица1[[#This Row],[Дата рождения]]</f>
        <v>0</v>
      </c>
    </row>
    <row r="2245" spans="22:23" ht="24.95" customHeight="1" x14ac:dyDescent="0.25">
      <c r="V2245" s="2">
        <f>Таблица1[[#This Row],[Дата перевода]]-Таблица1[[#This Row],[Дата поступления]]</f>
        <v>0</v>
      </c>
      <c r="W2245" s="2">
        <f>Таблица1[[#This Row],[Дата поступления]]-Таблица1[[#This Row],[Дата рождения]]</f>
        <v>0</v>
      </c>
    </row>
    <row r="2246" spans="22:23" ht="24.95" customHeight="1" x14ac:dyDescent="0.25">
      <c r="V2246" s="2">
        <f>Таблица1[[#This Row],[Дата перевода]]-Таблица1[[#This Row],[Дата поступления]]</f>
        <v>0</v>
      </c>
      <c r="W2246" s="2">
        <f>Таблица1[[#This Row],[Дата поступления]]-Таблица1[[#This Row],[Дата рождения]]</f>
        <v>0</v>
      </c>
    </row>
    <row r="2247" spans="22:23" ht="24.95" customHeight="1" x14ac:dyDescent="0.25">
      <c r="V2247" s="2">
        <f>Таблица1[[#This Row],[Дата перевода]]-Таблица1[[#This Row],[Дата поступления]]</f>
        <v>0</v>
      </c>
      <c r="W2247" s="2">
        <f>Таблица1[[#This Row],[Дата поступления]]-Таблица1[[#This Row],[Дата рождения]]</f>
        <v>0</v>
      </c>
    </row>
    <row r="2248" spans="22:23" ht="24.95" customHeight="1" x14ac:dyDescent="0.25">
      <c r="V2248" s="2">
        <f>Таблица1[[#This Row],[Дата перевода]]-Таблица1[[#This Row],[Дата поступления]]</f>
        <v>0</v>
      </c>
      <c r="W2248" s="2">
        <f>Таблица1[[#This Row],[Дата поступления]]-Таблица1[[#This Row],[Дата рождения]]</f>
        <v>0</v>
      </c>
    </row>
    <row r="2249" spans="22:23" ht="24.95" customHeight="1" x14ac:dyDescent="0.25">
      <c r="V2249" s="2">
        <f>Таблица1[[#This Row],[Дата перевода]]-Таблица1[[#This Row],[Дата поступления]]</f>
        <v>0</v>
      </c>
      <c r="W2249" s="2">
        <f>Таблица1[[#This Row],[Дата поступления]]-Таблица1[[#This Row],[Дата рождения]]</f>
        <v>0</v>
      </c>
    </row>
    <row r="2250" spans="22:23" ht="24.95" customHeight="1" x14ac:dyDescent="0.25">
      <c r="V2250" s="2">
        <f>Таблица1[[#This Row],[Дата перевода]]-Таблица1[[#This Row],[Дата поступления]]</f>
        <v>0</v>
      </c>
      <c r="W2250" s="2">
        <f>Таблица1[[#This Row],[Дата поступления]]-Таблица1[[#This Row],[Дата рождения]]</f>
        <v>0</v>
      </c>
    </row>
    <row r="2251" spans="22:23" ht="24.95" customHeight="1" x14ac:dyDescent="0.25">
      <c r="V2251" s="2">
        <f>Таблица1[[#This Row],[Дата перевода]]-Таблица1[[#This Row],[Дата поступления]]</f>
        <v>0</v>
      </c>
      <c r="W2251" s="2">
        <f>Таблица1[[#This Row],[Дата поступления]]-Таблица1[[#This Row],[Дата рождения]]</f>
        <v>0</v>
      </c>
    </row>
    <row r="2252" spans="22:23" ht="24.95" customHeight="1" x14ac:dyDescent="0.25">
      <c r="V2252" s="2">
        <f>Таблица1[[#This Row],[Дата перевода]]-Таблица1[[#This Row],[Дата поступления]]</f>
        <v>0</v>
      </c>
      <c r="W2252" s="2">
        <f>Таблица1[[#This Row],[Дата поступления]]-Таблица1[[#This Row],[Дата рождения]]</f>
        <v>0</v>
      </c>
    </row>
    <row r="2253" spans="22:23" ht="24.95" customHeight="1" x14ac:dyDescent="0.25">
      <c r="V2253" s="2">
        <f>Таблица1[[#This Row],[Дата перевода]]-Таблица1[[#This Row],[Дата поступления]]</f>
        <v>0</v>
      </c>
      <c r="W2253" s="2">
        <f>Таблица1[[#This Row],[Дата поступления]]-Таблица1[[#This Row],[Дата рождения]]</f>
        <v>0</v>
      </c>
    </row>
    <row r="2254" spans="22:23" ht="24.95" customHeight="1" x14ac:dyDescent="0.25">
      <c r="V2254" s="2">
        <f>Таблица1[[#This Row],[Дата перевода]]-Таблица1[[#This Row],[Дата поступления]]</f>
        <v>0</v>
      </c>
      <c r="W2254" s="2">
        <f>Таблица1[[#This Row],[Дата поступления]]-Таблица1[[#This Row],[Дата рождения]]</f>
        <v>0</v>
      </c>
    </row>
    <row r="2255" spans="22:23" ht="24.95" customHeight="1" x14ac:dyDescent="0.25">
      <c r="V2255" s="2">
        <f>Таблица1[[#This Row],[Дата перевода]]-Таблица1[[#This Row],[Дата поступления]]</f>
        <v>0</v>
      </c>
      <c r="W2255" s="2">
        <f>Таблица1[[#This Row],[Дата поступления]]-Таблица1[[#This Row],[Дата рождения]]</f>
        <v>0</v>
      </c>
    </row>
    <row r="2256" spans="22:23" ht="24.95" customHeight="1" x14ac:dyDescent="0.25">
      <c r="V2256" s="2">
        <f>Таблица1[[#This Row],[Дата перевода]]-Таблица1[[#This Row],[Дата поступления]]</f>
        <v>0</v>
      </c>
      <c r="W2256" s="2">
        <f>Таблица1[[#This Row],[Дата поступления]]-Таблица1[[#This Row],[Дата рождения]]</f>
        <v>0</v>
      </c>
    </row>
    <row r="2257" spans="22:23" ht="24.95" customHeight="1" x14ac:dyDescent="0.25">
      <c r="V2257" s="2">
        <f>Таблица1[[#This Row],[Дата перевода]]-Таблица1[[#This Row],[Дата поступления]]</f>
        <v>0</v>
      </c>
      <c r="W2257" s="2">
        <f>Таблица1[[#This Row],[Дата поступления]]-Таблица1[[#This Row],[Дата рождения]]</f>
        <v>0</v>
      </c>
    </row>
    <row r="2258" spans="22:23" ht="24.95" customHeight="1" x14ac:dyDescent="0.25">
      <c r="V2258" s="2">
        <f>Таблица1[[#This Row],[Дата перевода]]-Таблица1[[#This Row],[Дата поступления]]</f>
        <v>0</v>
      </c>
      <c r="W2258" s="2">
        <f>Таблица1[[#This Row],[Дата поступления]]-Таблица1[[#This Row],[Дата рождения]]</f>
        <v>0</v>
      </c>
    </row>
    <row r="2259" spans="22:23" ht="24.95" customHeight="1" x14ac:dyDescent="0.25">
      <c r="V2259" s="2">
        <f>Таблица1[[#This Row],[Дата перевода]]-Таблица1[[#This Row],[Дата поступления]]</f>
        <v>0</v>
      </c>
      <c r="W2259" s="2">
        <f>Таблица1[[#This Row],[Дата поступления]]-Таблица1[[#This Row],[Дата рождения]]</f>
        <v>0</v>
      </c>
    </row>
    <row r="2260" spans="22:23" ht="24.95" customHeight="1" x14ac:dyDescent="0.25">
      <c r="V2260" s="2">
        <f>Таблица1[[#This Row],[Дата перевода]]-Таблица1[[#This Row],[Дата поступления]]</f>
        <v>0</v>
      </c>
      <c r="W2260" s="2">
        <f>Таблица1[[#This Row],[Дата поступления]]-Таблица1[[#This Row],[Дата рождения]]</f>
        <v>0</v>
      </c>
    </row>
    <row r="2261" spans="22:23" ht="24.95" customHeight="1" x14ac:dyDescent="0.25">
      <c r="V2261" s="2">
        <f>Таблица1[[#This Row],[Дата перевода]]-Таблица1[[#This Row],[Дата поступления]]</f>
        <v>0</v>
      </c>
      <c r="W2261" s="2">
        <f>Таблица1[[#This Row],[Дата поступления]]-Таблица1[[#This Row],[Дата рождения]]</f>
        <v>0</v>
      </c>
    </row>
    <row r="2262" spans="22:23" ht="24.95" customHeight="1" x14ac:dyDescent="0.25">
      <c r="V2262" s="2">
        <f>Таблица1[[#This Row],[Дата перевода]]-Таблица1[[#This Row],[Дата поступления]]</f>
        <v>0</v>
      </c>
      <c r="W2262" s="2">
        <f>Таблица1[[#This Row],[Дата поступления]]-Таблица1[[#This Row],[Дата рождения]]</f>
        <v>0</v>
      </c>
    </row>
    <row r="2263" spans="22:23" ht="24.95" customHeight="1" x14ac:dyDescent="0.25">
      <c r="V2263" s="2">
        <f>Таблица1[[#This Row],[Дата перевода]]-Таблица1[[#This Row],[Дата поступления]]</f>
        <v>0</v>
      </c>
      <c r="W2263" s="2">
        <f>Таблица1[[#This Row],[Дата поступления]]-Таблица1[[#This Row],[Дата рождения]]</f>
        <v>0</v>
      </c>
    </row>
    <row r="2264" spans="22:23" ht="24.95" customHeight="1" x14ac:dyDescent="0.25">
      <c r="V2264" s="2">
        <f>Таблица1[[#This Row],[Дата перевода]]-Таблица1[[#This Row],[Дата поступления]]</f>
        <v>0</v>
      </c>
      <c r="W2264" s="2">
        <f>Таблица1[[#This Row],[Дата поступления]]-Таблица1[[#This Row],[Дата рождения]]</f>
        <v>0</v>
      </c>
    </row>
    <row r="2265" spans="22:23" ht="24.95" customHeight="1" x14ac:dyDescent="0.25">
      <c r="V2265" s="2">
        <f>Таблица1[[#This Row],[Дата перевода]]-Таблица1[[#This Row],[Дата поступления]]</f>
        <v>0</v>
      </c>
      <c r="W2265" s="2">
        <f>Таблица1[[#This Row],[Дата поступления]]-Таблица1[[#This Row],[Дата рождения]]</f>
        <v>0</v>
      </c>
    </row>
    <row r="2266" spans="22:23" ht="24.95" customHeight="1" x14ac:dyDescent="0.25">
      <c r="V2266" s="2">
        <f>Таблица1[[#This Row],[Дата перевода]]-Таблица1[[#This Row],[Дата поступления]]</f>
        <v>0</v>
      </c>
      <c r="W2266" s="2">
        <f>Таблица1[[#This Row],[Дата поступления]]-Таблица1[[#This Row],[Дата рождения]]</f>
        <v>0</v>
      </c>
    </row>
    <row r="2267" spans="22:23" ht="24.95" customHeight="1" x14ac:dyDescent="0.25">
      <c r="V2267" s="2">
        <f>Таблица1[[#This Row],[Дата перевода]]-Таблица1[[#This Row],[Дата поступления]]</f>
        <v>0</v>
      </c>
      <c r="W2267" s="2">
        <f>Таблица1[[#This Row],[Дата поступления]]-Таблица1[[#This Row],[Дата рождения]]</f>
        <v>0</v>
      </c>
    </row>
    <row r="2268" spans="22:23" ht="24.95" customHeight="1" x14ac:dyDescent="0.25">
      <c r="V2268" s="2">
        <f>Таблица1[[#This Row],[Дата перевода]]-Таблица1[[#This Row],[Дата поступления]]</f>
        <v>0</v>
      </c>
      <c r="W2268" s="2">
        <f>Таблица1[[#This Row],[Дата поступления]]-Таблица1[[#This Row],[Дата рождения]]</f>
        <v>0</v>
      </c>
    </row>
    <row r="2269" spans="22:23" ht="24.95" customHeight="1" x14ac:dyDescent="0.25">
      <c r="V2269" s="2">
        <f>Таблица1[[#This Row],[Дата перевода]]-Таблица1[[#This Row],[Дата поступления]]</f>
        <v>0</v>
      </c>
      <c r="W2269" s="2">
        <f>Таблица1[[#This Row],[Дата поступления]]-Таблица1[[#This Row],[Дата рождения]]</f>
        <v>0</v>
      </c>
    </row>
    <row r="2270" spans="22:23" ht="24.95" customHeight="1" x14ac:dyDescent="0.25">
      <c r="V2270" s="2">
        <f>Таблица1[[#This Row],[Дата перевода]]-Таблица1[[#This Row],[Дата поступления]]</f>
        <v>0</v>
      </c>
      <c r="W2270" s="2">
        <f>Таблица1[[#This Row],[Дата поступления]]-Таблица1[[#This Row],[Дата рождения]]</f>
        <v>0</v>
      </c>
    </row>
    <row r="2271" spans="22:23" ht="24.95" customHeight="1" x14ac:dyDescent="0.25">
      <c r="V2271" s="2">
        <f>Таблица1[[#This Row],[Дата перевода]]-Таблица1[[#This Row],[Дата поступления]]</f>
        <v>0</v>
      </c>
      <c r="W2271" s="2">
        <f>Таблица1[[#This Row],[Дата поступления]]-Таблица1[[#This Row],[Дата рождения]]</f>
        <v>0</v>
      </c>
    </row>
    <row r="2272" spans="22:23" ht="24.95" customHeight="1" x14ac:dyDescent="0.25">
      <c r="V2272" s="2">
        <f>Таблица1[[#This Row],[Дата перевода]]-Таблица1[[#This Row],[Дата поступления]]</f>
        <v>0</v>
      </c>
      <c r="W2272" s="2">
        <f>Таблица1[[#This Row],[Дата поступления]]-Таблица1[[#This Row],[Дата рождения]]</f>
        <v>0</v>
      </c>
    </row>
    <row r="2273" spans="22:23" ht="24.95" customHeight="1" x14ac:dyDescent="0.25">
      <c r="V2273" s="2">
        <f>Таблица1[[#This Row],[Дата перевода]]-Таблица1[[#This Row],[Дата поступления]]</f>
        <v>0</v>
      </c>
      <c r="W2273" s="2">
        <f>Таблица1[[#This Row],[Дата поступления]]-Таблица1[[#This Row],[Дата рождения]]</f>
        <v>0</v>
      </c>
    </row>
    <row r="2274" spans="22:23" ht="24.95" customHeight="1" x14ac:dyDescent="0.25">
      <c r="V2274" s="2">
        <f>Таблица1[[#This Row],[Дата перевода]]-Таблица1[[#This Row],[Дата поступления]]</f>
        <v>0</v>
      </c>
      <c r="W2274" s="2">
        <f>Таблица1[[#This Row],[Дата поступления]]-Таблица1[[#This Row],[Дата рождения]]</f>
        <v>0</v>
      </c>
    </row>
    <row r="2275" spans="22:23" ht="24.95" customHeight="1" x14ac:dyDescent="0.25">
      <c r="V2275" s="2">
        <f>Таблица1[[#This Row],[Дата перевода]]-Таблица1[[#This Row],[Дата поступления]]</f>
        <v>0</v>
      </c>
      <c r="W2275" s="2">
        <f>Таблица1[[#This Row],[Дата поступления]]-Таблица1[[#This Row],[Дата рождения]]</f>
        <v>0</v>
      </c>
    </row>
    <row r="2276" spans="22:23" ht="24.95" customHeight="1" x14ac:dyDescent="0.25">
      <c r="V2276" s="2">
        <f>Таблица1[[#This Row],[Дата перевода]]-Таблица1[[#This Row],[Дата поступления]]</f>
        <v>0</v>
      </c>
      <c r="W2276" s="2">
        <f>Таблица1[[#This Row],[Дата поступления]]-Таблица1[[#This Row],[Дата рождения]]</f>
        <v>0</v>
      </c>
    </row>
    <row r="2277" spans="22:23" ht="24.95" customHeight="1" x14ac:dyDescent="0.25">
      <c r="V2277" s="2">
        <f>Таблица1[[#This Row],[Дата перевода]]-Таблица1[[#This Row],[Дата поступления]]</f>
        <v>0</v>
      </c>
      <c r="W2277" s="2">
        <f>Таблица1[[#This Row],[Дата поступления]]-Таблица1[[#This Row],[Дата рождения]]</f>
        <v>0</v>
      </c>
    </row>
    <row r="2278" spans="22:23" ht="24.95" customHeight="1" x14ac:dyDescent="0.25">
      <c r="V2278" s="2">
        <f>Таблица1[[#This Row],[Дата перевода]]-Таблица1[[#This Row],[Дата поступления]]</f>
        <v>0</v>
      </c>
      <c r="W2278" s="2">
        <f>Таблица1[[#This Row],[Дата поступления]]-Таблица1[[#This Row],[Дата рождения]]</f>
        <v>0</v>
      </c>
    </row>
    <row r="2279" spans="22:23" ht="24.95" customHeight="1" x14ac:dyDescent="0.25">
      <c r="V2279" s="2">
        <f>Таблица1[[#This Row],[Дата перевода]]-Таблица1[[#This Row],[Дата поступления]]</f>
        <v>0</v>
      </c>
      <c r="W2279" s="2">
        <f>Таблица1[[#This Row],[Дата поступления]]-Таблица1[[#This Row],[Дата рождения]]</f>
        <v>0</v>
      </c>
    </row>
    <row r="2280" spans="22:23" ht="24.95" customHeight="1" x14ac:dyDescent="0.25">
      <c r="V2280" s="2">
        <f>Таблица1[[#This Row],[Дата перевода]]-Таблица1[[#This Row],[Дата поступления]]</f>
        <v>0</v>
      </c>
      <c r="W2280" s="2">
        <f>Таблица1[[#This Row],[Дата поступления]]-Таблица1[[#This Row],[Дата рождения]]</f>
        <v>0</v>
      </c>
    </row>
    <row r="2281" spans="22:23" ht="24.95" customHeight="1" x14ac:dyDescent="0.25">
      <c r="V2281" s="2">
        <f>Таблица1[[#This Row],[Дата перевода]]-Таблица1[[#This Row],[Дата поступления]]</f>
        <v>0</v>
      </c>
      <c r="W2281" s="2">
        <f>Таблица1[[#This Row],[Дата поступления]]-Таблица1[[#This Row],[Дата рождения]]</f>
        <v>0</v>
      </c>
    </row>
    <row r="2282" spans="22:23" ht="24.95" customHeight="1" x14ac:dyDescent="0.25">
      <c r="V2282" s="2">
        <f>Таблица1[[#This Row],[Дата перевода]]-Таблица1[[#This Row],[Дата поступления]]</f>
        <v>0</v>
      </c>
      <c r="W2282" s="2">
        <f>Таблица1[[#This Row],[Дата поступления]]-Таблица1[[#This Row],[Дата рождения]]</f>
        <v>0</v>
      </c>
    </row>
    <row r="2283" spans="22:23" ht="24.95" customHeight="1" x14ac:dyDescent="0.25">
      <c r="V2283" s="2">
        <f>Таблица1[[#This Row],[Дата перевода]]-Таблица1[[#This Row],[Дата поступления]]</f>
        <v>0</v>
      </c>
      <c r="W2283" s="2">
        <f>Таблица1[[#This Row],[Дата поступления]]-Таблица1[[#This Row],[Дата рождения]]</f>
        <v>0</v>
      </c>
    </row>
    <row r="2284" spans="22:23" ht="24.95" customHeight="1" x14ac:dyDescent="0.25">
      <c r="V2284" s="2">
        <f>Таблица1[[#This Row],[Дата перевода]]-Таблица1[[#This Row],[Дата поступления]]</f>
        <v>0</v>
      </c>
      <c r="W2284" s="2">
        <f>Таблица1[[#This Row],[Дата поступления]]-Таблица1[[#This Row],[Дата рождения]]</f>
        <v>0</v>
      </c>
    </row>
    <row r="2285" spans="22:23" ht="24.95" customHeight="1" x14ac:dyDescent="0.25">
      <c r="V2285" s="2">
        <f>Таблица1[[#This Row],[Дата перевода]]-Таблица1[[#This Row],[Дата поступления]]</f>
        <v>0</v>
      </c>
      <c r="W2285" s="2">
        <f>Таблица1[[#This Row],[Дата поступления]]-Таблица1[[#This Row],[Дата рождения]]</f>
        <v>0</v>
      </c>
    </row>
    <row r="2286" spans="22:23" ht="24.95" customHeight="1" x14ac:dyDescent="0.25">
      <c r="V2286" s="2">
        <f>Таблица1[[#This Row],[Дата перевода]]-Таблица1[[#This Row],[Дата поступления]]</f>
        <v>0</v>
      </c>
      <c r="W2286" s="2">
        <f>Таблица1[[#This Row],[Дата поступления]]-Таблица1[[#This Row],[Дата рождения]]</f>
        <v>0</v>
      </c>
    </row>
    <row r="2287" spans="22:23" ht="24.95" customHeight="1" x14ac:dyDescent="0.25">
      <c r="V2287" s="2">
        <f>Таблица1[[#This Row],[Дата перевода]]-Таблица1[[#This Row],[Дата поступления]]</f>
        <v>0</v>
      </c>
      <c r="W2287" s="2">
        <f>Таблица1[[#This Row],[Дата поступления]]-Таблица1[[#This Row],[Дата рождения]]</f>
        <v>0</v>
      </c>
    </row>
    <row r="2288" spans="22:23" ht="24.95" customHeight="1" x14ac:dyDescent="0.25">
      <c r="V2288" s="2">
        <f>Таблица1[[#This Row],[Дата перевода]]-Таблица1[[#This Row],[Дата поступления]]</f>
        <v>0</v>
      </c>
      <c r="W2288" s="2">
        <f>Таблица1[[#This Row],[Дата поступления]]-Таблица1[[#This Row],[Дата рождения]]</f>
        <v>0</v>
      </c>
    </row>
    <row r="2289" spans="22:23" ht="24.95" customHeight="1" x14ac:dyDescent="0.25">
      <c r="V2289" s="2">
        <f>Таблица1[[#This Row],[Дата перевода]]-Таблица1[[#This Row],[Дата поступления]]</f>
        <v>0</v>
      </c>
      <c r="W2289" s="2">
        <f>Таблица1[[#This Row],[Дата поступления]]-Таблица1[[#This Row],[Дата рождения]]</f>
        <v>0</v>
      </c>
    </row>
    <row r="2290" spans="22:23" ht="24.95" customHeight="1" x14ac:dyDescent="0.25">
      <c r="V2290" s="2">
        <f>Таблица1[[#This Row],[Дата перевода]]-Таблица1[[#This Row],[Дата поступления]]</f>
        <v>0</v>
      </c>
      <c r="W2290" s="2">
        <f>Таблица1[[#This Row],[Дата поступления]]-Таблица1[[#This Row],[Дата рождения]]</f>
        <v>0</v>
      </c>
    </row>
    <row r="2291" spans="22:23" ht="24.95" customHeight="1" x14ac:dyDescent="0.25">
      <c r="V2291" s="2">
        <f>Таблица1[[#This Row],[Дата перевода]]-Таблица1[[#This Row],[Дата поступления]]</f>
        <v>0</v>
      </c>
      <c r="W2291" s="2">
        <f>Таблица1[[#This Row],[Дата поступления]]-Таблица1[[#This Row],[Дата рождения]]</f>
        <v>0</v>
      </c>
    </row>
    <row r="2292" spans="22:23" ht="24.95" customHeight="1" x14ac:dyDescent="0.25">
      <c r="V2292" s="2">
        <f>Таблица1[[#This Row],[Дата перевода]]-Таблица1[[#This Row],[Дата поступления]]</f>
        <v>0</v>
      </c>
      <c r="W2292" s="2">
        <f>Таблица1[[#This Row],[Дата поступления]]-Таблица1[[#This Row],[Дата рождения]]</f>
        <v>0</v>
      </c>
    </row>
    <row r="2293" spans="22:23" ht="24.95" customHeight="1" x14ac:dyDescent="0.25">
      <c r="V2293" s="2">
        <f>Таблица1[[#This Row],[Дата перевода]]-Таблица1[[#This Row],[Дата поступления]]</f>
        <v>0</v>
      </c>
      <c r="W2293" s="2">
        <f>Таблица1[[#This Row],[Дата поступления]]-Таблица1[[#This Row],[Дата рождения]]</f>
        <v>0</v>
      </c>
    </row>
    <row r="2294" spans="22:23" ht="24.95" customHeight="1" x14ac:dyDescent="0.25">
      <c r="V2294" s="2">
        <f>Таблица1[[#This Row],[Дата перевода]]-Таблица1[[#This Row],[Дата поступления]]</f>
        <v>0</v>
      </c>
      <c r="W2294" s="2">
        <f>Таблица1[[#This Row],[Дата поступления]]-Таблица1[[#This Row],[Дата рождения]]</f>
        <v>0</v>
      </c>
    </row>
    <row r="2295" spans="22:23" ht="24.95" customHeight="1" x14ac:dyDescent="0.25">
      <c r="V2295" s="2">
        <f>Таблица1[[#This Row],[Дата перевода]]-Таблица1[[#This Row],[Дата поступления]]</f>
        <v>0</v>
      </c>
      <c r="W2295" s="2">
        <f>Таблица1[[#This Row],[Дата поступления]]-Таблица1[[#This Row],[Дата рождения]]</f>
        <v>0</v>
      </c>
    </row>
    <row r="2296" spans="22:23" ht="24.95" customHeight="1" x14ac:dyDescent="0.25">
      <c r="V2296" s="2">
        <f>Таблица1[[#This Row],[Дата перевода]]-Таблица1[[#This Row],[Дата поступления]]</f>
        <v>0</v>
      </c>
      <c r="W2296" s="2">
        <f>Таблица1[[#This Row],[Дата поступления]]-Таблица1[[#This Row],[Дата рождения]]</f>
        <v>0</v>
      </c>
    </row>
    <row r="2297" spans="22:23" ht="24.95" customHeight="1" x14ac:dyDescent="0.25">
      <c r="V2297" s="2">
        <f>Таблица1[[#This Row],[Дата перевода]]-Таблица1[[#This Row],[Дата поступления]]</f>
        <v>0</v>
      </c>
      <c r="W2297" s="2">
        <f>Таблица1[[#This Row],[Дата поступления]]-Таблица1[[#This Row],[Дата рождения]]</f>
        <v>0</v>
      </c>
    </row>
    <row r="2298" spans="22:23" ht="24.95" customHeight="1" x14ac:dyDescent="0.25">
      <c r="V2298" s="2">
        <f>Таблица1[[#This Row],[Дата перевода]]-Таблица1[[#This Row],[Дата поступления]]</f>
        <v>0</v>
      </c>
      <c r="W2298" s="2">
        <f>Таблица1[[#This Row],[Дата поступления]]-Таблица1[[#This Row],[Дата рождения]]</f>
        <v>0</v>
      </c>
    </row>
    <row r="2299" spans="22:23" ht="24.95" customHeight="1" x14ac:dyDescent="0.25">
      <c r="V2299" s="2">
        <f>Таблица1[[#This Row],[Дата перевода]]-Таблица1[[#This Row],[Дата поступления]]</f>
        <v>0</v>
      </c>
      <c r="W2299" s="2">
        <f>Таблица1[[#This Row],[Дата поступления]]-Таблица1[[#This Row],[Дата рождения]]</f>
        <v>0</v>
      </c>
    </row>
    <row r="2300" spans="22:23" ht="24.95" customHeight="1" x14ac:dyDescent="0.25">
      <c r="V2300" s="2">
        <f>Таблица1[[#This Row],[Дата перевода]]-Таблица1[[#This Row],[Дата поступления]]</f>
        <v>0</v>
      </c>
      <c r="W2300" s="2">
        <f>Таблица1[[#This Row],[Дата поступления]]-Таблица1[[#This Row],[Дата рождения]]</f>
        <v>0</v>
      </c>
    </row>
    <row r="2301" spans="22:23" ht="24.95" customHeight="1" x14ac:dyDescent="0.25">
      <c r="V2301" s="2">
        <f>Таблица1[[#This Row],[Дата перевода]]-Таблица1[[#This Row],[Дата поступления]]</f>
        <v>0</v>
      </c>
      <c r="W2301" s="2">
        <f>Таблица1[[#This Row],[Дата поступления]]-Таблица1[[#This Row],[Дата рождения]]</f>
        <v>0</v>
      </c>
    </row>
    <row r="2302" spans="22:23" ht="24.95" customHeight="1" x14ac:dyDescent="0.25">
      <c r="V2302" s="2">
        <f>Таблица1[[#This Row],[Дата перевода]]-Таблица1[[#This Row],[Дата поступления]]</f>
        <v>0</v>
      </c>
      <c r="W2302" s="2">
        <f>Таблица1[[#This Row],[Дата поступления]]-Таблица1[[#This Row],[Дата рождения]]</f>
        <v>0</v>
      </c>
    </row>
    <row r="2303" spans="22:23" ht="24.95" customHeight="1" x14ac:dyDescent="0.25">
      <c r="V2303" s="2">
        <f>Таблица1[[#This Row],[Дата перевода]]-Таблица1[[#This Row],[Дата поступления]]</f>
        <v>0</v>
      </c>
      <c r="W2303" s="2">
        <f>Таблица1[[#This Row],[Дата поступления]]-Таблица1[[#This Row],[Дата рождения]]</f>
        <v>0</v>
      </c>
    </row>
    <row r="2304" spans="22:23" ht="24.95" customHeight="1" x14ac:dyDescent="0.25">
      <c r="V2304" s="2">
        <f>Таблица1[[#This Row],[Дата перевода]]-Таблица1[[#This Row],[Дата поступления]]</f>
        <v>0</v>
      </c>
      <c r="W2304" s="2">
        <f>Таблица1[[#This Row],[Дата поступления]]-Таблица1[[#This Row],[Дата рождения]]</f>
        <v>0</v>
      </c>
    </row>
    <row r="2305" spans="22:23" ht="24.95" customHeight="1" x14ac:dyDescent="0.25">
      <c r="V2305" s="2">
        <f>Таблица1[[#This Row],[Дата перевода]]-Таблица1[[#This Row],[Дата поступления]]</f>
        <v>0</v>
      </c>
      <c r="W2305" s="2">
        <f>Таблица1[[#This Row],[Дата поступления]]-Таблица1[[#This Row],[Дата рождения]]</f>
        <v>0</v>
      </c>
    </row>
    <row r="2306" spans="22:23" ht="24.95" customHeight="1" x14ac:dyDescent="0.25">
      <c r="V2306" s="2">
        <f>Таблица1[[#This Row],[Дата перевода]]-Таблица1[[#This Row],[Дата поступления]]</f>
        <v>0</v>
      </c>
      <c r="W2306" s="2">
        <f>Таблица1[[#This Row],[Дата поступления]]-Таблица1[[#This Row],[Дата рождения]]</f>
        <v>0</v>
      </c>
    </row>
    <row r="2307" spans="22:23" ht="24.95" customHeight="1" x14ac:dyDescent="0.25">
      <c r="V2307" s="2">
        <f>Таблица1[[#This Row],[Дата перевода]]-Таблица1[[#This Row],[Дата поступления]]</f>
        <v>0</v>
      </c>
      <c r="W2307" s="2">
        <f>Таблица1[[#This Row],[Дата поступления]]-Таблица1[[#This Row],[Дата рождения]]</f>
        <v>0</v>
      </c>
    </row>
    <row r="2308" spans="22:23" ht="24.95" customHeight="1" x14ac:dyDescent="0.25">
      <c r="V2308" s="2">
        <f>Таблица1[[#This Row],[Дата перевода]]-Таблица1[[#This Row],[Дата поступления]]</f>
        <v>0</v>
      </c>
      <c r="W2308" s="2">
        <f>Таблица1[[#This Row],[Дата поступления]]-Таблица1[[#This Row],[Дата рождения]]</f>
        <v>0</v>
      </c>
    </row>
    <row r="2309" spans="22:23" ht="24.95" customHeight="1" x14ac:dyDescent="0.25">
      <c r="V2309" s="2">
        <f>Таблица1[[#This Row],[Дата перевода]]-Таблица1[[#This Row],[Дата поступления]]</f>
        <v>0</v>
      </c>
      <c r="W2309" s="2">
        <f>Таблица1[[#This Row],[Дата поступления]]-Таблица1[[#This Row],[Дата рождения]]</f>
        <v>0</v>
      </c>
    </row>
    <row r="2310" spans="22:23" ht="24.95" customHeight="1" x14ac:dyDescent="0.25">
      <c r="V2310" s="2">
        <f>Таблица1[[#This Row],[Дата перевода]]-Таблица1[[#This Row],[Дата поступления]]</f>
        <v>0</v>
      </c>
      <c r="W2310" s="2">
        <f>Таблица1[[#This Row],[Дата поступления]]-Таблица1[[#This Row],[Дата рождения]]</f>
        <v>0</v>
      </c>
    </row>
    <row r="2311" spans="22:23" ht="24.95" customHeight="1" x14ac:dyDescent="0.25">
      <c r="V2311" s="2">
        <f>Таблица1[[#This Row],[Дата перевода]]-Таблица1[[#This Row],[Дата поступления]]</f>
        <v>0</v>
      </c>
      <c r="W2311" s="2">
        <f>Таблица1[[#This Row],[Дата поступления]]-Таблица1[[#This Row],[Дата рождения]]</f>
        <v>0</v>
      </c>
    </row>
    <row r="2312" spans="22:23" ht="24.95" customHeight="1" x14ac:dyDescent="0.25">
      <c r="V2312" s="2">
        <f>Таблица1[[#This Row],[Дата перевода]]-Таблица1[[#This Row],[Дата поступления]]</f>
        <v>0</v>
      </c>
      <c r="W2312" s="2">
        <f>Таблица1[[#This Row],[Дата поступления]]-Таблица1[[#This Row],[Дата рождения]]</f>
        <v>0</v>
      </c>
    </row>
    <row r="2313" spans="22:23" ht="24.95" customHeight="1" x14ac:dyDescent="0.25">
      <c r="V2313" s="2">
        <f>Таблица1[[#This Row],[Дата перевода]]-Таблица1[[#This Row],[Дата поступления]]</f>
        <v>0</v>
      </c>
      <c r="W2313" s="2">
        <f>Таблица1[[#This Row],[Дата поступления]]-Таблица1[[#This Row],[Дата рождения]]</f>
        <v>0</v>
      </c>
    </row>
    <row r="2314" spans="22:23" ht="24.95" customHeight="1" x14ac:dyDescent="0.25">
      <c r="V2314" s="2">
        <f>Таблица1[[#This Row],[Дата перевода]]-Таблица1[[#This Row],[Дата поступления]]</f>
        <v>0</v>
      </c>
      <c r="W2314" s="2">
        <f>Таблица1[[#This Row],[Дата поступления]]-Таблица1[[#This Row],[Дата рождения]]</f>
        <v>0</v>
      </c>
    </row>
    <row r="2315" spans="22:23" ht="24.95" customHeight="1" x14ac:dyDescent="0.25">
      <c r="V2315" s="2">
        <f>Таблица1[[#This Row],[Дата перевода]]-Таблица1[[#This Row],[Дата поступления]]</f>
        <v>0</v>
      </c>
      <c r="W2315" s="2">
        <f>Таблица1[[#This Row],[Дата поступления]]-Таблица1[[#This Row],[Дата рождения]]</f>
        <v>0</v>
      </c>
    </row>
    <row r="2316" spans="22:23" ht="24.95" customHeight="1" x14ac:dyDescent="0.25">
      <c r="V2316" s="2">
        <f>Таблица1[[#This Row],[Дата перевода]]-Таблица1[[#This Row],[Дата поступления]]</f>
        <v>0</v>
      </c>
      <c r="W2316" s="2">
        <f>Таблица1[[#This Row],[Дата поступления]]-Таблица1[[#This Row],[Дата рождения]]</f>
        <v>0</v>
      </c>
    </row>
    <row r="2317" spans="22:23" ht="24.95" customHeight="1" x14ac:dyDescent="0.25">
      <c r="V2317" s="2">
        <f>Таблица1[[#This Row],[Дата перевода]]-Таблица1[[#This Row],[Дата поступления]]</f>
        <v>0</v>
      </c>
      <c r="W2317" s="2">
        <f>Таблица1[[#This Row],[Дата поступления]]-Таблица1[[#This Row],[Дата рождения]]</f>
        <v>0</v>
      </c>
    </row>
    <row r="2318" spans="22:23" ht="24.95" customHeight="1" x14ac:dyDescent="0.25">
      <c r="V2318" s="2">
        <f>Таблица1[[#This Row],[Дата перевода]]-Таблица1[[#This Row],[Дата поступления]]</f>
        <v>0</v>
      </c>
      <c r="W2318" s="2">
        <f>Таблица1[[#This Row],[Дата поступления]]-Таблица1[[#This Row],[Дата рождения]]</f>
        <v>0</v>
      </c>
    </row>
    <row r="2319" spans="22:23" ht="24.95" customHeight="1" x14ac:dyDescent="0.25">
      <c r="V2319" s="2">
        <f>Таблица1[[#This Row],[Дата перевода]]-Таблица1[[#This Row],[Дата поступления]]</f>
        <v>0</v>
      </c>
      <c r="W2319" s="2">
        <f>Таблица1[[#This Row],[Дата поступления]]-Таблица1[[#This Row],[Дата рождения]]</f>
        <v>0</v>
      </c>
    </row>
    <row r="2320" spans="22:23" ht="24.95" customHeight="1" x14ac:dyDescent="0.25">
      <c r="V2320" s="2">
        <f>Таблица1[[#This Row],[Дата перевода]]-Таблица1[[#This Row],[Дата поступления]]</f>
        <v>0</v>
      </c>
      <c r="W2320" s="2">
        <f>Таблица1[[#This Row],[Дата поступления]]-Таблица1[[#This Row],[Дата рождения]]</f>
        <v>0</v>
      </c>
    </row>
    <row r="2321" spans="22:23" ht="24.95" customHeight="1" x14ac:dyDescent="0.25">
      <c r="V2321" s="2">
        <f>Таблица1[[#This Row],[Дата перевода]]-Таблица1[[#This Row],[Дата поступления]]</f>
        <v>0</v>
      </c>
      <c r="W2321" s="2">
        <f>Таблица1[[#This Row],[Дата поступления]]-Таблица1[[#This Row],[Дата рождения]]</f>
        <v>0</v>
      </c>
    </row>
    <row r="2322" spans="22:23" ht="24.95" customHeight="1" x14ac:dyDescent="0.25">
      <c r="V2322" s="2">
        <f>Таблица1[[#This Row],[Дата перевода]]-Таблица1[[#This Row],[Дата поступления]]</f>
        <v>0</v>
      </c>
      <c r="W2322" s="2">
        <f>Таблица1[[#This Row],[Дата поступления]]-Таблица1[[#This Row],[Дата рождения]]</f>
        <v>0</v>
      </c>
    </row>
    <row r="2323" spans="22:23" ht="24.95" customHeight="1" x14ac:dyDescent="0.25">
      <c r="V2323" s="2">
        <f>Таблица1[[#This Row],[Дата перевода]]-Таблица1[[#This Row],[Дата поступления]]</f>
        <v>0</v>
      </c>
      <c r="W2323" s="2">
        <f>Таблица1[[#This Row],[Дата поступления]]-Таблица1[[#This Row],[Дата рождения]]</f>
        <v>0</v>
      </c>
    </row>
    <row r="2324" spans="22:23" ht="24.95" customHeight="1" x14ac:dyDescent="0.25">
      <c r="V2324" s="2">
        <f>Таблица1[[#This Row],[Дата перевода]]-Таблица1[[#This Row],[Дата поступления]]</f>
        <v>0</v>
      </c>
      <c r="W2324" s="2">
        <f>Таблица1[[#This Row],[Дата поступления]]-Таблица1[[#This Row],[Дата рождения]]</f>
        <v>0</v>
      </c>
    </row>
    <row r="2325" spans="22:23" ht="24.95" customHeight="1" x14ac:dyDescent="0.25">
      <c r="V2325" s="2">
        <f>Таблица1[[#This Row],[Дата перевода]]-Таблица1[[#This Row],[Дата поступления]]</f>
        <v>0</v>
      </c>
      <c r="W2325" s="2">
        <f>Таблица1[[#This Row],[Дата поступления]]-Таблица1[[#This Row],[Дата рождения]]</f>
        <v>0</v>
      </c>
    </row>
    <row r="2326" spans="22:23" ht="24.95" customHeight="1" x14ac:dyDescent="0.25">
      <c r="V2326" s="2">
        <f>Таблица1[[#This Row],[Дата перевода]]-Таблица1[[#This Row],[Дата поступления]]</f>
        <v>0</v>
      </c>
      <c r="W2326" s="2">
        <f>Таблица1[[#This Row],[Дата поступления]]-Таблица1[[#This Row],[Дата рождения]]</f>
        <v>0</v>
      </c>
    </row>
    <row r="2327" spans="22:23" ht="24.95" customHeight="1" x14ac:dyDescent="0.25">
      <c r="V2327" s="2">
        <f>Таблица1[[#This Row],[Дата перевода]]-Таблица1[[#This Row],[Дата поступления]]</f>
        <v>0</v>
      </c>
      <c r="W2327" s="2">
        <f>Таблица1[[#This Row],[Дата поступления]]-Таблица1[[#This Row],[Дата рождения]]</f>
        <v>0</v>
      </c>
    </row>
    <row r="2328" spans="22:23" ht="24.95" customHeight="1" x14ac:dyDescent="0.25">
      <c r="V2328" s="2">
        <f>Таблица1[[#This Row],[Дата перевода]]-Таблица1[[#This Row],[Дата поступления]]</f>
        <v>0</v>
      </c>
      <c r="W2328" s="2">
        <f>Таблица1[[#This Row],[Дата поступления]]-Таблица1[[#This Row],[Дата рождения]]</f>
        <v>0</v>
      </c>
    </row>
    <row r="2329" spans="22:23" ht="24.95" customHeight="1" x14ac:dyDescent="0.25">
      <c r="V2329" s="2">
        <f>Таблица1[[#This Row],[Дата перевода]]-Таблица1[[#This Row],[Дата поступления]]</f>
        <v>0</v>
      </c>
      <c r="W2329" s="2">
        <f>Таблица1[[#This Row],[Дата поступления]]-Таблица1[[#This Row],[Дата рождения]]</f>
        <v>0</v>
      </c>
    </row>
    <row r="2330" spans="22:23" ht="24.95" customHeight="1" x14ac:dyDescent="0.25">
      <c r="V2330" s="2">
        <f>Таблица1[[#This Row],[Дата перевода]]-Таблица1[[#This Row],[Дата поступления]]</f>
        <v>0</v>
      </c>
      <c r="W2330" s="2">
        <f>Таблица1[[#This Row],[Дата поступления]]-Таблица1[[#This Row],[Дата рождения]]</f>
        <v>0</v>
      </c>
    </row>
    <row r="2331" spans="22:23" ht="24.95" customHeight="1" x14ac:dyDescent="0.25">
      <c r="V2331" s="2">
        <f>Таблица1[[#This Row],[Дата перевода]]-Таблица1[[#This Row],[Дата поступления]]</f>
        <v>0</v>
      </c>
      <c r="W2331" s="2">
        <f>Таблица1[[#This Row],[Дата поступления]]-Таблица1[[#This Row],[Дата рождения]]</f>
        <v>0</v>
      </c>
    </row>
    <row r="2332" spans="22:23" ht="24.95" customHeight="1" x14ac:dyDescent="0.25">
      <c r="V2332" s="2">
        <f>Таблица1[[#This Row],[Дата перевода]]-Таблица1[[#This Row],[Дата поступления]]</f>
        <v>0</v>
      </c>
      <c r="W2332" s="2">
        <f>Таблица1[[#This Row],[Дата поступления]]-Таблица1[[#This Row],[Дата рождения]]</f>
        <v>0</v>
      </c>
    </row>
    <row r="2333" spans="22:23" ht="24.95" customHeight="1" x14ac:dyDescent="0.25">
      <c r="V2333" s="2">
        <f>Таблица1[[#This Row],[Дата перевода]]-Таблица1[[#This Row],[Дата поступления]]</f>
        <v>0</v>
      </c>
      <c r="W2333" s="2">
        <f>Таблица1[[#This Row],[Дата поступления]]-Таблица1[[#This Row],[Дата рождения]]</f>
        <v>0</v>
      </c>
    </row>
    <row r="2334" spans="22:23" ht="24.95" customHeight="1" x14ac:dyDescent="0.25">
      <c r="V2334" s="2">
        <f>Таблица1[[#This Row],[Дата перевода]]-Таблица1[[#This Row],[Дата поступления]]</f>
        <v>0</v>
      </c>
      <c r="W2334" s="2">
        <f>Таблица1[[#This Row],[Дата поступления]]-Таблица1[[#This Row],[Дата рождения]]</f>
        <v>0</v>
      </c>
    </row>
    <row r="2335" spans="22:23" ht="24.95" customHeight="1" x14ac:dyDescent="0.25">
      <c r="V2335" s="2">
        <f>Таблица1[[#This Row],[Дата перевода]]-Таблица1[[#This Row],[Дата поступления]]</f>
        <v>0</v>
      </c>
      <c r="W2335" s="2">
        <f>Таблица1[[#This Row],[Дата поступления]]-Таблица1[[#This Row],[Дата рождения]]</f>
        <v>0</v>
      </c>
    </row>
    <row r="2336" spans="22:23" ht="24.95" customHeight="1" x14ac:dyDescent="0.25">
      <c r="V2336" s="2">
        <f>Таблица1[[#This Row],[Дата перевода]]-Таблица1[[#This Row],[Дата поступления]]</f>
        <v>0</v>
      </c>
      <c r="W2336" s="2">
        <f>Таблица1[[#This Row],[Дата поступления]]-Таблица1[[#This Row],[Дата рождения]]</f>
        <v>0</v>
      </c>
    </row>
    <row r="2337" spans="22:23" ht="24.95" customHeight="1" x14ac:dyDescent="0.25">
      <c r="V2337" s="2">
        <f>Таблица1[[#This Row],[Дата перевода]]-Таблица1[[#This Row],[Дата поступления]]</f>
        <v>0</v>
      </c>
      <c r="W2337" s="2">
        <f>Таблица1[[#This Row],[Дата поступления]]-Таблица1[[#This Row],[Дата рождения]]</f>
        <v>0</v>
      </c>
    </row>
    <row r="2338" spans="22:23" ht="24.95" customHeight="1" x14ac:dyDescent="0.25">
      <c r="V2338" s="2">
        <f>Таблица1[[#This Row],[Дата перевода]]-Таблица1[[#This Row],[Дата поступления]]</f>
        <v>0</v>
      </c>
      <c r="W2338" s="2">
        <f>Таблица1[[#This Row],[Дата поступления]]-Таблица1[[#This Row],[Дата рождения]]</f>
        <v>0</v>
      </c>
    </row>
    <row r="2339" spans="22:23" ht="24.95" customHeight="1" x14ac:dyDescent="0.25">
      <c r="V2339" s="2">
        <f>Таблица1[[#This Row],[Дата перевода]]-Таблица1[[#This Row],[Дата поступления]]</f>
        <v>0</v>
      </c>
      <c r="W2339" s="2">
        <f>Таблица1[[#This Row],[Дата поступления]]-Таблица1[[#This Row],[Дата рождения]]</f>
        <v>0</v>
      </c>
    </row>
    <row r="2340" spans="22:23" ht="24.95" customHeight="1" x14ac:dyDescent="0.25">
      <c r="V2340" s="2">
        <f>Таблица1[[#This Row],[Дата перевода]]-Таблица1[[#This Row],[Дата поступления]]</f>
        <v>0</v>
      </c>
      <c r="W2340" s="2">
        <f>Таблица1[[#This Row],[Дата поступления]]-Таблица1[[#This Row],[Дата рождения]]</f>
        <v>0</v>
      </c>
    </row>
    <row r="2341" spans="22:23" ht="24.95" customHeight="1" x14ac:dyDescent="0.25">
      <c r="V2341" s="2">
        <f>Таблица1[[#This Row],[Дата перевода]]-Таблица1[[#This Row],[Дата поступления]]</f>
        <v>0</v>
      </c>
      <c r="W2341" s="2">
        <f>Таблица1[[#This Row],[Дата поступления]]-Таблица1[[#This Row],[Дата рождения]]</f>
        <v>0</v>
      </c>
    </row>
    <row r="2342" spans="22:23" ht="24.95" customHeight="1" x14ac:dyDescent="0.25">
      <c r="V2342" s="2">
        <f>Таблица1[[#This Row],[Дата перевода]]-Таблица1[[#This Row],[Дата поступления]]</f>
        <v>0</v>
      </c>
      <c r="W2342" s="2">
        <f>Таблица1[[#This Row],[Дата поступления]]-Таблица1[[#This Row],[Дата рождения]]</f>
        <v>0</v>
      </c>
    </row>
    <row r="2343" spans="22:23" ht="24.95" customHeight="1" x14ac:dyDescent="0.25">
      <c r="V2343" s="2">
        <f>Таблица1[[#This Row],[Дата перевода]]-Таблица1[[#This Row],[Дата поступления]]</f>
        <v>0</v>
      </c>
      <c r="W2343" s="2">
        <f>Таблица1[[#This Row],[Дата поступления]]-Таблица1[[#This Row],[Дата рождения]]</f>
        <v>0</v>
      </c>
    </row>
    <row r="2344" spans="22:23" ht="24.95" customHeight="1" x14ac:dyDescent="0.25">
      <c r="V2344" s="2">
        <f>Таблица1[[#This Row],[Дата перевода]]-Таблица1[[#This Row],[Дата поступления]]</f>
        <v>0</v>
      </c>
      <c r="W2344" s="2">
        <f>Таблица1[[#This Row],[Дата поступления]]-Таблица1[[#This Row],[Дата рождения]]</f>
        <v>0</v>
      </c>
    </row>
    <row r="2345" spans="22:23" ht="24.95" customHeight="1" x14ac:dyDescent="0.25">
      <c r="V2345" s="2">
        <f>Таблица1[[#This Row],[Дата перевода]]-Таблица1[[#This Row],[Дата поступления]]</f>
        <v>0</v>
      </c>
      <c r="W2345" s="2">
        <f>Таблица1[[#This Row],[Дата поступления]]-Таблица1[[#This Row],[Дата рождения]]</f>
        <v>0</v>
      </c>
    </row>
    <row r="2346" spans="22:23" ht="24.95" customHeight="1" x14ac:dyDescent="0.25">
      <c r="V2346" s="2">
        <f>Таблица1[[#This Row],[Дата перевода]]-Таблица1[[#This Row],[Дата поступления]]</f>
        <v>0</v>
      </c>
      <c r="W2346" s="2">
        <f>Таблица1[[#This Row],[Дата поступления]]-Таблица1[[#This Row],[Дата рождения]]</f>
        <v>0</v>
      </c>
    </row>
    <row r="2347" spans="22:23" ht="24.95" customHeight="1" x14ac:dyDescent="0.25">
      <c r="V2347" s="2">
        <f>Таблица1[[#This Row],[Дата перевода]]-Таблица1[[#This Row],[Дата поступления]]</f>
        <v>0</v>
      </c>
      <c r="W2347" s="2">
        <f>Таблица1[[#This Row],[Дата поступления]]-Таблица1[[#This Row],[Дата рождения]]</f>
        <v>0</v>
      </c>
    </row>
    <row r="2348" spans="22:23" ht="24.95" customHeight="1" x14ac:dyDescent="0.25">
      <c r="V2348" s="2">
        <f>Таблица1[[#This Row],[Дата перевода]]-Таблица1[[#This Row],[Дата поступления]]</f>
        <v>0</v>
      </c>
      <c r="W2348" s="2">
        <f>Таблица1[[#This Row],[Дата поступления]]-Таблица1[[#This Row],[Дата рождения]]</f>
        <v>0</v>
      </c>
    </row>
    <row r="2349" spans="22:23" ht="24.95" customHeight="1" x14ac:dyDescent="0.25">
      <c r="V2349" s="2">
        <f>Таблица1[[#This Row],[Дата перевода]]-Таблица1[[#This Row],[Дата поступления]]</f>
        <v>0</v>
      </c>
      <c r="W2349" s="2">
        <f>Таблица1[[#This Row],[Дата поступления]]-Таблица1[[#This Row],[Дата рождения]]</f>
        <v>0</v>
      </c>
    </row>
    <row r="2350" spans="22:23" ht="24.95" customHeight="1" x14ac:dyDescent="0.25">
      <c r="V2350" s="2">
        <f>Таблица1[[#This Row],[Дата перевода]]-Таблица1[[#This Row],[Дата поступления]]</f>
        <v>0</v>
      </c>
      <c r="W2350" s="2">
        <f>Таблица1[[#This Row],[Дата поступления]]-Таблица1[[#This Row],[Дата рождения]]</f>
        <v>0</v>
      </c>
    </row>
    <row r="2351" spans="22:23" ht="24.95" customHeight="1" x14ac:dyDescent="0.25">
      <c r="V2351" s="2">
        <f>Таблица1[[#This Row],[Дата перевода]]-Таблица1[[#This Row],[Дата поступления]]</f>
        <v>0</v>
      </c>
      <c r="W2351" s="2">
        <f>Таблица1[[#This Row],[Дата поступления]]-Таблица1[[#This Row],[Дата рождения]]</f>
        <v>0</v>
      </c>
    </row>
    <row r="2352" spans="22:23" ht="24.95" customHeight="1" x14ac:dyDescent="0.25">
      <c r="V2352" s="2">
        <f>Таблица1[[#This Row],[Дата перевода]]-Таблица1[[#This Row],[Дата поступления]]</f>
        <v>0</v>
      </c>
      <c r="W2352" s="2">
        <f>Таблица1[[#This Row],[Дата поступления]]-Таблица1[[#This Row],[Дата рождения]]</f>
        <v>0</v>
      </c>
    </row>
    <row r="2353" spans="22:23" ht="24.95" customHeight="1" x14ac:dyDescent="0.25">
      <c r="V2353" s="2">
        <f>Таблица1[[#This Row],[Дата перевода]]-Таблица1[[#This Row],[Дата поступления]]</f>
        <v>0</v>
      </c>
      <c r="W2353" s="2">
        <f>Таблица1[[#This Row],[Дата поступления]]-Таблица1[[#This Row],[Дата рождения]]</f>
        <v>0</v>
      </c>
    </row>
    <row r="2354" spans="22:23" ht="24.95" customHeight="1" x14ac:dyDescent="0.25">
      <c r="V2354" s="2">
        <f>Таблица1[[#This Row],[Дата перевода]]-Таблица1[[#This Row],[Дата поступления]]</f>
        <v>0</v>
      </c>
      <c r="W2354" s="2">
        <f>Таблица1[[#This Row],[Дата поступления]]-Таблица1[[#This Row],[Дата рождения]]</f>
        <v>0</v>
      </c>
    </row>
    <row r="2355" spans="22:23" ht="24.95" customHeight="1" x14ac:dyDescent="0.25">
      <c r="V2355" s="2">
        <f>Таблица1[[#This Row],[Дата перевода]]-Таблица1[[#This Row],[Дата поступления]]</f>
        <v>0</v>
      </c>
      <c r="W2355" s="2">
        <f>Таблица1[[#This Row],[Дата поступления]]-Таблица1[[#This Row],[Дата рождения]]</f>
        <v>0</v>
      </c>
    </row>
    <row r="2356" spans="22:23" ht="24.95" customHeight="1" x14ac:dyDescent="0.25">
      <c r="V2356" s="2">
        <f>Таблица1[[#This Row],[Дата перевода]]-Таблица1[[#This Row],[Дата поступления]]</f>
        <v>0</v>
      </c>
      <c r="W2356" s="2">
        <f>Таблица1[[#This Row],[Дата поступления]]-Таблица1[[#This Row],[Дата рождения]]</f>
        <v>0</v>
      </c>
    </row>
    <row r="2357" spans="22:23" ht="24.95" customHeight="1" x14ac:dyDescent="0.25">
      <c r="V2357" s="2">
        <f>Таблица1[[#This Row],[Дата перевода]]-Таблица1[[#This Row],[Дата поступления]]</f>
        <v>0</v>
      </c>
      <c r="W2357" s="2">
        <f>Таблица1[[#This Row],[Дата поступления]]-Таблица1[[#This Row],[Дата рождения]]</f>
        <v>0</v>
      </c>
    </row>
    <row r="2358" spans="22:23" ht="24.95" customHeight="1" x14ac:dyDescent="0.25">
      <c r="V2358" s="2">
        <f>Таблица1[[#This Row],[Дата перевода]]-Таблица1[[#This Row],[Дата поступления]]</f>
        <v>0</v>
      </c>
      <c r="W2358" s="2">
        <f>Таблица1[[#This Row],[Дата поступления]]-Таблица1[[#This Row],[Дата рождения]]</f>
        <v>0</v>
      </c>
    </row>
    <row r="2359" spans="22:23" ht="24.95" customHeight="1" x14ac:dyDescent="0.25">
      <c r="V2359" s="2">
        <f>Таблица1[[#This Row],[Дата перевода]]-Таблица1[[#This Row],[Дата поступления]]</f>
        <v>0</v>
      </c>
      <c r="W2359" s="2">
        <f>Таблица1[[#This Row],[Дата поступления]]-Таблица1[[#This Row],[Дата рождения]]</f>
        <v>0</v>
      </c>
    </row>
    <row r="2360" spans="22:23" ht="24.95" customHeight="1" x14ac:dyDescent="0.25">
      <c r="V2360" s="2">
        <f>Таблица1[[#This Row],[Дата перевода]]-Таблица1[[#This Row],[Дата поступления]]</f>
        <v>0</v>
      </c>
      <c r="W2360" s="2">
        <f>Таблица1[[#This Row],[Дата поступления]]-Таблица1[[#This Row],[Дата рождения]]</f>
        <v>0</v>
      </c>
    </row>
    <row r="2361" spans="22:23" ht="24.95" customHeight="1" x14ac:dyDescent="0.25">
      <c r="V2361" s="2">
        <f>Таблица1[[#This Row],[Дата перевода]]-Таблица1[[#This Row],[Дата поступления]]</f>
        <v>0</v>
      </c>
      <c r="W2361" s="2">
        <f>Таблица1[[#This Row],[Дата поступления]]-Таблица1[[#This Row],[Дата рождения]]</f>
        <v>0</v>
      </c>
    </row>
    <row r="2362" spans="22:23" ht="24.95" customHeight="1" x14ac:dyDescent="0.25">
      <c r="V2362" s="2">
        <f>Таблица1[[#This Row],[Дата перевода]]-Таблица1[[#This Row],[Дата поступления]]</f>
        <v>0</v>
      </c>
      <c r="W2362" s="2">
        <f>Таблица1[[#This Row],[Дата поступления]]-Таблица1[[#This Row],[Дата рождения]]</f>
        <v>0</v>
      </c>
    </row>
    <row r="2363" spans="22:23" ht="24.95" customHeight="1" x14ac:dyDescent="0.25">
      <c r="V2363" s="2">
        <f>Таблица1[[#This Row],[Дата перевода]]-Таблица1[[#This Row],[Дата поступления]]</f>
        <v>0</v>
      </c>
      <c r="W2363" s="2">
        <f>Таблица1[[#This Row],[Дата поступления]]-Таблица1[[#This Row],[Дата рождения]]</f>
        <v>0</v>
      </c>
    </row>
    <row r="2364" spans="22:23" ht="24.95" customHeight="1" x14ac:dyDescent="0.25">
      <c r="V2364" s="2">
        <f>Таблица1[[#This Row],[Дата перевода]]-Таблица1[[#This Row],[Дата поступления]]</f>
        <v>0</v>
      </c>
      <c r="W2364" s="2">
        <f>Таблица1[[#This Row],[Дата поступления]]-Таблица1[[#This Row],[Дата рождения]]</f>
        <v>0</v>
      </c>
    </row>
    <row r="2365" spans="22:23" ht="24.95" customHeight="1" x14ac:dyDescent="0.25">
      <c r="V2365" s="2">
        <f>Таблица1[[#This Row],[Дата перевода]]-Таблица1[[#This Row],[Дата поступления]]</f>
        <v>0</v>
      </c>
      <c r="W2365" s="2">
        <f>Таблица1[[#This Row],[Дата поступления]]-Таблица1[[#This Row],[Дата рождения]]</f>
        <v>0</v>
      </c>
    </row>
    <row r="2366" spans="22:23" ht="24.95" customHeight="1" x14ac:dyDescent="0.25">
      <c r="V2366" s="2">
        <f>Таблица1[[#This Row],[Дата перевода]]-Таблица1[[#This Row],[Дата поступления]]</f>
        <v>0</v>
      </c>
      <c r="W2366" s="2">
        <f>Таблица1[[#This Row],[Дата поступления]]-Таблица1[[#This Row],[Дата рождения]]</f>
        <v>0</v>
      </c>
    </row>
    <row r="2367" spans="22:23" ht="24.95" customHeight="1" x14ac:dyDescent="0.25">
      <c r="V2367" s="2">
        <f>Таблица1[[#This Row],[Дата перевода]]-Таблица1[[#This Row],[Дата поступления]]</f>
        <v>0</v>
      </c>
      <c r="W2367" s="2">
        <f>Таблица1[[#This Row],[Дата поступления]]-Таблица1[[#This Row],[Дата рождения]]</f>
        <v>0</v>
      </c>
    </row>
    <row r="2368" spans="22:23" ht="24.95" customHeight="1" x14ac:dyDescent="0.25">
      <c r="V2368" s="2">
        <f>Таблица1[[#This Row],[Дата перевода]]-Таблица1[[#This Row],[Дата поступления]]</f>
        <v>0</v>
      </c>
      <c r="W2368" s="2">
        <f>Таблица1[[#This Row],[Дата поступления]]-Таблица1[[#This Row],[Дата рождения]]</f>
        <v>0</v>
      </c>
    </row>
    <row r="2369" spans="22:23" ht="24.95" customHeight="1" x14ac:dyDescent="0.25">
      <c r="V2369" s="2">
        <f>Таблица1[[#This Row],[Дата перевода]]-Таблица1[[#This Row],[Дата поступления]]</f>
        <v>0</v>
      </c>
      <c r="W2369" s="2">
        <f>Таблица1[[#This Row],[Дата поступления]]-Таблица1[[#This Row],[Дата рождения]]</f>
        <v>0</v>
      </c>
    </row>
    <row r="2370" spans="22:23" ht="24.95" customHeight="1" x14ac:dyDescent="0.25">
      <c r="V2370" s="2">
        <f>Таблица1[[#This Row],[Дата перевода]]-Таблица1[[#This Row],[Дата поступления]]</f>
        <v>0</v>
      </c>
      <c r="W2370" s="2">
        <f>Таблица1[[#This Row],[Дата поступления]]-Таблица1[[#This Row],[Дата рождения]]</f>
        <v>0</v>
      </c>
    </row>
    <row r="2371" spans="22:23" ht="24.95" customHeight="1" x14ac:dyDescent="0.25">
      <c r="V2371" s="2">
        <f>Таблица1[[#This Row],[Дата перевода]]-Таблица1[[#This Row],[Дата поступления]]</f>
        <v>0</v>
      </c>
      <c r="W2371" s="2">
        <f>Таблица1[[#This Row],[Дата поступления]]-Таблица1[[#This Row],[Дата рождения]]</f>
        <v>0</v>
      </c>
    </row>
    <row r="2372" spans="22:23" ht="24.95" customHeight="1" x14ac:dyDescent="0.25">
      <c r="V2372" s="2">
        <f>Таблица1[[#This Row],[Дата перевода]]-Таблица1[[#This Row],[Дата поступления]]</f>
        <v>0</v>
      </c>
      <c r="W2372" s="2">
        <f>Таблица1[[#This Row],[Дата поступления]]-Таблица1[[#This Row],[Дата рождения]]</f>
        <v>0</v>
      </c>
    </row>
    <row r="2373" spans="22:23" ht="24.95" customHeight="1" x14ac:dyDescent="0.25">
      <c r="V2373" s="2">
        <f>Таблица1[[#This Row],[Дата перевода]]-Таблица1[[#This Row],[Дата поступления]]</f>
        <v>0</v>
      </c>
      <c r="W2373" s="2">
        <f>Таблица1[[#This Row],[Дата поступления]]-Таблица1[[#This Row],[Дата рождения]]</f>
        <v>0</v>
      </c>
    </row>
    <row r="2374" spans="22:23" ht="24.95" customHeight="1" x14ac:dyDescent="0.25">
      <c r="V2374" s="2">
        <f>Таблица1[[#This Row],[Дата перевода]]-Таблица1[[#This Row],[Дата поступления]]</f>
        <v>0</v>
      </c>
      <c r="W2374" s="2">
        <f>Таблица1[[#This Row],[Дата поступления]]-Таблица1[[#This Row],[Дата рождения]]</f>
        <v>0</v>
      </c>
    </row>
    <row r="2375" spans="22:23" ht="24.95" customHeight="1" x14ac:dyDescent="0.25">
      <c r="V2375" s="2">
        <f>Таблица1[[#This Row],[Дата перевода]]-Таблица1[[#This Row],[Дата поступления]]</f>
        <v>0</v>
      </c>
      <c r="W2375" s="2">
        <f>Таблица1[[#This Row],[Дата поступления]]-Таблица1[[#This Row],[Дата рождения]]</f>
        <v>0</v>
      </c>
    </row>
    <row r="2376" spans="22:23" ht="24.95" customHeight="1" x14ac:dyDescent="0.25">
      <c r="V2376" s="2">
        <f>Таблица1[[#This Row],[Дата перевода]]-Таблица1[[#This Row],[Дата поступления]]</f>
        <v>0</v>
      </c>
      <c r="W2376" s="2">
        <f>Таблица1[[#This Row],[Дата поступления]]-Таблица1[[#This Row],[Дата рождения]]</f>
        <v>0</v>
      </c>
    </row>
    <row r="2377" spans="22:23" ht="24.95" customHeight="1" x14ac:dyDescent="0.25">
      <c r="V2377" s="2">
        <f>Таблица1[[#This Row],[Дата перевода]]-Таблица1[[#This Row],[Дата поступления]]</f>
        <v>0</v>
      </c>
      <c r="W2377" s="2">
        <f>Таблица1[[#This Row],[Дата поступления]]-Таблица1[[#This Row],[Дата рождения]]</f>
        <v>0</v>
      </c>
    </row>
    <row r="2378" spans="22:23" ht="24.95" customHeight="1" x14ac:dyDescent="0.25">
      <c r="V2378" s="2">
        <f>Таблица1[[#This Row],[Дата перевода]]-Таблица1[[#This Row],[Дата поступления]]</f>
        <v>0</v>
      </c>
      <c r="W2378" s="2">
        <f>Таблица1[[#This Row],[Дата поступления]]-Таблица1[[#This Row],[Дата рождения]]</f>
        <v>0</v>
      </c>
    </row>
    <row r="2379" spans="22:23" ht="24.95" customHeight="1" x14ac:dyDescent="0.25">
      <c r="V2379" s="2">
        <f>Таблица1[[#This Row],[Дата перевода]]-Таблица1[[#This Row],[Дата поступления]]</f>
        <v>0</v>
      </c>
      <c r="W2379" s="2">
        <f>Таблица1[[#This Row],[Дата поступления]]-Таблица1[[#This Row],[Дата рождения]]</f>
        <v>0</v>
      </c>
    </row>
    <row r="2380" spans="22:23" ht="24.95" customHeight="1" x14ac:dyDescent="0.25">
      <c r="V2380" s="2">
        <f>Таблица1[[#This Row],[Дата перевода]]-Таблица1[[#This Row],[Дата поступления]]</f>
        <v>0</v>
      </c>
      <c r="W2380" s="2">
        <f>Таблица1[[#This Row],[Дата поступления]]-Таблица1[[#This Row],[Дата рождения]]</f>
        <v>0</v>
      </c>
    </row>
    <row r="2381" spans="22:23" ht="24.95" customHeight="1" x14ac:dyDescent="0.25">
      <c r="V2381" s="2">
        <f>Таблица1[[#This Row],[Дата перевода]]-Таблица1[[#This Row],[Дата поступления]]</f>
        <v>0</v>
      </c>
      <c r="W2381" s="2">
        <f>Таблица1[[#This Row],[Дата поступления]]-Таблица1[[#This Row],[Дата рождения]]</f>
        <v>0</v>
      </c>
    </row>
    <row r="2382" spans="22:23" ht="24.95" customHeight="1" x14ac:dyDescent="0.25">
      <c r="V2382" s="2">
        <f>Таблица1[[#This Row],[Дата перевода]]-Таблица1[[#This Row],[Дата поступления]]</f>
        <v>0</v>
      </c>
      <c r="W2382" s="2">
        <f>Таблица1[[#This Row],[Дата поступления]]-Таблица1[[#This Row],[Дата рождения]]</f>
        <v>0</v>
      </c>
    </row>
    <row r="2383" spans="22:23" ht="24.95" customHeight="1" x14ac:dyDescent="0.25">
      <c r="V2383" s="2">
        <f>Таблица1[[#This Row],[Дата перевода]]-Таблица1[[#This Row],[Дата поступления]]</f>
        <v>0</v>
      </c>
      <c r="W2383" s="2">
        <f>Таблица1[[#This Row],[Дата поступления]]-Таблица1[[#This Row],[Дата рождения]]</f>
        <v>0</v>
      </c>
    </row>
    <row r="2384" spans="22:23" ht="24.95" customHeight="1" x14ac:dyDescent="0.25">
      <c r="V2384" s="2">
        <f>Таблица1[[#This Row],[Дата перевода]]-Таблица1[[#This Row],[Дата поступления]]</f>
        <v>0</v>
      </c>
      <c r="W2384" s="2">
        <f>Таблица1[[#This Row],[Дата поступления]]-Таблица1[[#This Row],[Дата рождения]]</f>
        <v>0</v>
      </c>
    </row>
    <row r="2385" spans="22:23" ht="24.95" customHeight="1" x14ac:dyDescent="0.25">
      <c r="V2385" s="2">
        <f>Таблица1[[#This Row],[Дата перевода]]-Таблица1[[#This Row],[Дата поступления]]</f>
        <v>0</v>
      </c>
      <c r="W2385" s="2">
        <f>Таблица1[[#This Row],[Дата поступления]]-Таблица1[[#This Row],[Дата рождения]]</f>
        <v>0</v>
      </c>
    </row>
    <row r="2386" spans="22:23" ht="24.95" customHeight="1" x14ac:dyDescent="0.25">
      <c r="V2386" s="2">
        <f>Таблица1[[#This Row],[Дата перевода]]-Таблица1[[#This Row],[Дата поступления]]</f>
        <v>0</v>
      </c>
      <c r="W2386" s="2">
        <f>Таблица1[[#This Row],[Дата поступления]]-Таблица1[[#This Row],[Дата рождения]]</f>
        <v>0</v>
      </c>
    </row>
    <row r="2387" spans="22:23" ht="24.95" customHeight="1" x14ac:dyDescent="0.25">
      <c r="V2387" s="2">
        <f>Таблица1[[#This Row],[Дата перевода]]-Таблица1[[#This Row],[Дата поступления]]</f>
        <v>0</v>
      </c>
      <c r="W2387" s="2">
        <f>Таблица1[[#This Row],[Дата поступления]]-Таблица1[[#This Row],[Дата рождения]]</f>
        <v>0</v>
      </c>
    </row>
    <row r="2388" spans="22:23" ht="24.95" customHeight="1" x14ac:dyDescent="0.25">
      <c r="V2388" s="2">
        <f>Таблица1[[#This Row],[Дата перевода]]-Таблица1[[#This Row],[Дата поступления]]</f>
        <v>0</v>
      </c>
      <c r="W2388" s="2">
        <f>Таблица1[[#This Row],[Дата поступления]]-Таблица1[[#This Row],[Дата рождения]]</f>
        <v>0</v>
      </c>
    </row>
    <row r="2389" spans="22:23" ht="24.95" customHeight="1" x14ac:dyDescent="0.25">
      <c r="V2389" s="2">
        <f>Таблица1[[#This Row],[Дата перевода]]-Таблица1[[#This Row],[Дата поступления]]</f>
        <v>0</v>
      </c>
      <c r="W2389" s="2">
        <f>Таблица1[[#This Row],[Дата поступления]]-Таблица1[[#This Row],[Дата рождения]]</f>
        <v>0</v>
      </c>
    </row>
    <row r="2390" spans="22:23" ht="24.95" customHeight="1" x14ac:dyDescent="0.25">
      <c r="V2390" s="2">
        <f>Таблица1[[#This Row],[Дата перевода]]-Таблица1[[#This Row],[Дата поступления]]</f>
        <v>0</v>
      </c>
      <c r="W2390" s="2">
        <f>Таблица1[[#This Row],[Дата поступления]]-Таблица1[[#This Row],[Дата рождения]]</f>
        <v>0</v>
      </c>
    </row>
    <row r="2391" spans="22:23" ht="24.95" customHeight="1" x14ac:dyDescent="0.25">
      <c r="V2391" s="2">
        <f>Таблица1[[#This Row],[Дата перевода]]-Таблица1[[#This Row],[Дата поступления]]</f>
        <v>0</v>
      </c>
      <c r="W2391" s="2">
        <f>Таблица1[[#This Row],[Дата поступления]]-Таблица1[[#This Row],[Дата рождения]]</f>
        <v>0</v>
      </c>
    </row>
    <row r="2392" spans="22:23" ht="24.95" customHeight="1" x14ac:dyDescent="0.25">
      <c r="V2392" s="2">
        <f>Таблица1[[#This Row],[Дата перевода]]-Таблица1[[#This Row],[Дата поступления]]</f>
        <v>0</v>
      </c>
      <c r="W2392" s="2">
        <f>Таблица1[[#This Row],[Дата поступления]]-Таблица1[[#This Row],[Дата рождения]]</f>
        <v>0</v>
      </c>
    </row>
    <row r="2393" spans="22:23" ht="24.95" customHeight="1" x14ac:dyDescent="0.25">
      <c r="V2393" s="2">
        <f>Таблица1[[#This Row],[Дата перевода]]-Таблица1[[#This Row],[Дата поступления]]</f>
        <v>0</v>
      </c>
      <c r="W2393" s="2">
        <f>Таблица1[[#This Row],[Дата поступления]]-Таблица1[[#This Row],[Дата рождения]]</f>
        <v>0</v>
      </c>
    </row>
    <row r="2394" spans="22:23" ht="24.95" customHeight="1" x14ac:dyDescent="0.25">
      <c r="V2394" s="2">
        <f>Таблица1[[#This Row],[Дата перевода]]-Таблица1[[#This Row],[Дата поступления]]</f>
        <v>0</v>
      </c>
      <c r="W2394" s="2">
        <f>Таблица1[[#This Row],[Дата поступления]]-Таблица1[[#This Row],[Дата рождения]]</f>
        <v>0</v>
      </c>
    </row>
    <row r="2395" spans="22:23" ht="24.95" customHeight="1" x14ac:dyDescent="0.25">
      <c r="V2395" s="2">
        <f>Таблица1[[#This Row],[Дата перевода]]-Таблица1[[#This Row],[Дата поступления]]</f>
        <v>0</v>
      </c>
      <c r="W2395" s="2">
        <f>Таблица1[[#This Row],[Дата поступления]]-Таблица1[[#This Row],[Дата рождения]]</f>
        <v>0</v>
      </c>
    </row>
    <row r="2396" spans="22:23" ht="24.95" customHeight="1" x14ac:dyDescent="0.25">
      <c r="V2396" s="2">
        <f>Таблица1[[#This Row],[Дата перевода]]-Таблица1[[#This Row],[Дата поступления]]</f>
        <v>0</v>
      </c>
      <c r="W2396" s="2">
        <f>Таблица1[[#This Row],[Дата поступления]]-Таблица1[[#This Row],[Дата рождения]]</f>
        <v>0</v>
      </c>
    </row>
    <row r="2397" spans="22:23" ht="24.95" customHeight="1" x14ac:dyDescent="0.25">
      <c r="V2397" s="2">
        <f>Таблица1[[#This Row],[Дата перевода]]-Таблица1[[#This Row],[Дата поступления]]</f>
        <v>0</v>
      </c>
      <c r="W2397" s="2">
        <f>Таблица1[[#This Row],[Дата поступления]]-Таблица1[[#This Row],[Дата рождения]]</f>
        <v>0</v>
      </c>
    </row>
    <row r="2398" spans="22:23" ht="24.95" customHeight="1" x14ac:dyDescent="0.25">
      <c r="V2398" s="2">
        <f>Таблица1[[#This Row],[Дата перевода]]-Таблица1[[#This Row],[Дата поступления]]</f>
        <v>0</v>
      </c>
      <c r="W2398" s="2">
        <f>Таблица1[[#This Row],[Дата поступления]]-Таблица1[[#This Row],[Дата рождения]]</f>
        <v>0</v>
      </c>
    </row>
    <row r="2399" spans="22:23" ht="24.95" customHeight="1" x14ac:dyDescent="0.25">
      <c r="V2399" s="2">
        <f>Таблица1[[#This Row],[Дата перевода]]-Таблица1[[#This Row],[Дата поступления]]</f>
        <v>0</v>
      </c>
      <c r="W2399" s="2">
        <f>Таблица1[[#This Row],[Дата поступления]]-Таблица1[[#This Row],[Дата рождения]]</f>
        <v>0</v>
      </c>
    </row>
    <row r="2400" spans="22:23" ht="24.95" customHeight="1" x14ac:dyDescent="0.25">
      <c r="V2400" s="2">
        <f>Таблица1[[#This Row],[Дата перевода]]-Таблица1[[#This Row],[Дата поступления]]</f>
        <v>0</v>
      </c>
      <c r="W2400" s="2">
        <f>Таблица1[[#This Row],[Дата поступления]]-Таблица1[[#This Row],[Дата рождения]]</f>
        <v>0</v>
      </c>
    </row>
    <row r="2401" spans="22:23" ht="24.95" customHeight="1" x14ac:dyDescent="0.25">
      <c r="V2401" s="2">
        <f>Таблица1[[#This Row],[Дата перевода]]-Таблица1[[#This Row],[Дата поступления]]</f>
        <v>0</v>
      </c>
      <c r="W2401" s="2">
        <f>Таблица1[[#This Row],[Дата поступления]]-Таблица1[[#This Row],[Дата рождения]]</f>
        <v>0</v>
      </c>
    </row>
    <row r="2402" spans="22:23" ht="24.95" customHeight="1" x14ac:dyDescent="0.25">
      <c r="V2402" s="2">
        <f>Таблица1[[#This Row],[Дата перевода]]-Таблица1[[#This Row],[Дата поступления]]</f>
        <v>0</v>
      </c>
      <c r="W2402" s="2">
        <f>Таблица1[[#This Row],[Дата поступления]]-Таблица1[[#This Row],[Дата рождения]]</f>
        <v>0</v>
      </c>
    </row>
    <row r="2403" spans="22:23" ht="24.95" customHeight="1" x14ac:dyDescent="0.25">
      <c r="V2403" s="2">
        <f>Таблица1[[#This Row],[Дата перевода]]-Таблица1[[#This Row],[Дата поступления]]</f>
        <v>0</v>
      </c>
      <c r="W2403" s="2">
        <f>Таблица1[[#This Row],[Дата поступления]]-Таблица1[[#This Row],[Дата рождения]]</f>
        <v>0</v>
      </c>
    </row>
    <row r="2404" spans="22:23" ht="24.95" customHeight="1" x14ac:dyDescent="0.25">
      <c r="V2404" s="2">
        <f>Таблица1[[#This Row],[Дата перевода]]-Таблица1[[#This Row],[Дата поступления]]</f>
        <v>0</v>
      </c>
      <c r="W2404" s="2">
        <f>Таблица1[[#This Row],[Дата поступления]]-Таблица1[[#This Row],[Дата рождения]]</f>
        <v>0</v>
      </c>
    </row>
    <row r="2405" spans="22:23" ht="24.95" customHeight="1" x14ac:dyDescent="0.25">
      <c r="V2405" s="2">
        <f>Таблица1[[#This Row],[Дата перевода]]-Таблица1[[#This Row],[Дата поступления]]</f>
        <v>0</v>
      </c>
      <c r="W2405" s="2">
        <f>Таблица1[[#This Row],[Дата поступления]]-Таблица1[[#This Row],[Дата рождения]]</f>
        <v>0</v>
      </c>
    </row>
    <row r="2406" spans="22:23" ht="24.95" customHeight="1" x14ac:dyDescent="0.25">
      <c r="V2406" s="2">
        <f>Таблица1[[#This Row],[Дата перевода]]-Таблица1[[#This Row],[Дата поступления]]</f>
        <v>0</v>
      </c>
      <c r="W2406" s="2">
        <f>Таблица1[[#This Row],[Дата поступления]]-Таблица1[[#This Row],[Дата рождения]]</f>
        <v>0</v>
      </c>
    </row>
    <row r="2407" spans="22:23" ht="24.95" customHeight="1" x14ac:dyDescent="0.25">
      <c r="V2407" s="2">
        <f>Таблица1[[#This Row],[Дата перевода]]-Таблица1[[#This Row],[Дата поступления]]</f>
        <v>0</v>
      </c>
      <c r="W2407" s="2">
        <f>Таблица1[[#This Row],[Дата поступления]]-Таблица1[[#This Row],[Дата рождения]]</f>
        <v>0</v>
      </c>
    </row>
    <row r="2408" spans="22:23" ht="24.95" customHeight="1" x14ac:dyDescent="0.25">
      <c r="V2408" s="2">
        <f>Таблица1[[#This Row],[Дата перевода]]-Таблица1[[#This Row],[Дата поступления]]</f>
        <v>0</v>
      </c>
      <c r="W2408" s="2">
        <f>Таблица1[[#This Row],[Дата поступления]]-Таблица1[[#This Row],[Дата рождения]]</f>
        <v>0</v>
      </c>
    </row>
    <row r="2409" spans="22:23" ht="24.95" customHeight="1" x14ac:dyDescent="0.25">
      <c r="V2409" s="2">
        <f>Таблица1[[#This Row],[Дата перевода]]-Таблица1[[#This Row],[Дата поступления]]</f>
        <v>0</v>
      </c>
      <c r="W2409" s="2">
        <f>Таблица1[[#This Row],[Дата поступления]]-Таблица1[[#This Row],[Дата рождения]]</f>
        <v>0</v>
      </c>
    </row>
    <row r="2410" spans="22:23" ht="24.95" customHeight="1" x14ac:dyDescent="0.25">
      <c r="V2410" s="2">
        <f>Таблица1[[#This Row],[Дата перевода]]-Таблица1[[#This Row],[Дата поступления]]</f>
        <v>0</v>
      </c>
      <c r="W2410" s="2">
        <f>Таблица1[[#This Row],[Дата поступления]]-Таблица1[[#This Row],[Дата рождения]]</f>
        <v>0</v>
      </c>
    </row>
    <row r="2411" spans="22:23" ht="24.95" customHeight="1" x14ac:dyDescent="0.25">
      <c r="V2411" s="2">
        <f>Таблица1[[#This Row],[Дата перевода]]-Таблица1[[#This Row],[Дата поступления]]</f>
        <v>0</v>
      </c>
      <c r="W2411" s="2">
        <f>Таблица1[[#This Row],[Дата поступления]]-Таблица1[[#This Row],[Дата рождения]]</f>
        <v>0</v>
      </c>
    </row>
    <row r="2412" spans="22:23" ht="24.95" customHeight="1" x14ac:dyDescent="0.25">
      <c r="V2412" s="2">
        <f>Таблица1[[#This Row],[Дата перевода]]-Таблица1[[#This Row],[Дата поступления]]</f>
        <v>0</v>
      </c>
      <c r="W2412" s="2">
        <f>Таблица1[[#This Row],[Дата поступления]]-Таблица1[[#This Row],[Дата рождения]]</f>
        <v>0</v>
      </c>
    </row>
    <row r="2413" spans="22:23" ht="24.95" customHeight="1" x14ac:dyDescent="0.25">
      <c r="V2413" s="2">
        <f>Таблица1[[#This Row],[Дата перевода]]-Таблица1[[#This Row],[Дата поступления]]</f>
        <v>0</v>
      </c>
      <c r="W2413" s="2">
        <f>Таблица1[[#This Row],[Дата поступления]]-Таблица1[[#This Row],[Дата рождения]]</f>
        <v>0</v>
      </c>
    </row>
    <row r="2414" spans="22:23" ht="24.95" customHeight="1" x14ac:dyDescent="0.25">
      <c r="V2414" s="2">
        <f>Таблица1[[#This Row],[Дата перевода]]-Таблица1[[#This Row],[Дата поступления]]</f>
        <v>0</v>
      </c>
      <c r="W2414" s="2">
        <f>Таблица1[[#This Row],[Дата поступления]]-Таблица1[[#This Row],[Дата рождения]]</f>
        <v>0</v>
      </c>
    </row>
    <row r="2415" spans="22:23" ht="24.95" customHeight="1" x14ac:dyDescent="0.25">
      <c r="V2415" s="2">
        <f>Таблица1[[#This Row],[Дата перевода]]-Таблица1[[#This Row],[Дата поступления]]</f>
        <v>0</v>
      </c>
      <c r="W2415" s="2">
        <f>Таблица1[[#This Row],[Дата поступления]]-Таблица1[[#This Row],[Дата рождения]]</f>
        <v>0</v>
      </c>
    </row>
    <row r="2416" spans="22:23" ht="24.95" customHeight="1" x14ac:dyDescent="0.25">
      <c r="V2416" s="2">
        <f>Таблица1[[#This Row],[Дата перевода]]-Таблица1[[#This Row],[Дата поступления]]</f>
        <v>0</v>
      </c>
      <c r="W2416" s="2">
        <f>Таблица1[[#This Row],[Дата поступления]]-Таблица1[[#This Row],[Дата рождения]]</f>
        <v>0</v>
      </c>
    </row>
    <row r="2417" spans="22:23" ht="24.95" customHeight="1" x14ac:dyDescent="0.25">
      <c r="V2417" s="2">
        <f>Таблица1[[#This Row],[Дата перевода]]-Таблица1[[#This Row],[Дата поступления]]</f>
        <v>0</v>
      </c>
      <c r="W2417" s="2">
        <f>Таблица1[[#This Row],[Дата поступления]]-Таблица1[[#This Row],[Дата рождения]]</f>
        <v>0</v>
      </c>
    </row>
    <row r="2418" spans="22:23" ht="24.95" customHeight="1" x14ac:dyDescent="0.25">
      <c r="V2418" s="2">
        <f>Таблица1[[#This Row],[Дата перевода]]-Таблица1[[#This Row],[Дата поступления]]</f>
        <v>0</v>
      </c>
      <c r="W2418" s="2">
        <f>Таблица1[[#This Row],[Дата поступления]]-Таблица1[[#This Row],[Дата рождения]]</f>
        <v>0</v>
      </c>
    </row>
    <row r="2419" spans="22:23" ht="24.95" customHeight="1" x14ac:dyDescent="0.25">
      <c r="V2419" s="2">
        <f>Таблица1[[#This Row],[Дата перевода]]-Таблица1[[#This Row],[Дата поступления]]</f>
        <v>0</v>
      </c>
      <c r="W2419" s="2">
        <f>Таблица1[[#This Row],[Дата поступления]]-Таблица1[[#This Row],[Дата рождения]]</f>
        <v>0</v>
      </c>
    </row>
    <row r="2420" spans="22:23" ht="24.95" customHeight="1" x14ac:dyDescent="0.25">
      <c r="V2420" s="2">
        <f>Таблица1[[#This Row],[Дата перевода]]-Таблица1[[#This Row],[Дата поступления]]</f>
        <v>0</v>
      </c>
      <c r="W2420" s="2">
        <f>Таблица1[[#This Row],[Дата поступления]]-Таблица1[[#This Row],[Дата рождения]]</f>
        <v>0</v>
      </c>
    </row>
    <row r="2421" spans="22:23" ht="24.95" customHeight="1" x14ac:dyDescent="0.25">
      <c r="V2421" s="2">
        <f>Таблица1[[#This Row],[Дата перевода]]-Таблица1[[#This Row],[Дата поступления]]</f>
        <v>0</v>
      </c>
      <c r="W2421" s="2">
        <f>Таблица1[[#This Row],[Дата поступления]]-Таблица1[[#This Row],[Дата рождения]]</f>
        <v>0</v>
      </c>
    </row>
    <row r="2422" spans="22:23" ht="24.95" customHeight="1" x14ac:dyDescent="0.25">
      <c r="V2422" s="2">
        <f>Таблица1[[#This Row],[Дата перевода]]-Таблица1[[#This Row],[Дата поступления]]</f>
        <v>0</v>
      </c>
      <c r="W2422" s="2">
        <f>Таблица1[[#This Row],[Дата поступления]]-Таблица1[[#This Row],[Дата рождения]]</f>
        <v>0</v>
      </c>
    </row>
    <row r="2423" spans="22:23" ht="24.95" customHeight="1" x14ac:dyDescent="0.25">
      <c r="V2423" s="2">
        <f>Таблица1[[#This Row],[Дата перевода]]-Таблица1[[#This Row],[Дата поступления]]</f>
        <v>0</v>
      </c>
      <c r="W2423" s="2">
        <f>Таблица1[[#This Row],[Дата поступления]]-Таблица1[[#This Row],[Дата рождения]]</f>
        <v>0</v>
      </c>
    </row>
    <row r="2424" spans="22:23" ht="24.95" customHeight="1" x14ac:dyDescent="0.25">
      <c r="V2424" s="2">
        <f>Таблица1[[#This Row],[Дата перевода]]-Таблица1[[#This Row],[Дата поступления]]</f>
        <v>0</v>
      </c>
      <c r="W2424" s="2">
        <f>Таблица1[[#This Row],[Дата поступления]]-Таблица1[[#This Row],[Дата рождения]]</f>
        <v>0</v>
      </c>
    </row>
    <row r="2425" spans="22:23" ht="24.95" customHeight="1" x14ac:dyDescent="0.25">
      <c r="V2425" s="2">
        <f>Таблица1[[#This Row],[Дата перевода]]-Таблица1[[#This Row],[Дата поступления]]</f>
        <v>0</v>
      </c>
      <c r="W2425" s="2">
        <f>Таблица1[[#This Row],[Дата поступления]]-Таблица1[[#This Row],[Дата рождения]]</f>
        <v>0</v>
      </c>
    </row>
    <row r="2426" spans="22:23" ht="24.95" customHeight="1" x14ac:dyDescent="0.25">
      <c r="V2426" s="2">
        <f>Таблица1[[#This Row],[Дата перевода]]-Таблица1[[#This Row],[Дата поступления]]</f>
        <v>0</v>
      </c>
      <c r="W2426" s="2">
        <f>Таблица1[[#This Row],[Дата поступления]]-Таблица1[[#This Row],[Дата рождения]]</f>
        <v>0</v>
      </c>
    </row>
    <row r="2427" spans="22:23" ht="24.95" customHeight="1" x14ac:dyDescent="0.25">
      <c r="V2427" s="2">
        <f>Таблица1[[#This Row],[Дата перевода]]-Таблица1[[#This Row],[Дата поступления]]</f>
        <v>0</v>
      </c>
      <c r="W2427" s="2">
        <f>Таблица1[[#This Row],[Дата поступления]]-Таблица1[[#This Row],[Дата рождения]]</f>
        <v>0</v>
      </c>
    </row>
    <row r="2428" spans="22:23" ht="24.95" customHeight="1" x14ac:dyDescent="0.25">
      <c r="V2428" s="2">
        <f>Таблица1[[#This Row],[Дата перевода]]-Таблица1[[#This Row],[Дата поступления]]</f>
        <v>0</v>
      </c>
      <c r="W2428" s="2">
        <f>Таблица1[[#This Row],[Дата поступления]]-Таблица1[[#This Row],[Дата рождения]]</f>
        <v>0</v>
      </c>
    </row>
    <row r="2429" spans="22:23" ht="24.95" customHeight="1" x14ac:dyDescent="0.25">
      <c r="V2429" s="2">
        <f>Таблица1[[#This Row],[Дата перевода]]-Таблица1[[#This Row],[Дата поступления]]</f>
        <v>0</v>
      </c>
      <c r="W2429" s="2">
        <f>Таблица1[[#This Row],[Дата поступления]]-Таблица1[[#This Row],[Дата рождения]]</f>
        <v>0</v>
      </c>
    </row>
    <row r="2430" spans="22:23" ht="24.95" customHeight="1" x14ac:dyDescent="0.25">
      <c r="V2430" s="2">
        <f>Таблица1[[#This Row],[Дата перевода]]-Таблица1[[#This Row],[Дата поступления]]</f>
        <v>0</v>
      </c>
      <c r="W2430" s="2">
        <f>Таблица1[[#This Row],[Дата поступления]]-Таблица1[[#This Row],[Дата рождения]]</f>
        <v>0</v>
      </c>
    </row>
    <row r="2431" spans="22:23" ht="24.95" customHeight="1" x14ac:dyDescent="0.25">
      <c r="V2431" s="2">
        <f>Таблица1[[#This Row],[Дата перевода]]-Таблица1[[#This Row],[Дата поступления]]</f>
        <v>0</v>
      </c>
      <c r="W2431" s="2">
        <f>Таблица1[[#This Row],[Дата поступления]]-Таблица1[[#This Row],[Дата рождения]]</f>
        <v>0</v>
      </c>
    </row>
    <row r="2432" spans="22:23" ht="24.95" customHeight="1" x14ac:dyDescent="0.25">
      <c r="V2432" s="2">
        <f>Таблица1[[#This Row],[Дата перевода]]-Таблица1[[#This Row],[Дата поступления]]</f>
        <v>0</v>
      </c>
      <c r="W2432" s="2">
        <f>Таблица1[[#This Row],[Дата поступления]]-Таблица1[[#This Row],[Дата рождения]]</f>
        <v>0</v>
      </c>
    </row>
    <row r="2433" spans="22:23" ht="24.95" customHeight="1" x14ac:dyDescent="0.25">
      <c r="V2433" s="2">
        <f>Таблица1[[#This Row],[Дата перевода]]-Таблица1[[#This Row],[Дата поступления]]</f>
        <v>0</v>
      </c>
      <c r="W2433" s="2">
        <f>Таблица1[[#This Row],[Дата поступления]]-Таблица1[[#This Row],[Дата рождения]]</f>
        <v>0</v>
      </c>
    </row>
    <row r="2434" spans="22:23" ht="24.95" customHeight="1" x14ac:dyDescent="0.25">
      <c r="V2434" s="2">
        <f>Таблица1[[#This Row],[Дата перевода]]-Таблица1[[#This Row],[Дата поступления]]</f>
        <v>0</v>
      </c>
      <c r="W2434" s="2">
        <f>Таблица1[[#This Row],[Дата поступления]]-Таблица1[[#This Row],[Дата рождения]]</f>
        <v>0</v>
      </c>
    </row>
    <row r="2435" spans="22:23" ht="24.95" customHeight="1" x14ac:dyDescent="0.25">
      <c r="V2435" s="2">
        <f>Таблица1[[#This Row],[Дата перевода]]-Таблица1[[#This Row],[Дата поступления]]</f>
        <v>0</v>
      </c>
      <c r="W2435" s="2">
        <f>Таблица1[[#This Row],[Дата поступления]]-Таблица1[[#This Row],[Дата рождения]]</f>
        <v>0</v>
      </c>
    </row>
    <row r="2436" spans="22:23" ht="24.95" customHeight="1" x14ac:dyDescent="0.25">
      <c r="V2436" s="2">
        <f>Таблица1[[#This Row],[Дата перевода]]-Таблица1[[#This Row],[Дата поступления]]</f>
        <v>0</v>
      </c>
      <c r="W2436" s="2">
        <f>Таблица1[[#This Row],[Дата поступления]]-Таблица1[[#This Row],[Дата рождения]]</f>
        <v>0</v>
      </c>
    </row>
    <row r="2437" spans="22:23" ht="24.95" customHeight="1" x14ac:dyDescent="0.25">
      <c r="V2437" s="2">
        <f>Таблица1[[#This Row],[Дата перевода]]-Таблица1[[#This Row],[Дата поступления]]</f>
        <v>0</v>
      </c>
      <c r="W2437" s="2">
        <f>Таблица1[[#This Row],[Дата поступления]]-Таблица1[[#This Row],[Дата рождения]]</f>
        <v>0</v>
      </c>
    </row>
    <row r="2438" spans="22:23" ht="24.95" customHeight="1" x14ac:dyDescent="0.25">
      <c r="V2438" s="2">
        <f>Таблица1[[#This Row],[Дата перевода]]-Таблица1[[#This Row],[Дата поступления]]</f>
        <v>0</v>
      </c>
      <c r="W2438" s="2">
        <f>Таблица1[[#This Row],[Дата поступления]]-Таблица1[[#This Row],[Дата рождения]]</f>
        <v>0</v>
      </c>
    </row>
    <row r="2439" spans="22:23" ht="24.95" customHeight="1" x14ac:dyDescent="0.25">
      <c r="V2439" s="2">
        <f>Таблица1[[#This Row],[Дата перевода]]-Таблица1[[#This Row],[Дата поступления]]</f>
        <v>0</v>
      </c>
      <c r="W2439" s="2">
        <f>Таблица1[[#This Row],[Дата поступления]]-Таблица1[[#This Row],[Дата рождения]]</f>
        <v>0</v>
      </c>
    </row>
    <row r="2440" spans="22:23" ht="24.95" customHeight="1" x14ac:dyDescent="0.25">
      <c r="V2440" s="2">
        <f>Таблица1[[#This Row],[Дата перевода]]-Таблица1[[#This Row],[Дата поступления]]</f>
        <v>0</v>
      </c>
      <c r="W2440" s="2">
        <f>Таблица1[[#This Row],[Дата поступления]]-Таблица1[[#This Row],[Дата рождения]]</f>
        <v>0</v>
      </c>
    </row>
    <row r="2441" spans="22:23" ht="24.95" customHeight="1" x14ac:dyDescent="0.25">
      <c r="V2441" s="2">
        <f>Таблица1[[#This Row],[Дата перевода]]-Таблица1[[#This Row],[Дата поступления]]</f>
        <v>0</v>
      </c>
      <c r="W2441" s="2">
        <f>Таблица1[[#This Row],[Дата поступления]]-Таблица1[[#This Row],[Дата рождения]]</f>
        <v>0</v>
      </c>
    </row>
    <row r="2442" spans="22:23" ht="24.95" customHeight="1" x14ac:dyDescent="0.25">
      <c r="V2442" s="2">
        <f>Таблица1[[#This Row],[Дата перевода]]-Таблица1[[#This Row],[Дата поступления]]</f>
        <v>0</v>
      </c>
      <c r="W2442" s="2">
        <f>Таблица1[[#This Row],[Дата поступления]]-Таблица1[[#This Row],[Дата рождения]]</f>
        <v>0</v>
      </c>
    </row>
    <row r="2443" spans="22:23" ht="24.95" customHeight="1" x14ac:dyDescent="0.25">
      <c r="V2443" s="2">
        <f>Таблица1[[#This Row],[Дата перевода]]-Таблица1[[#This Row],[Дата поступления]]</f>
        <v>0</v>
      </c>
      <c r="W2443" s="2">
        <f>Таблица1[[#This Row],[Дата поступления]]-Таблица1[[#This Row],[Дата рождения]]</f>
        <v>0</v>
      </c>
    </row>
    <row r="2444" spans="22:23" ht="24.95" customHeight="1" x14ac:dyDescent="0.25">
      <c r="V2444" s="2">
        <f>Таблица1[[#This Row],[Дата перевода]]-Таблица1[[#This Row],[Дата поступления]]</f>
        <v>0</v>
      </c>
      <c r="W2444" s="2">
        <f>Таблица1[[#This Row],[Дата поступления]]-Таблица1[[#This Row],[Дата рождения]]</f>
        <v>0</v>
      </c>
    </row>
    <row r="2445" spans="22:23" ht="24.95" customHeight="1" x14ac:dyDescent="0.25">
      <c r="V2445" s="2">
        <f>Таблица1[[#This Row],[Дата перевода]]-Таблица1[[#This Row],[Дата поступления]]</f>
        <v>0</v>
      </c>
      <c r="W2445" s="2">
        <f>Таблица1[[#This Row],[Дата поступления]]-Таблица1[[#This Row],[Дата рождения]]</f>
        <v>0</v>
      </c>
    </row>
    <row r="2446" spans="22:23" ht="24.95" customHeight="1" x14ac:dyDescent="0.25">
      <c r="V2446" s="2">
        <f>Таблица1[[#This Row],[Дата перевода]]-Таблица1[[#This Row],[Дата поступления]]</f>
        <v>0</v>
      </c>
      <c r="W2446" s="2">
        <f>Таблица1[[#This Row],[Дата поступления]]-Таблица1[[#This Row],[Дата рождения]]</f>
        <v>0</v>
      </c>
    </row>
    <row r="2447" spans="22:23" ht="24.95" customHeight="1" x14ac:dyDescent="0.25">
      <c r="V2447" s="2">
        <f>Таблица1[[#This Row],[Дата перевода]]-Таблица1[[#This Row],[Дата поступления]]</f>
        <v>0</v>
      </c>
      <c r="W2447" s="2">
        <f>Таблица1[[#This Row],[Дата поступления]]-Таблица1[[#This Row],[Дата рождения]]</f>
        <v>0</v>
      </c>
    </row>
    <row r="2448" spans="22:23" ht="24.95" customHeight="1" x14ac:dyDescent="0.25">
      <c r="V2448" s="2">
        <f>Таблица1[[#This Row],[Дата перевода]]-Таблица1[[#This Row],[Дата поступления]]</f>
        <v>0</v>
      </c>
      <c r="W2448" s="2">
        <f>Таблица1[[#This Row],[Дата поступления]]-Таблица1[[#This Row],[Дата рождения]]</f>
        <v>0</v>
      </c>
    </row>
    <row r="2449" spans="22:23" ht="24.95" customHeight="1" x14ac:dyDescent="0.25">
      <c r="V2449" s="2">
        <f>Таблица1[[#This Row],[Дата перевода]]-Таблица1[[#This Row],[Дата поступления]]</f>
        <v>0</v>
      </c>
      <c r="W2449" s="2">
        <f>Таблица1[[#This Row],[Дата поступления]]-Таблица1[[#This Row],[Дата рождения]]</f>
        <v>0</v>
      </c>
    </row>
    <row r="2450" spans="22:23" ht="24.95" customHeight="1" x14ac:dyDescent="0.25">
      <c r="V2450" s="2">
        <f>Таблица1[[#This Row],[Дата перевода]]-Таблица1[[#This Row],[Дата поступления]]</f>
        <v>0</v>
      </c>
      <c r="W2450" s="2">
        <f>Таблица1[[#This Row],[Дата поступления]]-Таблица1[[#This Row],[Дата рождения]]</f>
        <v>0</v>
      </c>
    </row>
    <row r="2451" spans="22:23" ht="24.95" customHeight="1" x14ac:dyDescent="0.25">
      <c r="V2451" s="2">
        <f>Таблица1[[#This Row],[Дата перевода]]-Таблица1[[#This Row],[Дата поступления]]</f>
        <v>0</v>
      </c>
      <c r="W2451" s="2">
        <f>Таблица1[[#This Row],[Дата поступления]]-Таблица1[[#This Row],[Дата рождения]]</f>
        <v>0</v>
      </c>
    </row>
    <row r="2452" spans="22:23" ht="24.95" customHeight="1" x14ac:dyDescent="0.25">
      <c r="V2452" s="2">
        <f>Таблица1[[#This Row],[Дата перевода]]-Таблица1[[#This Row],[Дата поступления]]</f>
        <v>0</v>
      </c>
      <c r="W2452" s="2">
        <f>Таблица1[[#This Row],[Дата поступления]]-Таблица1[[#This Row],[Дата рождения]]</f>
        <v>0</v>
      </c>
    </row>
    <row r="2453" spans="22:23" ht="24.95" customHeight="1" x14ac:dyDescent="0.25">
      <c r="V2453" s="2">
        <f>Таблица1[[#This Row],[Дата перевода]]-Таблица1[[#This Row],[Дата поступления]]</f>
        <v>0</v>
      </c>
      <c r="W2453" s="2">
        <f>Таблица1[[#This Row],[Дата поступления]]-Таблица1[[#This Row],[Дата рождения]]</f>
        <v>0</v>
      </c>
    </row>
    <row r="2454" spans="22:23" ht="24.95" customHeight="1" x14ac:dyDescent="0.25">
      <c r="V2454" s="2">
        <f>Таблица1[[#This Row],[Дата перевода]]-Таблица1[[#This Row],[Дата поступления]]</f>
        <v>0</v>
      </c>
      <c r="W2454" s="2">
        <f>Таблица1[[#This Row],[Дата поступления]]-Таблица1[[#This Row],[Дата рождения]]</f>
        <v>0</v>
      </c>
    </row>
    <row r="2455" spans="22:23" ht="24.95" customHeight="1" x14ac:dyDescent="0.25">
      <c r="V2455" s="2">
        <f>Таблица1[[#This Row],[Дата перевода]]-Таблица1[[#This Row],[Дата поступления]]</f>
        <v>0</v>
      </c>
      <c r="W2455" s="2">
        <f>Таблица1[[#This Row],[Дата поступления]]-Таблица1[[#This Row],[Дата рождения]]</f>
        <v>0</v>
      </c>
    </row>
    <row r="2456" spans="22:23" ht="24.95" customHeight="1" x14ac:dyDescent="0.25">
      <c r="V2456" s="2">
        <f>Таблица1[[#This Row],[Дата перевода]]-Таблица1[[#This Row],[Дата поступления]]</f>
        <v>0</v>
      </c>
      <c r="W2456" s="2">
        <f>Таблица1[[#This Row],[Дата поступления]]-Таблица1[[#This Row],[Дата рождения]]</f>
        <v>0</v>
      </c>
    </row>
    <row r="2457" spans="22:23" ht="24.95" customHeight="1" x14ac:dyDescent="0.25">
      <c r="V2457" s="2">
        <f>Таблица1[[#This Row],[Дата перевода]]-Таблица1[[#This Row],[Дата поступления]]</f>
        <v>0</v>
      </c>
      <c r="W2457" s="2">
        <f>Таблица1[[#This Row],[Дата поступления]]-Таблица1[[#This Row],[Дата рождения]]</f>
        <v>0</v>
      </c>
    </row>
    <row r="2458" spans="22:23" ht="24.95" customHeight="1" x14ac:dyDescent="0.25">
      <c r="V2458" s="2">
        <f>Таблица1[[#This Row],[Дата перевода]]-Таблица1[[#This Row],[Дата поступления]]</f>
        <v>0</v>
      </c>
      <c r="W2458" s="2">
        <f>Таблица1[[#This Row],[Дата поступления]]-Таблица1[[#This Row],[Дата рождения]]</f>
        <v>0</v>
      </c>
    </row>
    <row r="2459" spans="22:23" ht="24.95" customHeight="1" x14ac:dyDescent="0.25">
      <c r="V2459" s="2">
        <f>Таблица1[[#This Row],[Дата перевода]]-Таблица1[[#This Row],[Дата поступления]]</f>
        <v>0</v>
      </c>
      <c r="W2459" s="2">
        <f>Таблица1[[#This Row],[Дата поступления]]-Таблица1[[#This Row],[Дата рождения]]</f>
        <v>0</v>
      </c>
    </row>
    <row r="2460" spans="22:23" ht="24.95" customHeight="1" x14ac:dyDescent="0.25">
      <c r="V2460" s="2">
        <f>Таблица1[[#This Row],[Дата перевода]]-Таблица1[[#This Row],[Дата поступления]]</f>
        <v>0</v>
      </c>
      <c r="W2460" s="2">
        <f>Таблица1[[#This Row],[Дата поступления]]-Таблица1[[#This Row],[Дата рождения]]</f>
        <v>0</v>
      </c>
    </row>
    <row r="2461" spans="22:23" ht="24.95" customHeight="1" x14ac:dyDescent="0.25">
      <c r="V2461" s="2">
        <f>Таблица1[[#This Row],[Дата перевода]]-Таблица1[[#This Row],[Дата поступления]]</f>
        <v>0</v>
      </c>
      <c r="W2461" s="2">
        <f>Таблица1[[#This Row],[Дата поступления]]-Таблица1[[#This Row],[Дата рождения]]</f>
        <v>0</v>
      </c>
    </row>
    <row r="2462" spans="22:23" ht="24.95" customHeight="1" x14ac:dyDescent="0.25">
      <c r="V2462" s="2">
        <f>Таблица1[[#This Row],[Дата перевода]]-Таблица1[[#This Row],[Дата поступления]]</f>
        <v>0</v>
      </c>
      <c r="W2462" s="2">
        <f>Таблица1[[#This Row],[Дата поступления]]-Таблица1[[#This Row],[Дата рождения]]</f>
        <v>0</v>
      </c>
    </row>
    <row r="2463" spans="22:23" ht="24.95" customHeight="1" x14ac:dyDescent="0.25">
      <c r="V2463" s="2">
        <f>Таблица1[[#This Row],[Дата перевода]]-Таблица1[[#This Row],[Дата поступления]]</f>
        <v>0</v>
      </c>
      <c r="W2463" s="2">
        <f>Таблица1[[#This Row],[Дата поступления]]-Таблица1[[#This Row],[Дата рождения]]</f>
        <v>0</v>
      </c>
    </row>
    <row r="2464" spans="22:23" ht="24.95" customHeight="1" x14ac:dyDescent="0.25">
      <c r="V2464" s="2">
        <f>Таблица1[[#This Row],[Дата перевода]]-Таблица1[[#This Row],[Дата поступления]]</f>
        <v>0</v>
      </c>
      <c r="W2464" s="2">
        <f>Таблица1[[#This Row],[Дата поступления]]-Таблица1[[#This Row],[Дата рождения]]</f>
        <v>0</v>
      </c>
    </row>
    <row r="2465" spans="22:23" ht="24.95" customHeight="1" x14ac:dyDescent="0.25">
      <c r="V2465" s="2">
        <f>Таблица1[[#This Row],[Дата перевода]]-Таблица1[[#This Row],[Дата поступления]]</f>
        <v>0</v>
      </c>
      <c r="W2465" s="2">
        <f>Таблица1[[#This Row],[Дата поступления]]-Таблица1[[#This Row],[Дата рождения]]</f>
        <v>0</v>
      </c>
    </row>
    <row r="2466" spans="22:23" ht="24.95" customHeight="1" x14ac:dyDescent="0.25">
      <c r="V2466" s="2">
        <f>Таблица1[[#This Row],[Дата перевода]]-Таблица1[[#This Row],[Дата поступления]]</f>
        <v>0</v>
      </c>
      <c r="W2466" s="2">
        <f>Таблица1[[#This Row],[Дата поступления]]-Таблица1[[#This Row],[Дата рождения]]</f>
        <v>0</v>
      </c>
    </row>
    <row r="2467" spans="22:23" ht="24.95" customHeight="1" x14ac:dyDescent="0.25">
      <c r="V2467" s="2">
        <f>Таблица1[[#This Row],[Дата перевода]]-Таблица1[[#This Row],[Дата поступления]]</f>
        <v>0</v>
      </c>
      <c r="W2467" s="2">
        <f>Таблица1[[#This Row],[Дата поступления]]-Таблица1[[#This Row],[Дата рождения]]</f>
        <v>0</v>
      </c>
    </row>
    <row r="2468" spans="22:23" ht="24.95" customHeight="1" x14ac:dyDescent="0.25">
      <c r="V2468" s="2">
        <f>Таблица1[[#This Row],[Дата перевода]]-Таблица1[[#This Row],[Дата поступления]]</f>
        <v>0</v>
      </c>
      <c r="W2468" s="2">
        <f>Таблица1[[#This Row],[Дата поступления]]-Таблица1[[#This Row],[Дата рождения]]</f>
        <v>0</v>
      </c>
    </row>
    <row r="2469" spans="22:23" ht="24.95" customHeight="1" x14ac:dyDescent="0.25">
      <c r="V2469" s="2">
        <f>Таблица1[[#This Row],[Дата перевода]]-Таблица1[[#This Row],[Дата поступления]]</f>
        <v>0</v>
      </c>
      <c r="W2469" s="2">
        <f>Таблица1[[#This Row],[Дата поступления]]-Таблица1[[#This Row],[Дата рождения]]</f>
        <v>0</v>
      </c>
    </row>
    <row r="2470" spans="22:23" ht="24.95" customHeight="1" x14ac:dyDescent="0.25">
      <c r="V2470" s="2">
        <f>Таблица1[[#This Row],[Дата перевода]]-Таблица1[[#This Row],[Дата поступления]]</f>
        <v>0</v>
      </c>
      <c r="W2470" s="2">
        <f>Таблица1[[#This Row],[Дата поступления]]-Таблица1[[#This Row],[Дата рождения]]</f>
        <v>0</v>
      </c>
    </row>
    <row r="2471" spans="22:23" ht="24.95" customHeight="1" x14ac:dyDescent="0.25">
      <c r="V2471" s="2">
        <f>Таблица1[[#This Row],[Дата перевода]]-Таблица1[[#This Row],[Дата поступления]]</f>
        <v>0</v>
      </c>
      <c r="W2471" s="2">
        <f>Таблица1[[#This Row],[Дата поступления]]-Таблица1[[#This Row],[Дата рождения]]</f>
        <v>0</v>
      </c>
    </row>
    <row r="2472" spans="22:23" ht="24.95" customHeight="1" x14ac:dyDescent="0.25">
      <c r="V2472" s="2">
        <f>Таблица1[[#This Row],[Дата перевода]]-Таблица1[[#This Row],[Дата поступления]]</f>
        <v>0</v>
      </c>
      <c r="W2472" s="2">
        <f>Таблица1[[#This Row],[Дата поступления]]-Таблица1[[#This Row],[Дата рождения]]</f>
        <v>0</v>
      </c>
    </row>
    <row r="2473" spans="22:23" ht="24.95" customHeight="1" x14ac:dyDescent="0.25">
      <c r="V2473" s="2">
        <f>Таблица1[[#This Row],[Дата перевода]]-Таблица1[[#This Row],[Дата поступления]]</f>
        <v>0</v>
      </c>
      <c r="W2473" s="2">
        <f>Таблица1[[#This Row],[Дата поступления]]-Таблица1[[#This Row],[Дата рождения]]</f>
        <v>0</v>
      </c>
    </row>
    <row r="2474" spans="22:23" ht="24.95" customHeight="1" x14ac:dyDescent="0.25">
      <c r="V2474" s="2">
        <f>Таблица1[[#This Row],[Дата перевода]]-Таблица1[[#This Row],[Дата поступления]]</f>
        <v>0</v>
      </c>
      <c r="W2474" s="2">
        <f>Таблица1[[#This Row],[Дата поступления]]-Таблица1[[#This Row],[Дата рождения]]</f>
        <v>0</v>
      </c>
    </row>
    <row r="2475" spans="22:23" ht="24.95" customHeight="1" x14ac:dyDescent="0.25">
      <c r="V2475" s="2">
        <f>Таблица1[[#This Row],[Дата перевода]]-Таблица1[[#This Row],[Дата поступления]]</f>
        <v>0</v>
      </c>
      <c r="W2475" s="2">
        <f>Таблица1[[#This Row],[Дата поступления]]-Таблица1[[#This Row],[Дата рождения]]</f>
        <v>0</v>
      </c>
    </row>
    <row r="2476" spans="22:23" ht="24.95" customHeight="1" x14ac:dyDescent="0.25">
      <c r="V2476" s="2">
        <f>Таблица1[[#This Row],[Дата перевода]]-Таблица1[[#This Row],[Дата поступления]]</f>
        <v>0</v>
      </c>
      <c r="W2476" s="2">
        <f>Таблица1[[#This Row],[Дата поступления]]-Таблица1[[#This Row],[Дата рождения]]</f>
        <v>0</v>
      </c>
    </row>
    <row r="2477" spans="22:23" ht="24.95" customHeight="1" x14ac:dyDescent="0.25">
      <c r="V2477" s="2">
        <f>Таблица1[[#This Row],[Дата перевода]]-Таблица1[[#This Row],[Дата поступления]]</f>
        <v>0</v>
      </c>
      <c r="W2477" s="2">
        <f>Таблица1[[#This Row],[Дата поступления]]-Таблица1[[#This Row],[Дата рождения]]</f>
        <v>0</v>
      </c>
    </row>
    <row r="2478" spans="22:23" ht="24.95" customHeight="1" x14ac:dyDescent="0.25">
      <c r="V2478" s="2">
        <f>Таблица1[[#This Row],[Дата перевода]]-Таблица1[[#This Row],[Дата поступления]]</f>
        <v>0</v>
      </c>
      <c r="W2478" s="2">
        <f>Таблица1[[#This Row],[Дата поступления]]-Таблица1[[#This Row],[Дата рождения]]</f>
        <v>0</v>
      </c>
    </row>
    <row r="2479" spans="22:23" ht="24.95" customHeight="1" x14ac:dyDescent="0.25">
      <c r="V2479" s="2">
        <f>Таблица1[[#This Row],[Дата перевода]]-Таблица1[[#This Row],[Дата поступления]]</f>
        <v>0</v>
      </c>
      <c r="W2479" s="2">
        <f>Таблица1[[#This Row],[Дата поступления]]-Таблица1[[#This Row],[Дата рождения]]</f>
        <v>0</v>
      </c>
    </row>
    <row r="2480" spans="22:23" ht="24.95" customHeight="1" x14ac:dyDescent="0.25">
      <c r="V2480" s="2">
        <f>Таблица1[[#This Row],[Дата перевода]]-Таблица1[[#This Row],[Дата поступления]]</f>
        <v>0</v>
      </c>
      <c r="W2480" s="2">
        <f>Таблица1[[#This Row],[Дата поступления]]-Таблица1[[#This Row],[Дата рождения]]</f>
        <v>0</v>
      </c>
    </row>
    <row r="2481" spans="22:23" ht="24.95" customHeight="1" x14ac:dyDescent="0.25">
      <c r="V2481" s="2">
        <f>Таблица1[[#This Row],[Дата перевода]]-Таблица1[[#This Row],[Дата поступления]]</f>
        <v>0</v>
      </c>
      <c r="W2481" s="2">
        <f>Таблица1[[#This Row],[Дата поступления]]-Таблица1[[#This Row],[Дата рождения]]</f>
        <v>0</v>
      </c>
    </row>
    <row r="2482" spans="22:23" ht="24.95" customHeight="1" x14ac:dyDescent="0.25">
      <c r="V2482" s="2">
        <f>Таблица1[[#This Row],[Дата перевода]]-Таблица1[[#This Row],[Дата поступления]]</f>
        <v>0</v>
      </c>
      <c r="W2482" s="2">
        <f>Таблица1[[#This Row],[Дата поступления]]-Таблица1[[#This Row],[Дата рождения]]</f>
        <v>0</v>
      </c>
    </row>
    <row r="2483" spans="22:23" ht="24.95" customHeight="1" x14ac:dyDescent="0.25">
      <c r="V2483" s="2">
        <f>Таблица1[[#This Row],[Дата перевода]]-Таблица1[[#This Row],[Дата поступления]]</f>
        <v>0</v>
      </c>
      <c r="W2483" s="2">
        <f>Таблица1[[#This Row],[Дата поступления]]-Таблица1[[#This Row],[Дата рождения]]</f>
        <v>0</v>
      </c>
    </row>
    <row r="2484" spans="22:23" ht="24.95" customHeight="1" x14ac:dyDescent="0.25">
      <c r="V2484" s="2">
        <f>Таблица1[[#This Row],[Дата перевода]]-Таблица1[[#This Row],[Дата поступления]]</f>
        <v>0</v>
      </c>
      <c r="W2484" s="2">
        <f>Таблица1[[#This Row],[Дата поступления]]-Таблица1[[#This Row],[Дата рождения]]</f>
        <v>0</v>
      </c>
    </row>
    <row r="2485" spans="22:23" ht="24.95" customHeight="1" x14ac:dyDescent="0.25">
      <c r="V2485" s="2">
        <f>Таблица1[[#This Row],[Дата перевода]]-Таблица1[[#This Row],[Дата поступления]]</f>
        <v>0</v>
      </c>
      <c r="W2485" s="2">
        <f>Таблица1[[#This Row],[Дата поступления]]-Таблица1[[#This Row],[Дата рождения]]</f>
        <v>0</v>
      </c>
    </row>
    <row r="2486" spans="22:23" ht="24.95" customHeight="1" x14ac:dyDescent="0.25">
      <c r="V2486" s="2">
        <f>Таблица1[[#This Row],[Дата перевода]]-Таблица1[[#This Row],[Дата поступления]]</f>
        <v>0</v>
      </c>
      <c r="W2486" s="2">
        <f>Таблица1[[#This Row],[Дата поступления]]-Таблица1[[#This Row],[Дата рождения]]</f>
        <v>0</v>
      </c>
    </row>
    <row r="2487" spans="22:23" ht="24.95" customHeight="1" x14ac:dyDescent="0.25">
      <c r="V2487" s="2">
        <f>Таблица1[[#This Row],[Дата перевода]]-Таблица1[[#This Row],[Дата поступления]]</f>
        <v>0</v>
      </c>
      <c r="W2487" s="2">
        <f>Таблица1[[#This Row],[Дата поступления]]-Таблица1[[#This Row],[Дата рождения]]</f>
        <v>0</v>
      </c>
    </row>
    <row r="2488" spans="22:23" ht="24.95" customHeight="1" x14ac:dyDescent="0.25">
      <c r="V2488" s="2">
        <f>Таблица1[[#This Row],[Дата перевода]]-Таблица1[[#This Row],[Дата поступления]]</f>
        <v>0</v>
      </c>
      <c r="W2488" s="2">
        <f>Таблица1[[#This Row],[Дата поступления]]-Таблица1[[#This Row],[Дата рождения]]</f>
        <v>0</v>
      </c>
    </row>
    <row r="2489" spans="22:23" ht="24.95" customHeight="1" x14ac:dyDescent="0.25">
      <c r="V2489" s="2">
        <f>Таблица1[[#This Row],[Дата перевода]]-Таблица1[[#This Row],[Дата поступления]]</f>
        <v>0</v>
      </c>
      <c r="W2489" s="2">
        <f>Таблица1[[#This Row],[Дата поступления]]-Таблица1[[#This Row],[Дата рождения]]</f>
        <v>0</v>
      </c>
    </row>
    <row r="2490" spans="22:23" ht="24.95" customHeight="1" x14ac:dyDescent="0.25">
      <c r="V2490" s="2">
        <f>Таблица1[[#This Row],[Дата перевода]]-Таблица1[[#This Row],[Дата поступления]]</f>
        <v>0</v>
      </c>
      <c r="W2490" s="2">
        <f>Таблица1[[#This Row],[Дата поступления]]-Таблица1[[#This Row],[Дата рождения]]</f>
        <v>0</v>
      </c>
    </row>
    <row r="2491" spans="22:23" ht="24.95" customHeight="1" x14ac:dyDescent="0.25">
      <c r="V2491" s="2">
        <f>Таблица1[[#This Row],[Дата перевода]]-Таблица1[[#This Row],[Дата поступления]]</f>
        <v>0</v>
      </c>
      <c r="W2491" s="2">
        <f>Таблица1[[#This Row],[Дата поступления]]-Таблица1[[#This Row],[Дата рождения]]</f>
        <v>0</v>
      </c>
    </row>
    <row r="2492" spans="22:23" ht="24.95" customHeight="1" x14ac:dyDescent="0.25">
      <c r="V2492" s="2">
        <f>Таблица1[[#This Row],[Дата перевода]]-Таблица1[[#This Row],[Дата поступления]]</f>
        <v>0</v>
      </c>
      <c r="W2492" s="2">
        <f>Таблица1[[#This Row],[Дата поступления]]-Таблица1[[#This Row],[Дата рождения]]</f>
        <v>0</v>
      </c>
    </row>
    <row r="2493" spans="22:23" ht="24.95" customHeight="1" x14ac:dyDescent="0.25">
      <c r="V2493" s="2">
        <f>Таблица1[[#This Row],[Дата перевода]]-Таблица1[[#This Row],[Дата поступления]]</f>
        <v>0</v>
      </c>
      <c r="W2493" s="2">
        <f>Таблица1[[#This Row],[Дата поступления]]-Таблица1[[#This Row],[Дата рождения]]</f>
        <v>0</v>
      </c>
    </row>
    <row r="2494" spans="22:23" ht="24.95" customHeight="1" x14ac:dyDescent="0.25">
      <c r="V2494" s="2">
        <f>Таблица1[[#This Row],[Дата перевода]]-Таблица1[[#This Row],[Дата поступления]]</f>
        <v>0</v>
      </c>
      <c r="W2494" s="2">
        <f>Таблица1[[#This Row],[Дата поступления]]-Таблица1[[#This Row],[Дата рождения]]</f>
        <v>0</v>
      </c>
    </row>
    <row r="2495" spans="22:23" ht="24.95" customHeight="1" x14ac:dyDescent="0.25">
      <c r="V2495" s="2">
        <f>Таблица1[[#This Row],[Дата перевода]]-Таблица1[[#This Row],[Дата поступления]]</f>
        <v>0</v>
      </c>
      <c r="W2495" s="2">
        <f>Таблица1[[#This Row],[Дата поступления]]-Таблица1[[#This Row],[Дата рождения]]</f>
        <v>0</v>
      </c>
    </row>
    <row r="2496" spans="22:23" ht="24.95" customHeight="1" x14ac:dyDescent="0.25">
      <c r="V2496" s="2">
        <f>Таблица1[[#This Row],[Дата перевода]]-Таблица1[[#This Row],[Дата поступления]]</f>
        <v>0</v>
      </c>
      <c r="W2496" s="2">
        <f>Таблица1[[#This Row],[Дата поступления]]-Таблица1[[#This Row],[Дата рождения]]</f>
        <v>0</v>
      </c>
    </row>
    <row r="2497" spans="22:23" ht="24.95" customHeight="1" x14ac:dyDescent="0.25">
      <c r="V2497" s="2">
        <f>Таблица1[[#This Row],[Дата перевода]]-Таблица1[[#This Row],[Дата поступления]]</f>
        <v>0</v>
      </c>
      <c r="W2497" s="2">
        <f>Таблица1[[#This Row],[Дата поступления]]-Таблица1[[#This Row],[Дата рождения]]</f>
        <v>0</v>
      </c>
    </row>
    <row r="2498" spans="22:23" ht="24.95" customHeight="1" x14ac:dyDescent="0.25">
      <c r="V2498" s="2">
        <f>Таблица1[[#This Row],[Дата перевода]]-Таблица1[[#This Row],[Дата поступления]]</f>
        <v>0</v>
      </c>
      <c r="W2498" s="2">
        <f>Таблица1[[#This Row],[Дата поступления]]-Таблица1[[#This Row],[Дата рождения]]</f>
        <v>0</v>
      </c>
    </row>
    <row r="2499" spans="22:23" ht="24.95" customHeight="1" x14ac:dyDescent="0.25">
      <c r="V2499" s="2">
        <f>Таблица1[[#This Row],[Дата перевода]]-Таблица1[[#This Row],[Дата поступления]]</f>
        <v>0</v>
      </c>
      <c r="W2499" s="2">
        <f>Таблица1[[#This Row],[Дата поступления]]-Таблица1[[#This Row],[Дата рождения]]</f>
        <v>0</v>
      </c>
    </row>
    <row r="2500" spans="22:23" ht="24.95" customHeight="1" x14ac:dyDescent="0.25">
      <c r="V2500" s="2">
        <f>Таблица1[[#This Row],[Дата перевода]]-Таблица1[[#This Row],[Дата поступления]]</f>
        <v>0</v>
      </c>
      <c r="W2500" s="2">
        <f>Таблица1[[#This Row],[Дата поступления]]-Таблица1[[#This Row],[Дата рождения]]</f>
        <v>0</v>
      </c>
    </row>
    <row r="2501" spans="22:23" ht="24.95" customHeight="1" x14ac:dyDescent="0.25">
      <c r="V2501" s="2">
        <f>Таблица1[[#This Row],[Дата перевода]]-Таблица1[[#This Row],[Дата поступления]]</f>
        <v>0</v>
      </c>
      <c r="W2501" s="2">
        <f>Таблица1[[#This Row],[Дата поступления]]-Таблица1[[#This Row],[Дата рождения]]</f>
        <v>0</v>
      </c>
    </row>
    <row r="2502" spans="22:23" ht="24.95" customHeight="1" x14ac:dyDescent="0.25">
      <c r="V2502" s="2">
        <f>Таблица1[[#This Row],[Дата перевода]]-Таблица1[[#This Row],[Дата поступления]]</f>
        <v>0</v>
      </c>
      <c r="W2502" s="2">
        <f>Таблица1[[#This Row],[Дата поступления]]-Таблица1[[#This Row],[Дата рождения]]</f>
        <v>0</v>
      </c>
    </row>
    <row r="2503" spans="22:23" ht="24.95" customHeight="1" x14ac:dyDescent="0.25">
      <c r="V2503" s="2">
        <f>Таблица1[[#This Row],[Дата перевода]]-Таблица1[[#This Row],[Дата поступления]]</f>
        <v>0</v>
      </c>
      <c r="W2503" s="2">
        <f>Таблица1[[#This Row],[Дата поступления]]-Таблица1[[#This Row],[Дата рождения]]</f>
        <v>0</v>
      </c>
    </row>
    <row r="2504" spans="22:23" ht="24.95" customHeight="1" x14ac:dyDescent="0.25">
      <c r="V2504" s="2">
        <f>Таблица1[[#This Row],[Дата перевода]]-Таблица1[[#This Row],[Дата поступления]]</f>
        <v>0</v>
      </c>
      <c r="W2504" s="2">
        <f>Таблица1[[#This Row],[Дата поступления]]-Таблица1[[#This Row],[Дата рождения]]</f>
        <v>0</v>
      </c>
    </row>
    <row r="2505" spans="22:23" ht="24.95" customHeight="1" x14ac:dyDescent="0.25">
      <c r="V2505" s="2">
        <f>Таблица1[[#This Row],[Дата перевода]]-Таблица1[[#This Row],[Дата поступления]]</f>
        <v>0</v>
      </c>
      <c r="W2505" s="2">
        <f>Таблица1[[#This Row],[Дата поступления]]-Таблица1[[#This Row],[Дата рождения]]</f>
        <v>0</v>
      </c>
    </row>
    <row r="2506" spans="22:23" ht="24.95" customHeight="1" x14ac:dyDescent="0.25">
      <c r="V2506" s="2">
        <f>Таблица1[[#This Row],[Дата перевода]]-Таблица1[[#This Row],[Дата поступления]]</f>
        <v>0</v>
      </c>
      <c r="W2506" s="2">
        <f>Таблица1[[#This Row],[Дата поступления]]-Таблица1[[#This Row],[Дата рождения]]</f>
        <v>0</v>
      </c>
    </row>
    <row r="2507" spans="22:23" ht="24.95" customHeight="1" x14ac:dyDescent="0.25">
      <c r="V2507" s="2">
        <f>Таблица1[[#This Row],[Дата перевода]]-Таблица1[[#This Row],[Дата поступления]]</f>
        <v>0</v>
      </c>
      <c r="W2507" s="2">
        <f>Таблица1[[#This Row],[Дата поступления]]-Таблица1[[#This Row],[Дата рождения]]</f>
        <v>0</v>
      </c>
    </row>
    <row r="2508" spans="22:23" ht="24.95" customHeight="1" x14ac:dyDescent="0.25">
      <c r="V2508" s="2">
        <f>Таблица1[[#This Row],[Дата перевода]]-Таблица1[[#This Row],[Дата поступления]]</f>
        <v>0</v>
      </c>
      <c r="W2508" s="2">
        <f>Таблица1[[#This Row],[Дата поступления]]-Таблица1[[#This Row],[Дата рождения]]</f>
        <v>0</v>
      </c>
    </row>
    <row r="2509" spans="22:23" ht="24.95" customHeight="1" x14ac:dyDescent="0.25">
      <c r="V2509" s="2">
        <f>Таблица1[[#This Row],[Дата перевода]]-Таблица1[[#This Row],[Дата поступления]]</f>
        <v>0</v>
      </c>
      <c r="W2509" s="2">
        <f>Таблица1[[#This Row],[Дата поступления]]-Таблица1[[#This Row],[Дата рождения]]</f>
        <v>0</v>
      </c>
    </row>
    <row r="2510" spans="22:23" ht="24.95" customHeight="1" x14ac:dyDescent="0.25">
      <c r="V2510" s="2">
        <f>Таблица1[[#This Row],[Дата перевода]]-Таблица1[[#This Row],[Дата поступления]]</f>
        <v>0</v>
      </c>
      <c r="W2510" s="2">
        <f>Таблица1[[#This Row],[Дата поступления]]-Таблица1[[#This Row],[Дата рождения]]</f>
        <v>0</v>
      </c>
    </row>
    <row r="2511" spans="22:23" ht="24.95" customHeight="1" x14ac:dyDescent="0.25">
      <c r="V2511" s="2">
        <f>Таблица1[[#This Row],[Дата перевода]]-Таблица1[[#This Row],[Дата поступления]]</f>
        <v>0</v>
      </c>
      <c r="W2511" s="2">
        <f>Таблица1[[#This Row],[Дата поступления]]-Таблица1[[#This Row],[Дата рождения]]</f>
        <v>0</v>
      </c>
    </row>
    <row r="2512" spans="22:23" ht="24.95" customHeight="1" x14ac:dyDescent="0.25">
      <c r="V2512" s="2"/>
      <c r="W2512" s="2"/>
    </row>
    <row r="2513" spans="22:23" ht="24.95" customHeight="1" x14ac:dyDescent="0.25">
      <c r="V2513" s="2"/>
      <c r="W2513" s="2"/>
    </row>
    <row r="2514" spans="22:23" ht="24.95" customHeight="1" x14ac:dyDescent="0.25">
      <c r="V2514" s="2"/>
      <c r="W2514" s="2"/>
    </row>
  </sheetData>
  <pageMargins left="0.7" right="0.7" top="0.75" bottom="0.75" header="0.3" footer="0.3"/>
  <pageSetup paperSize="9" orientation="portrait" verticalDpi="0" r:id="rId1"/>
  <ignoredErrors>
    <ignoredError sqref="F2:F8 H2:H12 L6:L7 D2:D8 D9 B2:B6 F9 H13 L2:L5 L8 N2:N8 P3:P4 N9 P2 J2:J8" calculatedColumn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workbookViewId="0">
      <selection activeCell="B4" sqref="B4"/>
    </sheetView>
  </sheetViews>
  <sheetFormatPr defaultRowHeight="15" x14ac:dyDescent="0.25"/>
  <cols>
    <col min="1" max="1" width="51" customWidth="1"/>
  </cols>
  <sheetData>
    <row r="1" spans="1:13" x14ac:dyDescent="0.25">
      <c r="A1" s="1" t="s">
        <v>39</v>
      </c>
      <c r="B1" s="1" t="s">
        <v>14</v>
      </c>
      <c r="C1" s="1"/>
      <c r="D1" s="1"/>
      <c r="E1" s="1"/>
      <c r="I1" s="1"/>
      <c r="J1" s="1"/>
      <c r="K1" s="1"/>
      <c r="L1" s="1"/>
      <c r="M1" s="1"/>
    </row>
    <row r="2" spans="1:13" x14ac:dyDescent="0.25">
      <c r="A2" s="1" t="s">
        <v>40</v>
      </c>
      <c r="B2">
        <f>COUNTIF(Лист1!M:M,"=Инфекционные и паразитарные болезни")</f>
        <v>9</v>
      </c>
    </row>
    <row r="3" spans="1:13" x14ac:dyDescent="0.25">
      <c r="A3" s="1" t="s">
        <v>41</v>
      </c>
      <c r="B3">
        <f>COUNTIF(Лист1!M:M,"=Новообразования")</f>
        <v>6</v>
      </c>
    </row>
    <row r="4" spans="1:13" x14ac:dyDescent="0.25">
      <c r="A4" s="1" t="s">
        <v>42</v>
      </c>
      <c r="B4">
        <f>COUNTIF(Лист1!M:M,"=Болезни крови и кроветворных органов")</f>
        <v>9</v>
      </c>
    </row>
    <row r="5" spans="1:13" ht="25.5" x14ac:dyDescent="0.25">
      <c r="A5" s="1" t="s">
        <v>43</v>
      </c>
      <c r="B5">
        <f>COUNTIF(Лист1!M:M,"=Болезни эндокринной системы и нарушения обмена веществ")</f>
        <v>42</v>
      </c>
    </row>
    <row r="6" spans="1:13" x14ac:dyDescent="0.25">
      <c r="A6" s="1" t="s">
        <v>44</v>
      </c>
      <c r="B6">
        <f>COUNTIF(Лист1!M:M,"=Психические расстройства")</f>
        <v>2</v>
      </c>
    </row>
    <row r="7" spans="1:13" x14ac:dyDescent="0.25">
      <c r="A7" s="1" t="s">
        <v>45</v>
      </c>
      <c r="B7">
        <f>COUNTIF(Лист1!M:M,"=Ретинопатии")</f>
        <v>2</v>
      </c>
    </row>
    <row r="8" spans="1:13" x14ac:dyDescent="0.25">
      <c r="A8" s="1" t="s">
        <v>46</v>
      </c>
      <c r="B8">
        <f>COUNTIF(Лист1!M:M,"=Болезни нервной системы и органов чувств")</f>
        <v>71</v>
      </c>
    </row>
    <row r="9" spans="1:13" x14ac:dyDescent="0.25">
      <c r="A9" s="1" t="s">
        <v>47</v>
      </c>
      <c r="B9">
        <f>COUNTIF(Лист1!M:M,"=Болезни системы кровообращения")</f>
        <v>8</v>
      </c>
    </row>
    <row r="10" spans="1:13" x14ac:dyDescent="0.25">
      <c r="A10" s="1" t="s">
        <v>48</v>
      </c>
      <c r="B10">
        <f>COUNTIF(Лист1!M:M,"=Болезни органов дыхания")</f>
        <v>63</v>
      </c>
    </row>
    <row r="11" spans="1:13" x14ac:dyDescent="0.25">
      <c r="A11" s="1" t="s">
        <v>49</v>
      </c>
      <c r="B11">
        <f>COUNTIF(Лист1!M:M,"=Болезни органов пищеварения")</f>
        <v>81</v>
      </c>
    </row>
    <row r="12" spans="1:13" x14ac:dyDescent="0.25">
      <c r="A12" s="1" t="s">
        <v>50</v>
      </c>
      <c r="B12">
        <f>COUNTIF(Лист1!M:M,"=Болезни мочеполовой системы")</f>
        <v>10</v>
      </c>
    </row>
    <row r="13" spans="1:13" x14ac:dyDescent="0.25">
      <c r="A13" s="1" t="s">
        <v>51</v>
      </c>
      <c r="B13">
        <f>COUNTIF(Лист1!M:M,"=Болезни костно-мышечного аппарата")</f>
        <v>27</v>
      </c>
    </row>
    <row r="14" spans="1:13" x14ac:dyDescent="0.25">
      <c r="A14" s="1" t="s">
        <v>52</v>
      </c>
      <c r="B14">
        <f>COUNTIF(Лист1!M:M,"=Травма сочетанная и изолированная")</f>
        <v>74</v>
      </c>
    </row>
    <row r="15" spans="1:13" x14ac:dyDescent="0.25">
      <c r="A15" s="1" t="s">
        <v>53</v>
      </c>
      <c r="B15">
        <f>COUNTIF(Лист1!M:M,"=Флегмоны, абсцессы и другие повреждения мягких тканей")</f>
        <v>3</v>
      </c>
    </row>
    <row r="16" spans="1:13" x14ac:dyDescent="0.25">
      <c r="A16" s="1" t="s">
        <v>54</v>
      </c>
      <c r="B16">
        <f>COUNTIF(Лист1!M:M,"=Ожоговая травма")</f>
        <v>34</v>
      </c>
    </row>
    <row r="17" spans="1:2" x14ac:dyDescent="0.25">
      <c r="A17" s="1" t="s">
        <v>55</v>
      </c>
      <c r="B17">
        <f>COUNTIF(Лист1!M:M,"=Отравления")</f>
        <v>68</v>
      </c>
    </row>
    <row r="18" spans="1:2" x14ac:dyDescent="0.25">
      <c r="A18" s="1" t="s">
        <v>56</v>
      </c>
      <c r="B18">
        <f>COUNTIF(Лист1!M:M,"=Пороки и врождённые аномалии развития")</f>
        <v>17</v>
      </c>
    </row>
    <row r="19" spans="1:2" x14ac:dyDescent="0.25">
      <c r="A19" s="1" t="s">
        <v>57</v>
      </c>
      <c r="B19">
        <f>COUNTIF(Лист2!W:W,"&lt;=28")-COUNTIF(Лист2!W:W,"=0")</f>
        <v>10</v>
      </c>
    </row>
    <row r="20" spans="1:2" x14ac:dyDescent="0.25">
      <c r="A20" s="1" t="s">
        <v>58</v>
      </c>
      <c r="B20">
        <f>COUNTIF(Лист2!W:W,"&lt;1825")-COUNTIF(Лист2!W:W,"&lt;=28")</f>
        <v>175</v>
      </c>
    </row>
    <row r="21" spans="1:2" x14ac:dyDescent="0.25">
      <c r="A21" s="1" t="s">
        <v>59</v>
      </c>
      <c r="B21">
        <f>COUNTIF(Лист2!W:W,"&lt;4380")-COUNTIF(Лист2!W:W,"&lt;1825")</f>
        <v>146</v>
      </c>
    </row>
    <row r="22" spans="1:2" x14ac:dyDescent="0.25">
      <c r="A22" s="1" t="s">
        <v>60</v>
      </c>
      <c r="B22">
        <f>COUNTIF(Лист2!W:W,"&lt;=6575")-COUNTIF(Лист2!W:W,"&lt;4380")</f>
        <v>188</v>
      </c>
    </row>
    <row r="23" spans="1:2" x14ac:dyDescent="0.25">
      <c r="A23" s="1" t="s">
        <v>76</v>
      </c>
      <c r="B23" s="4">
        <f>SUM(B2:B18)</f>
        <v>526</v>
      </c>
    </row>
  </sheetData>
  <pageMargins left="0.7" right="0.7" top="0.75" bottom="0.75" header="0.3" footer="0.3"/>
  <pageSetup paperSize="9" orientation="portrait" verticalDpi="0" r:id="rId1"/>
  <ignoredErrors>
    <ignoredError sqref="B2:B18 B19:B23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13</vt:i4>
      </vt:variant>
    </vt:vector>
  </HeadingPairs>
  <TitlesOfParts>
    <vt:vector size="16" baseType="lpstr">
      <vt:lpstr>Лист1</vt:lpstr>
      <vt:lpstr>Лист2</vt:lpstr>
      <vt:lpstr>Лист3</vt:lpstr>
      <vt:lpstr>Доставлен_СМП</vt:lpstr>
      <vt:lpstr>Из_других_больниц</vt:lpstr>
      <vt:lpstr>Из_операционной</vt:lpstr>
      <vt:lpstr>Из_профильных_отделений</vt:lpstr>
      <vt:lpstr>Из_родильных_домов</vt:lpstr>
      <vt:lpstr>Канал_поступления</vt:lpstr>
      <vt:lpstr>Категории_диагнозов</vt:lpstr>
      <vt:lpstr>Куда_переведён</vt:lpstr>
      <vt:lpstr>Манипуляции</vt:lpstr>
      <vt:lpstr>Отделения</vt:lpstr>
      <vt:lpstr>Повторное_поступление</vt:lpstr>
      <vt:lpstr>Самотёком</vt:lpstr>
      <vt:lpstr>Трансфузии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2025-05-26T05:34:46Z</dcterms:modified>
</cp:coreProperties>
</file>